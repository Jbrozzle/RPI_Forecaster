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joshb\RPI_Forecaster\"/>
    </mc:Choice>
  </mc:AlternateContent>
  <xr:revisionPtr revIDLastSave="0" documentId="8_{E98A2F63-6BBD-4829-B7F0-71BB441EE89C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Front" sheetId="3" r:id="rId1"/>
    <sheet name="Weights Forecasts" sheetId="7" r:id="rId2"/>
    <sheet name="MoM Forecasts" sheetId="4" r:id="rId3"/>
    <sheet name="Unchained Indices" sheetId="8" r:id="rId4"/>
    <sheet name="Hist Weights" sheetId="5" r:id="rId5"/>
    <sheet name="Hist Data" sheetId="6" r:id="rId6"/>
    <sheet name="Sheet1" sheetId="1" r:id="rId7"/>
    <sheet name="_xlwings.conf" sheetId="2" r:id="rId8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70" i="8" l="1"/>
  <c r="E70" i="8"/>
  <c r="F70" i="8"/>
  <c r="G70" i="8"/>
  <c r="H70" i="8"/>
  <c r="I70" i="8"/>
  <c r="J70" i="8"/>
  <c r="K70" i="8"/>
  <c r="L70" i="8"/>
  <c r="M70" i="8"/>
  <c r="N70" i="8"/>
  <c r="O70" i="8"/>
  <c r="P70" i="8"/>
  <c r="Q70" i="8"/>
  <c r="R70" i="8"/>
  <c r="S70" i="8"/>
  <c r="T70" i="8"/>
  <c r="U70" i="8"/>
  <c r="V70" i="8"/>
  <c r="W70" i="8"/>
  <c r="X70" i="8"/>
  <c r="Y70" i="8"/>
  <c r="Z70" i="8"/>
  <c r="AA70" i="8"/>
  <c r="AB70" i="8"/>
  <c r="AC70" i="8"/>
  <c r="AD70" i="8"/>
  <c r="AE70" i="8"/>
  <c r="AF70" i="8"/>
  <c r="AG70" i="8"/>
  <c r="AH70" i="8"/>
  <c r="AI70" i="8"/>
  <c r="AJ70" i="8"/>
  <c r="AK70" i="8"/>
  <c r="AL70" i="8"/>
  <c r="AM70" i="8"/>
  <c r="AN70" i="8"/>
  <c r="AO70" i="8"/>
  <c r="AP70" i="8"/>
  <c r="AQ70" i="8"/>
  <c r="AR70" i="8"/>
  <c r="AS70" i="8"/>
  <c r="AT70" i="8"/>
  <c r="AU70" i="8"/>
  <c r="AV70" i="8"/>
  <c r="AW70" i="8"/>
  <c r="AX70" i="8"/>
  <c r="AY70" i="8"/>
  <c r="AZ70" i="8"/>
  <c r="BA70" i="8"/>
  <c r="BB70" i="8"/>
  <c r="BC70" i="8"/>
  <c r="BD70" i="8"/>
  <c r="BE70" i="8"/>
  <c r="BF70" i="8"/>
  <c r="BG70" i="8"/>
  <c r="BH70" i="8"/>
  <c r="BI70" i="8"/>
  <c r="BJ70" i="8"/>
  <c r="BK70" i="8"/>
  <c r="BL70" i="8"/>
  <c r="BM70" i="8"/>
  <c r="BN70" i="8"/>
  <c r="BO70" i="8"/>
  <c r="BP70" i="8"/>
  <c r="BQ70" i="8"/>
  <c r="BR70" i="8"/>
  <c r="BS70" i="8"/>
  <c r="BT70" i="8"/>
  <c r="BU70" i="8"/>
  <c r="BV70" i="8"/>
  <c r="BW70" i="8"/>
  <c r="BX70" i="8"/>
  <c r="BY70" i="8"/>
  <c r="BZ70" i="8"/>
  <c r="CA70" i="8"/>
  <c r="CB70" i="8"/>
  <c r="CC70" i="8"/>
  <c r="CD70" i="8"/>
  <c r="CE70" i="8"/>
  <c r="CF70" i="8"/>
  <c r="CG70" i="8"/>
  <c r="CH70" i="8"/>
  <c r="CI70" i="8"/>
  <c r="CJ70" i="8"/>
  <c r="CK70" i="8"/>
  <c r="CL70" i="8"/>
  <c r="CM70" i="8"/>
  <c r="CN70" i="8"/>
  <c r="CO70" i="8"/>
  <c r="CP70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T59" i="8" s="1"/>
  <c r="C60" i="8"/>
  <c r="F60" i="8" s="1"/>
  <c r="C61" i="8"/>
  <c r="C62" i="8"/>
  <c r="C63" i="8"/>
  <c r="C64" i="8"/>
  <c r="C65" i="8"/>
  <c r="C66" i="8"/>
  <c r="BU67" i="8" s="1"/>
  <c r="C67" i="8"/>
  <c r="C68" i="8"/>
  <c r="D71" i="8"/>
  <c r="E71" i="8"/>
  <c r="F71" i="8"/>
  <c r="G71" i="8"/>
  <c r="H71" i="8"/>
  <c r="I71" i="8"/>
  <c r="J71" i="8"/>
  <c r="K71" i="8"/>
  <c r="L71" i="8"/>
  <c r="M71" i="8"/>
  <c r="N71" i="8"/>
  <c r="O71" i="8"/>
  <c r="P71" i="8"/>
  <c r="Q71" i="8"/>
  <c r="R71" i="8"/>
  <c r="S71" i="8"/>
  <c r="T71" i="8"/>
  <c r="U71" i="8"/>
  <c r="V71" i="8"/>
  <c r="W71" i="8"/>
  <c r="X71" i="8"/>
  <c r="Y71" i="8"/>
  <c r="Z71" i="8"/>
  <c r="AA71" i="8"/>
  <c r="AB71" i="8"/>
  <c r="AC71" i="8"/>
  <c r="AD71" i="8"/>
  <c r="AE71" i="8"/>
  <c r="AF71" i="8"/>
  <c r="AG71" i="8"/>
  <c r="AH71" i="8"/>
  <c r="AI71" i="8"/>
  <c r="AJ71" i="8"/>
  <c r="AK71" i="8"/>
  <c r="AL71" i="8"/>
  <c r="AM71" i="8"/>
  <c r="AN71" i="8"/>
  <c r="AO71" i="8"/>
  <c r="AP71" i="8"/>
  <c r="AQ71" i="8"/>
  <c r="AR71" i="8"/>
  <c r="AS71" i="8"/>
  <c r="AT71" i="8"/>
  <c r="AU71" i="8"/>
  <c r="AV71" i="8"/>
  <c r="AW71" i="8"/>
  <c r="AX71" i="8"/>
  <c r="AY71" i="8"/>
  <c r="AZ71" i="8"/>
  <c r="BA71" i="8"/>
  <c r="BB71" i="8"/>
  <c r="BC71" i="8"/>
  <c r="BD71" i="8"/>
  <c r="BE71" i="8"/>
  <c r="BF71" i="8"/>
  <c r="BG71" i="8"/>
  <c r="BH71" i="8"/>
  <c r="BI71" i="8"/>
  <c r="BJ71" i="8"/>
  <c r="BK71" i="8"/>
  <c r="BL71" i="8"/>
  <c r="BM71" i="8"/>
  <c r="BN71" i="8"/>
  <c r="BO71" i="8"/>
  <c r="BP71" i="8"/>
  <c r="BQ71" i="8"/>
  <c r="BR71" i="8"/>
  <c r="BS71" i="8"/>
  <c r="BT71" i="8"/>
  <c r="BU71" i="8"/>
  <c r="BV71" i="8"/>
  <c r="BW71" i="8"/>
  <c r="BX71" i="8"/>
  <c r="BY71" i="8"/>
  <c r="BZ71" i="8"/>
  <c r="CA71" i="8"/>
  <c r="CB71" i="8"/>
  <c r="CC71" i="8"/>
  <c r="CD71" i="8"/>
  <c r="CE71" i="8"/>
  <c r="CF71" i="8"/>
  <c r="CG71" i="8"/>
  <c r="CH71" i="8"/>
  <c r="CI71" i="8"/>
  <c r="CJ71" i="8"/>
  <c r="CK71" i="8"/>
  <c r="CL71" i="8"/>
  <c r="CM71" i="8"/>
  <c r="CN71" i="8"/>
  <c r="CO71" i="8"/>
  <c r="CP71" i="8"/>
  <c r="D72" i="8"/>
  <c r="E72" i="8"/>
  <c r="F72" i="8"/>
  <c r="G72" i="8"/>
  <c r="H72" i="8"/>
  <c r="I72" i="8"/>
  <c r="J72" i="8"/>
  <c r="K72" i="8"/>
  <c r="L72" i="8"/>
  <c r="M72" i="8"/>
  <c r="N72" i="8"/>
  <c r="O72" i="8"/>
  <c r="P72" i="8"/>
  <c r="Q72" i="8"/>
  <c r="R72" i="8"/>
  <c r="S72" i="8"/>
  <c r="T72" i="8"/>
  <c r="U72" i="8"/>
  <c r="V72" i="8"/>
  <c r="W72" i="8"/>
  <c r="X72" i="8"/>
  <c r="Y72" i="8"/>
  <c r="Z72" i="8"/>
  <c r="AA72" i="8"/>
  <c r="AB72" i="8"/>
  <c r="AC72" i="8"/>
  <c r="AD72" i="8"/>
  <c r="AE72" i="8"/>
  <c r="AF72" i="8"/>
  <c r="AG72" i="8"/>
  <c r="AH72" i="8"/>
  <c r="AI72" i="8"/>
  <c r="AJ72" i="8"/>
  <c r="AK72" i="8"/>
  <c r="AL72" i="8"/>
  <c r="AM72" i="8"/>
  <c r="AN72" i="8"/>
  <c r="AO72" i="8"/>
  <c r="AP72" i="8"/>
  <c r="AQ72" i="8"/>
  <c r="AR72" i="8"/>
  <c r="AS72" i="8"/>
  <c r="AT72" i="8"/>
  <c r="AU72" i="8"/>
  <c r="AV72" i="8"/>
  <c r="AW72" i="8"/>
  <c r="AX72" i="8"/>
  <c r="AY72" i="8"/>
  <c r="AZ72" i="8"/>
  <c r="BA72" i="8"/>
  <c r="BB72" i="8"/>
  <c r="BC72" i="8"/>
  <c r="BD72" i="8"/>
  <c r="BE72" i="8"/>
  <c r="BF72" i="8"/>
  <c r="BG72" i="8"/>
  <c r="BH72" i="8"/>
  <c r="BI72" i="8"/>
  <c r="BJ72" i="8"/>
  <c r="BK72" i="8"/>
  <c r="BL72" i="8"/>
  <c r="BM72" i="8"/>
  <c r="BN72" i="8"/>
  <c r="BO72" i="8"/>
  <c r="BP72" i="8"/>
  <c r="BQ72" i="8"/>
  <c r="BR72" i="8"/>
  <c r="BS72" i="8"/>
  <c r="BT72" i="8"/>
  <c r="BU72" i="8"/>
  <c r="BV72" i="8"/>
  <c r="BW72" i="8"/>
  <c r="BX72" i="8"/>
  <c r="BY72" i="8"/>
  <c r="BZ72" i="8"/>
  <c r="CA72" i="8"/>
  <c r="CB72" i="8"/>
  <c r="CC72" i="8"/>
  <c r="CD72" i="8"/>
  <c r="CE72" i="8"/>
  <c r="CF72" i="8"/>
  <c r="CG72" i="8"/>
  <c r="CH72" i="8"/>
  <c r="CI72" i="8"/>
  <c r="CJ72" i="8"/>
  <c r="CK72" i="8"/>
  <c r="CL72" i="8"/>
  <c r="CM72" i="8"/>
  <c r="CN72" i="8"/>
  <c r="CO72" i="8"/>
  <c r="CP72" i="8"/>
  <c r="B10" i="8"/>
  <c r="B11" i="8"/>
  <c r="B12" i="8"/>
  <c r="B13" i="8"/>
  <c r="B14" i="8"/>
  <c r="B15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1" i="8"/>
  <c r="B32" i="8"/>
  <c r="B33" i="8"/>
  <c r="B34" i="8"/>
  <c r="B35" i="8"/>
  <c r="R67" i="8"/>
  <c r="BL68" i="8"/>
  <c r="AE58" i="8"/>
  <c r="D58" i="8"/>
  <c r="N58" i="8"/>
  <c r="S58" i="8"/>
  <c r="AA58" i="8"/>
  <c r="AM58" i="8"/>
  <c r="AS58" i="8"/>
  <c r="AY58" i="8"/>
  <c r="BE58" i="8"/>
  <c r="BO58" i="8"/>
  <c r="BQ58" i="8"/>
  <c r="BZ58" i="8"/>
  <c r="CB58" i="8"/>
  <c r="CC58" i="8"/>
  <c r="CJ58" i="8"/>
  <c r="CL58" i="8"/>
  <c r="CM58" i="8"/>
  <c r="H59" i="8"/>
  <c r="L59" i="8"/>
  <c r="AE59" i="8"/>
  <c r="AI59" i="8"/>
  <c r="AW59" i="8"/>
  <c r="AX59" i="8"/>
  <c r="BS59" i="8"/>
  <c r="BT59" i="8"/>
  <c r="CK59" i="8"/>
  <c r="CM59" i="8"/>
  <c r="AU60" i="8"/>
  <c r="CH60" i="8"/>
  <c r="AG61" i="8"/>
  <c r="BQ61" i="8"/>
  <c r="AT62" i="8"/>
  <c r="F64" i="8"/>
  <c r="BY64" i="8"/>
  <c r="I76" i="8"/>
  <c r="CM1" i="8"/>
  <c r="CM41" i="8" s="1"/>
  <c r="CN1" i="8"/>
  <c r="CN41" i="8" s="1"/>
  <c r="CO1" i="8"/>
  <c r="CO41" i="8" s="1"/>
  <c r="CP1" i="8"/>
  <c r="CP41" i="8" s="1"/>
  <c r="BU1" i="8"/>
  <c r="BU41" i="8" s="1"/>
  <c r="BV1" i="8"/>
  <c r="BV41" i="8" s="1"/>
  <c r="BW1" i="8"/>
  <c r="BW41" i="8" s="1"/>
  <c r="BX1" i="8"/>
  <c r="BX41" i="8" s="1"/>
  <c r="BY1" i="8"/>
  <c r="BY41" i="8" s="1"/>
  <c r="BZ1" i="8"/>
  <c r="BZ41" i="8" s="1"/>
  <c r="CA1" i="8"/>
  <c r="CA41" i="8" s="1"/>
  <c r="CB1" i="8"/>
  <c r="CB41" i="8" s="1"/>
  <c r="CC1" i="8"/>
  <c r="CC41" i="8" s="1"/>
  <c r="CD1" i="8"/>
  <c r="CD41" i="8" s="1"/>
  <c r="CE1" i="8"/>
  <c r="CE41" i="8" s="1"/>
  <c r="CF1" i="8"/>
  <c r="CF41" i="8" s="1"/>
  <c r="CG1" i="8"/>
  <c r="CG41" i="8" s="1"/>
  <c r="CH1" i="8"/>
  <c r="CH41" i="8" s="1"/>
  <c r="CI1" i="8"/>
  <c r="CI41" i="8" s="1"/>
  <c r="CJ1" i="8"/>
  <c r="CJ41" i="8" s="1"/>
  <c r="CK1" i="8"/>
  <c r="CK41" i="8" s="1"/>
  <c r="CL1" i="8"/>
  <c r="CL41" i="8" s="1"/>
  <c r="AG20" i="5"/>
  <c r="AG21" i="5"/>
  <c r="AG22" i="5"/>
  <c r="E2" i="8"/>
  <c r="F2" i="8" s="1"/>
  <c r="G2" i="8" s="1"/>
  <c r="BB57" i="8"/>
  <c r="A3" i="8"/>
  <c r="A74" i="8" s="1"/>
  <c r="H76" i="8" s="1"/>
  <c r="H77" i="8" s="1"/>
  <c r="H78" i="8" s="1"/>
  <c r="H79" i="8" s="1"/>
  <c r="H80" i="8" s="1"/>
  <c r="H81" i="8" s="1"/>
  <c r="H82" i="8" s="1"/>
  <c r="H83" i="8" s="1"/>
  <c r="H84" i="8" s="1"/>
  <c r="H85" i="8" s="1"/>
  <c r="H86" i="8" s="1"/>
  <c r="H87" i="8" s="1"/>
  <c r="H88" i="8" s="1"/>
  <c r="H89" i="8" s="1"/>
  <c r="H90" i="8" s="1"/>
  <c r="H91" i="8" s="1"/>
  <c r="H92" i="8" s="1"/>
  <c r="H93" i="8" s="1"/>
  <c r="H94" i="8" s="1"/>
  <c r="H95" i="8" s="1"/>
  <c r="H96" i="8" s="1"/>
  <c r="H97" i="8" s="1"/>
  <c r="H98" i="8" s="1"/>
  <c r="H99" i="8" s="1"/>
  <c r="H100" i="8" s="1"/>
  <c r="H101" i="8" s="1"/>
  <c r="H102" i="8" s="1"/>
  <c r="H103" i="8" s="1"/>
  <c r="H104" i="8" s="1"/>
  <c r="H105" i="8" s="1"/>
  <c r="H106" i="8" s="1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5" i="7"/>
  <c r="BB1" i="8"/>
  <c r="BB41" i="8" s="1"/>
  <c r="BC1" i="8"/>
  <c r="BC41" i="8" s="1"/>
  <c r="BD1" i="8"/>
  <c r="BD41" i="8" s="1"/>
  <c r="BE1" i="8"/>
  <c r="BE41" i="8" s="1"/>
  <c r="BF1" i="8"/>
  <c r="BF41" i="8" s="1"/>
  <c r="BG1" i="8"/>
  <c r="BG41" i="8" s="1"/>
  <c r="BH1" i="8"/>
  <c r="BH41" i="8" s="1"/>
  <c r="BI1" i="8"/>
  <c r="BI41" i="8" s="1"/>
  <c r="BJ1" i="8"/>
  <c r="BJ41" i="8" s="1"/>
  <c r="BK1" i="8"/>
  <c r="BK41" i="8" s="1"/>
  <c r="BL1" i="8"/>
  <c r="BL41" i="8" s="1"/>
  <c r="BM1" i="8"/>
  <c r="BM41" i="8" s="1"/>
  <c r="BN1" i="8"/>
  <c r="BN41" i="8" s="1"/>
  <c r="BO1" i="8"/>
  <c r="BO41" i="8" s="1"/>
  <c r="BP1" i="8"/>
  <c r="BP41" i="8" s="1"/>
  <c r="BQ1" i="8"/>
  <c r="BQ41" i="8" s="1"/>
  <c r="BR1" i="8"/>
  <c r="BR41" i="8" s="1"/>
  <c r="BS1" i="8"/>
  <c r="BS41" i="8" s="1"/>
  <c r="BT1" i="8"/>
  <c r="BT41" i="8" s="1"/>
  <c r="E1" i="8"/>
  <c r="E41" i="8" s="1"/>
  <c r="F1" i="8"/>
  <c r="F41" i="8" s="1"/>
  <c r="G1" i="8"/>
  <c r="G41" i="8" s="1"/>
  <c r="H1" i="8"/>
  <c r="H41" i="8" s="1"/>
  <c r="I1" i="8"/>
  <c r="I41" i="8" s="1"/>
  <c r="J1" i="8"/>
  <c r="J41" i="8" s="1"/>
  <c r="K1" i="8"/>
  <c r="K41" i="8" s="1"/>
  <c r="L1" i="8"/>
  <c r="L41" i="8" s="1"/>
  <c r="M1" i="8"/>
  <c r="M41" i="8" s="1"/>
  <c r="N1" i="8"/>
  <c r="N41" i="8" s="1"/>
  <c r="O1" i="8"/>
  <c r="O41" i="8" s="1"/>
  <c r="P1" i="8"/>
  <c r="P41" i="8" s="1"/>
  <c r="Q1" i="8"/>
  <c r="Q41" i="8" s="1"/>
  <c r="R1" i="8"/>
  <c r="R41" i="8" s="1"/>
  <c r="S1" i="8"/>
  <c r="S41" i="8" s="1"/>
  <c r="T1" i="8"/>
  <c r="T41" i="8" s="1"/>
  <c r="U1" i="8"/>
  <c r="U41" i="8" s="1"/>
  <c r="V1" i="8"/>
  <c r="V41" i="8" s="1"/>
  <c r="W1" i="8"/>
  <c r="W41" i="8" s="1"/>
  <c r="X1" i="8"/>
  <c r="X41" i="8" s="1"/>
  <c r="Y1" i="8"/>
  <c r="Y41" i="8" s="1"/>
  <c r="Z1" i="8"/>
  <c r="Z41" i="8" s="1"/>
  <c r="AA1" i="8"/>
  <c r="AA41" i="8" s="1"/>
  <c r="AB1" i="8"/>
  <c r="AB41" i="8" s="1"/>
  <c r="AC1" i="8"/>
  <c r="AC41" i="8" s="1"/>
  <c r="AD1" i="8"/>
  <c r="AD41" i="8" s="1"/>
  <c r="AE1" i="8"/>
  <c r="AE41" i="8" s="1"/>
  <c r="AF1" i="8"/>
  <c r="AF41" i="8" s="1"/>
  <c r="AG1" i="8"/>
  <c r="AG41" i="8" s="1"/>
  <c r="AH1" i="8"/>
  <c r="AH41" i="8" s="1"/>
  <c r="AI1" i="8"/>
  <c r="AI41" i="8" s="1"/>
  <c r="AJ1" i="8"/>
  <c r="AJ41" i="8" s="1"/>
  <c r="AK1" i="8"/>
  <c r="AK41" i="8" s="1"/>
  <c r="AL1" i="8"/>
  <c r="AL41" i="8" s="1"/>
  <c r="AM1" i="8"/>
  <c r="AM41" i="8" s="1"/>
  <c r="AN1" i="8"/>
  <c r="AN41" i="8" s="1"/>
  <c r="AO1" i="8"/>
  <c r="AO41" i="8" s="1"/>
  <c r="AP1" i="8"/>
  <c r="AP41" i="8" s="1"/>
  <c r="AQ1" i="8"/>
  <c r="AQ41" i="8" s="1"/>
  <c r="AR1" i="8"/>
  <c r="AR41" i="8" s="1"/>
  <c r="AS1" i="8"/>
  <c r="AS41" i="8" s="1"/>
  <c r="AT1" i="8"/>
  <c r="AT41" i="8" s="1"/>
  <c r="AU1" i="8"/>
  <c r="AU41" i="8" s="1"/>
  <c r="AV1" i="8"/>
  <c r="AV41" i="8" s="1"/>
  <c r="AW1" i="8"/>
  <c r="AW41" i="8" s="1"/>
  <c r="AX1" i="8"/>
  <c r="AX41" i="8" s="1"/>
  <c r="AY1" i="8"/>
  <c r="AY41" i="8" s="1"/>
  <c r="AZ1" i="8"/>
  <c r="AZ41" i="8" s="1"/>
  <c r="BA1" i="8"/>
  <c r="BA41" i="8" s="1"/>
  <c r="D1" i="8"/>
  <c r="D41" i="8" s="1"/>
  <c r="CB61" i="8" l="1"/>
  <c r="AN61" i="8"/>
  <c r="D61" i="8"/>
  <c r="BB60" i="8"/>
  <c r="L60" i="8"/>
  <c r="BV59" i="8"/>
  <c r="BF59" i="8"/>
  <c r="AJ59" i="8"/>
  <c r="S59" i="8"/>
  <c r="AP67" i="8"/>
  <c r="AB61" i="8"/>
  <c r="CO61" i="8"/>
  <c r="BF61" i="8"/>
  <c r="O61" i="8"/>
  <c r="BY60" i="8"/>
  <c r="U60" i="8"/>
  <c r="CG59" i="8"/>
  <c r="BL59" i="8"/>
  <c r="AV59" i="8"/>
  <c r="Z59" i="8"/>
  <c r="E59" i="8"/>
  <c r="CN61" i="8"/>
  <c r="BC61" i="8"/>
  <c r="N61" i="8"/>
  <c r="BS60" i="8"/>
  <c r="Q60" i="8"/>
  <c r="CF59" i="8"/>
  <c r="BJ59" i="8"/>
  <c r="AT59" i="8"/>
  <c r="X59" i="8"/>
  <c r="D59" i="8"/>
  <c r="BL61" i="8"/>
  <c r="CE60" i="8"/>
  <c r="AM60" i="8"/>
  <c r="CG61" i="8"/>
  <c r="AP61" i="8"/>
  <c r="G61" i="8"/>
  <c r="BD60" i="8"/>
  <c r="BZ59" i="8"/>
  <c r="BH59" i="8"/>
  <c r="AL59" i="8"/>
  <c r="I57" i="8"/>
  <c r="BZ67" i="8"/>
  <c r="AZ67" i="8"/>
  <c r="F67" i="8"/>
  <c r="E68" i="8"/>
  <c r="BT67" i="8"/>
  <c r="AJ67" i="8"/>
  <c r="AC67" i="8"/>
  <c r="CM67" i="8"/>
  <c r="BR67" i="8"/>
  <c r="AH67" i="8"/>
  <c r="CK62" i="8"/>
  <c r="CL67" i="8"/>
  <c r="BH67" i="8"/>
  <c r="X67" i="8"/>
  <c r="R57" i="8"/>
  <c r="CJ67" i="8"/>
  <c r="BB67" i="8"/>
  <c r="BP58" i="8"/>
  <c r="BD58" i="8"/>
  <c r="AN58" i="8"/>
  <c r="AB58" i="8"/>
  <c r="O58" i="8"/>
  <c r="E58" i="8"/>
  <c r="BE68" i="8"/>
  <c r="BC67" i="8"/>
  <c r="AK67" i="8"/>
  <c r="S67" i="8"/>
  <c r="H67" i="8"/>
  <c r="CL57" i="8"/>
  <c r="AA57" i="8"/>
  <c r="AT68" i="8"/>
  <c r="CI58" i="8"/>
  <c r="AX58" i="8"/>
  <c r="P67" i="8"/>
  <c r="BK58" i="8"/>
  <c r="Y58" i="8"/>
  <c r="M58" i="8"/>
  <c r="BT57" i="8"/>
  <c r="CO68" i="8"/>
  <c r="AH68" i="8"/>
  <c r="AY61" i="8"/>
  <c r="L61" i="8"/>
  <c r="BQ60" i="8"/>
  <c r="AI60" i="8"/>
  <c r="CD59" i="8"/>
  <c r="BD59" i="8"/>
  <c r="AC59" i="8"/>
  <c r="F59" i="8"/>
  <c r="CG58" i="8"/>
  <c r="BV58" i="8"/>
  <c r="BI58" i="8"/>
  <c r="AW58" i="8"/>
  <c r="AK58" i="8"/>
  <c r="V58" i="8"/>
  <c r="I58" i="8"/>
  <c r="BK57" i="8"/>
  <c r="CD68" i="8"/>
  <c r="V68" i="8"/>
  <c r="BM67" i="8"/>
  <c r="K67" i="8"/>
  <c r="BX58" i="8"/>
  <c r="AL58" i="8"/>
  <c r="CO65" i="8"/>
  <c r="CA61" i="8"/>
  <c r="AA61" i="8"/>
  <c r="CP59" i="8"/>
  <c r="BR59" i="8"/>
  <c r="AP59" i="8"/>
  <c r="Q59" i="8"/>
  <c r="CE67" i="8"/>
  <c r="AU67" i="8"/>
  <c r="AM66" i="8"/>
  <c r="CK63" i="8"/>
  <c r="BT61" i="8"/>
  <c r="AV61" i="8"/>
  <c r="T61" i="8"/>
  <c r="CL60" i="8"/>
  <c r="BJ60" i="8"/>
  <c r="Z60" i="8"/>
  <c r="CN59" i="8"/>
  <c r="CA59" i="8"/>
  <c r="BO59" i="8"/>
  <c r="BA59" i="8"/>
  <c r="AO59" i="8"/>
  <c r="AB59" i="8"/>
  <c r="M59" i="8"/>
  <c r="CP58" i="8"/>
  <c r="CD58" i="8"/>
  <c r="BU58" i="8"/>
  <c r="BF58" i="8"/>
  <c r="AT58" i="8"/>
  <c r="AG58" i="8"/>
  <c r="T58" i="8"/>
  <c r="G58" i="8"/>
  <c r="AJ57" i="8"/>
  <c r="BW68" i="8"/>
  <c r="J68" i="8"/>
  <c r="CD67" i="8"/>
  <c r="BL67" i="8"/>
  <c r="AT67" i="8"/>
  <c r="AB67" i="8"/>
  <c r="J67" i="8"/>
  <c r="BV62" i="8"/>
  <c r="AE62" i="8"/>
  <c r="BE65" i="8"/>
  <c r="Q63" i="8"/>
  <c r="BA62" i="8"/>
  <c r="J62" i="8"/>
  <c r="CH61" i="8"/>
  <c r="BU61" i="8"/>
  <c r="BJ61" i="8"/>
  <c r="AW61" i="8"/>
  <c r="AJ61" i="8"/>
  <c r="U61" i="8"/>
  <c r="H61" i="8"/>
  <c r="CN60" i="8"/>
  <c r="BZ60" i="8"/>
  <c r="BL60" i="8"/>
  <c r="AV60" i="8"/>
  <c r="AB60" i="8"/>
  <c r="K60" i="8"/>
  <c r="AS57" i="8"/>
  <c r="CP68" i="8"/>
  <c r="BX68" i="8"/>
  <c r="BF68" i="8"/>
  <c r="AN68" i="8"/>
  <c r="P68" i="8"/>
  <c r="CG66" i="8"/>
  <c r="BE66" i="8"/>
  <c r="AN64" i="8"/>
  <c r="CD62" i="8"/>
  <c r="AL62" i="8"/>
  <c r="CP61" i="8"/>
  <c r="CF61" i="8"/>
  <c r="BR61" i="8"/>
  <c r="BE61" i="8"/>
  <c r="AQ61" i="8"/>
  <c r="AD61" i="8"/>
  <c r="S61" i="8"/>
  <c r="F61" i="8"/>
  <c r="CK60" i="8"/>
  <c r="BX60" i="8"/>
  <c r="BH60" i="8"/>
  <c r="AP60" i="8"/>
  <c r="X60" i="8"/>
  <c r="D60" i="8"/>
  <c r="CH59" i="8"/>
  <c r="BY59" i="8"/>
  <c r="BM59" i="8"/>
  <c r="BC59" i="8"/>
  <c r="AQ59" i="8"/>
  <c r="AH59" i="8"/>
  <c r="V59" i="8"/>
  <c r="K59" i="8"/>
  <c r="CN58" i="8"/>
  <c r="CF58" i="8"/>
  <c r="BW58" i="8"/>
  <c r="BL58" i="8"/>
  <c r="BC58" i="8"/>
  <c r="AQ58" i="8"/>
  <c r="AF58" i="8"/>
  <c r="U58" i="8"/>
  <c r="J58" i="8"/>
  <c r="CC57" i="8"/>
  <c r="CJ68" i="8"/>
  <c r="BR68" i="8"/>
  <c r="AZ68" i="8"/>
  <c r="AG68" i="8"/>
  <c r="I68" i="8"/>
  <c r="CI68" i="8"/>
  <c r="BQ68" i="8"/>
  <c r="AY68" i="8"/>
  <c r="AB68" i="8"/>
  <c r="D68" i="8"/>
  <c r="BA63" i="8"/>
  <c r="BO62" i="8"/>
  <c r="X62" i="8"/>
  <c r="U65" i="8"/>
  <c r="J63" i="8"/>
  <c r="BH62" i="8"/>
  <c r="Q62" i="8"/>
  <c r="CM61" i="8"/>
  <c r="BX61" i="8"/>
  <c r="BK61" i="8"/>
  <c r="AX61" i="8"/>
  <c r="AK61" i="8"/>
  <c r="Z61" i="8"/>
  <c r="CO60" i="8"/>
  <c r="CD60" i="8"/>
  <c r="BP60" i="8"/>
  <c r="AX60" i="8"/>
  <c r="AH60" i="8"/>
  <c r="CC68" i="8"/>
  <c r="BK68" i="8"/>
  <c r="AS68" i="8"/>
  <c r="U68" i="8"/>
  <c r="B70" i="8"/>
  <c r="AT63" i="8"/>
  <c r="K57" i="8"/>
  <c r="Q57" i="8"/>
  <c r="W57" i="8"/>
  <c r="AC57" i="8"/>
  <c r="AI57" i="8"/>
  <c r="AO57" i="8"/>
  <c r="AU57" i="8"/>
  <c r="BA57" i="8"/>
  <c r="BG57" i="8"/>
  <c r="BM57" i="8"/>
  <c r="BS57" i="8"/>
  <c r="BY57" i="8"/>
  <c r="CE57" i="8"/>
  <c r="CK57" i="8"/>
  <c r="AF57" i="8"/>
  <c r="AL57" i="8"/>
  <c r="AR57" i="8"/>
  <c r="AX57" i="8"/>
  <c r="BD57" i="8"/>
  <c r="BJ57" i="8"/>
  <c r="BP57" i="8"/>
  <c r="BV57" i="8"/>
  <c r="CB57" i="8"/>
  <c r="CH57" i="8"/>
  <c r="CN57" i="8"/>
  <c r="AG65" i="8"/>
  <c r="CK64" i="8"/>
  <c r="BA64" i="8"/>
  <c r="L64" i="8"/>
  <c r="X63" i="8"/>
  <c r="CM62" i="8"/>
  <c r="CF62" i="8"/>
  <c r="BY62" i="8"/>
  <c r="BR62" i="8"/>
  <c r="BJ62" i="8"/>
  <c r="BC62" i="8"/>
  <c r="AV62" i="8"/>
  <c r="AO62" i="8"/>
  <c r="AH62" i="8"/>
  <c r="Z62" i="8"/>
  <c r="S62" i="8"/>
  <c r="L62" i="8"/>
  <c r="E62" i="8"/>
  <c r="BK65" i="8"/>
  <c r="AA65" i="8"/>
  <c r="CE64" i="8"/>
  <c r="AU64" i="8"/>
  <c r="D64" i="8"/>
  <c r="BH63" i="8"/>
  <c r="CL62" i="8"/>
  <c r="CE62" i="8"/>
  <c r="BX62" i="8"/>
  <c r="BP62" i="8"/>
  <c r="BI62" i="8"/>
  <c r="BB62" i="8"/>
  <c r="AU62" i="8"/>
  <c r="AN62" i="8"/>
  <c r="AF62" i="8"/>
  <c r="Y62" i="8"/>
  <c r="R62" i="8"/>
  <c r="K62" i="8"/>
  <c r="D62" i="8"/>
  <c r="AN60" i="8"/>
  <c r="AA60" i="8"/>
  <c r="N60" i="8"/>
  <c r="J60" i="8"/>
  <c r="T60" i="8"/>
  <c r="AF60" i="8"/>
  <c r="AO60" i="8"/>
  <c r="BA60" i="8"/>
  <c r="BK60" i="8"/>
  <c r="BW60" i="8"/>
  <c r="CF60" i="8"/>
  <c r="M61" i="8"/>
  <c r="V61" i="8"/>
  <c r="AH61" i="8"/>
  <c r="AR61" i="8"/>
  <c r="BD61" i="8"/>
  <c r="BN61" i="8"/>
  <c r="BZ61" i="8"/>
  <c r="CI61" i="8"/>
  <c r="CJ59" i="8"/>
  <c r="CB59" i="8"/>
  <c r="BU59" i="8"/>
  <c r="BN59" i="8"/>
  <c r="BG59" i="8"/>
  <c r="AZ59" i="8"/>
  <c r="AR59" i="8"/>
  <c r="AK59" i="8"/>
  <c r="AD59" i="8"/>
  <c r="W59" i="8"/>
  <c r="P59" i="8"/>
  <c r="CM57" i="8"/>
  <c r="CD57" i="8"/>
  <c r="BU57" i="8"/>
  <c r="BL57" i="8"/>
  <c r="BC57" i="8"/>
  <c r="AT57" i="8"/>
  <c r="AK57" i="8"/>
  <c r="AB57" i="8"/>
  <c r="S57" i="8"/>
  <c r="J57" i="8"/>
  <c r="CM66" i="8"/>
  <c r="BK66" i="8"/>
  <c r="O65" i="8"/>
  <c r="AG64" i="8"/>
  <c r="CJ57" i="8"/>
  <c r="CA57" i="8"/>
  <c r="BR57" i="8"/>
  <c r="BI57" i="8"/>
  <c r="AZ57" i="8"/>
  <c r="AQ57" i="8"/>
  <c r="AH57" i="8"/>
  <c r="Y57" i="8"/>
  <c r="P57" i="8"/>
  <c r="E57" i="8"/>
  <c r="CC66" i="8"/>
  <c r="AW66" i="8"/>
  <c r="AY65" i="8"/>
  <c r="BS64" i="8"/>
  <c r="D63" i="8"/>
  <c r="CJ62" i="8"/>
  <c r="CB62" i="8"/>
  <c r="BU62" i="8"/>
  <c r="BN62" i="8"/>
  <c r="BG62" i="8"/>
  <c r="AZ62" i="8"/>
  <c r="AR62" i="8"/>
  <c r="AK62" i="8"/>
  <c r="AD62" i="8"/>
  <c r="W62" i="8"/>
  <c r="P62" i="8"/>
  <c r="H62" i="8"/>
  <c r="CC65" i="8"/>
  <c r="G59" i="8"/>
  <c r="N59" i="8"/>
  <c r="U59" i="8"/>
  <c r="AA59" i="8"/>
  <c r="AG59" i="8"/>
  <c r="AM59" i="8"/>
  <c r="AS59" i="8"/>
  <c r="AY59" i="8"/>
  <c r="BE59" i="8"/>
  <c r="BK59" i="8"/>
  <c r="BQ59" i="8"/>
  <c r="BW59" i="8"/>
  <c r="CC59" i="8"/>
  <c r="CI59" i="8"/>
  <c r="CO59" i="8"/>
  <c r="CI57" i="8"/>
  <c r="BZ57" i="8"/>
  <c r="BQ57" i="8"/>
  <c r="BH57" i="8"/>
  <c r="AY57" i="8"/>
  <c r="AP57" i="8"/>
  <c r="AG57" i="8"/>
  <c r="X57" i="8"/>
  <c r="O57" i="8"/>
  <c r="D57" i="8"/>
  <c r="BW66" i="8"/>
  <c r="CI65" i="8"/>
  <c r="AS65" i="8"/>
  <c r="I65" i="8"/>
  <c r="BM64" i="8"/>
  <c r="Z64" i="8"/>
  <c r="CD63" i="8"/>
  <c r="AM63" i="8"/>
  <c r="CP62" i="8"/>
  <c r="CH62" i="8"/>
  <c r="CA62" i="8"/>
  <c r="BT62" i="8"/>
  <c r="BM62" i="8"/>
  <c r="BF62" i="8"/>
  <c r="AX62" i="8"/>
  <c r="AQ62" i="8"/>
  <c r="AJ62" i="8"/>
  <c r="AC62" i="8"/>
  <c r="V62" i="8"/>
  <c r="N62" i="8"/>
  <c r="G62" i="8"/>
  <c r="BW65" i="8"/>
  <c r="AM65" i="8"/>
  <c r="G65" i="8"/>
  <c r="M66" i="8"/>
  <c r="U66" i="8"/>
  <c r="F66" i="8"/>
  <c r="N66" i="8"/>
  <c r="X66" i="8"/>
  <c r="AF66" i="8"/>
  <c r="AP66" i="8"/>
  <c r="AX66" i="8"/>
  <c r="BH66" i="8"/>
  <c r="BP66" i="8"/>
  <c r="BZ66" i="8"/>
  <c r="CH66" i="8"/>
  <c r="H66" i="8"/>
  <c r="R66" i="8"/>
  <c r="Z66" i="8"/>
  <c r="AJ66" i="8"/>
  <c r="AR66" i="8"/>
  <c r="BB66" i="8"/>
  <c r="BJ66" i="8"/>
  <c r="BT66" i="8"/>
  <c r="CB66" i="8"/>
  <c r="CL66" i="8"/>
  <c r="I66" i="8"/>
  <c r="S66" i="8"/>
  <c r="AA66" i="8"/>
  <c r="AK66" i="8"/>
  <c r="AS66" i="8"/>
  <c r="BC66" i="8"/>
  <c r="BG64" i="8"/>
  <c r="S64" i="8"/>
  <c r="BW63" i="8"/>
  <c r="AF63" i="8"/>
  <c r="CN62" i="8"/>
  <c r="CG62" i="8"/>
  <c r="BZ62" i="8"/>
  <c r="BS62" i="8"/>
  <c r="BL62" i="8"/>
  <c r="BD62" i="8"/>
  <c r="AW62" i="8"/>
  <c r="AP62" i="8"/>
  <c r="AI62" i="8"/>
  <c r="AB62" i="8"/>
  <c r="T62" i="8"/>
  <c r="M62" i="8"/>
  <c r="F62" i="8"/>
  <c r="BR60" i="8"/>
  <c r="BE60" i="8"/>
  <c r="AT60" i="8"/>
  <c r="AG60" i="8"/>
  <c r="R60" i="8"/>
  <c r="E60" i="8"/>
  <c r="CL59" i="8"/>
  <c r="CE59" i="8"/>
  <c r="BX59" i="8"/>
  <c r="BP59" i="8"/>
  <c r="BI59" i="8"/>
  <c r="BB59" i="8"/>
  <c r="AU59" i="8"/>
  <c r="AN59" i="8"/>
  <c r="AF59" i="8"/>
  <c r="Y59" i="8"/>
  <c r="R59" i="8"/>
  <c r="J59" i="8"/>
  <c r="CP57" i="8"/>
  <c r="CG57" i="8"/>
  <c r="BX57" i="8"/>
  <c r="BO57" i="8"/>
  <c r="BF57" i="8"/>
  <c r="AW57" i="8"/>
  <c r="AN57" i="8"/>
  <c r="AE57" i="8"/>
  <c r="V57" i="8"/>
  <c r="M57" i="8"/>
  <c r="F57" i="8"/>
  <c r="BU66" i="8"/>
  <c r="AE66" i="8"/>
  <c r="BQ65" i="8"/>
  <c r="BP63" i="8"/>
  <c r="CO57" i="8"/>
  <c r="CF57" i="8"/>
  <c r="BW57" i="8"/>
  <c r="BN57" i="8"/>
  <c r="BE57" i="8"/>
  <c r="AV57" i="8"/>
  <c r="AM57" i="8"/>
  <c r="AD57" i="8"/>
  <c r="U57" i="8"/>
  <c r="L57" i="8"/>
  <c r="CO66" i="8"/>
  <c r="BO66" i="8"/>
  <c r="G66" i="8"/>
  <c r="CO58" i="8"/>
  <c r="CH58" i="8"/>
  <c r="CA58" i="8"/>
  <c r="BR58" i="8"/>
  <c r="BJ58" i="8"/>
  <c r="AZ58" i="8"/>
  <c r="AR58" i="8"/>
  <c r="AH58" i="8"/>
  <c r="Z58" i="8"/>
  <c r="P58" i="8"/>
  <c r="H58" i="8"/>
  <c r="Z57" i="8"/>
  <c r="T57" i="8"/>
  <c r="N57" i="8"/>
  <c r="CK68" i="8"/>
  <c r="BY68" i="8"/>
  <c r="BM68" i="8"/>
  <c r="BA68" i="8"/>
  <c r="AO68" i="8"/>
  <c r="AC68" i="8"/>
  <c r="Q68" i="8"/>
  <c r="CK67" i="8"/>
  <c r="CA67" i="8"/>
  <c r="BS67" i="8"/>
  <c r="BI67" i="8"/>
  <c r="BA67" i="8"/>
  <c r="AQ67" i="8"/>
  <c r="AI67" i="8"/>
  <c r="Y67" i="8"/>
  <c r="Q67" i="8"/>
  <c r="G67" i="8"/>
  <c r="CN66" i="8"/>
  <c r="CF66" i="8"/>
  <c r="BV66" i="8"/>
  <c r="BN66" i="8"/>
  <c r="BD66" i="8"/>
  <c r="AV66" i="8"/>
  <c r="AL66" i="8"/>
  <c r="AD66" i="8"/>
  <c r="T66" i="8"/>
  <c r="L66" i="8"/>
  <c r="AM68" i="8"/>
  <c r="AA68" i="8"/>
  <c r="O68" i="8"/>
  <c r="F68" i="8"/>
  <c r="CG67" i="8"/>
  <c r="BY67" i="8"/>
  <c r="BO67" i="8"/>
  <c r="BG67" i="8"/>
  <c r="AW67" i="8"/>
  <c r="AO67" i="8"/>
  <c r="AE67" i="8"/>
  <c r="W67" i="8"/>
  <c r="M67" i="8"/>
  <c r="E67" i="8"/>
  <c r="G57" i="8"/>
  <c r="CE68" i="8"/>
  <c r="BS68" i="8"/>
  <c r="BG68" i="8"/>
  <c r="AU68" i="8"/>
  <c r="AI68" i="8"/>
  <c r="W68" i="8"/>
  <c r="K68" i="8"/>
  <c r="CP67" i="8"/>
  <c r="CF67" i="8"/>
  <c r="BX67" i="8"/>
  <c r="BN67" i="8"/>
  <c r="BF67" i="8"/>
  <c r="AV67" i="8"/>
  <c r="AN67" i="8"/>
  <c r="AD67" i="8"/>
  <c r="V67" i="8"/>
  <c r="L67" i="8"/>
  <c r="D67" i="8"/>
  <c r="CI66" i="8"/>
  <c r="CA66" i="8"/>
  <c r="BQ66" i="8"/>
  <c r="BI66" i="8"/>
  <c r="AY66" i="8"/>
  <c r="AQ66" i="8"/>
  <c r="AG66" i="8"/>
  <c r="Y66" i="8"/>
  <c r="O66" i="8"/>
  <c r="D66" i="8"/>
  <c r="BV68" i="8"/>
  <c r="H68" i="8"/>
  <c r="CN68" i="8"/>
  <c r="CH68" i="8"/>
  <c r="CB68" i="8"/>
  <c r="BP68" i="8"/>
  <c r="BJ68" i="8"/>
  <c r="BD68" i="8"/>
  <c r="AX68" i="8"/>
  <c r="AR68" i="8"/>
  <c r="AL68" i="8"/>
  <c r="AF68" i="8"/>
  <c r="Z68" i="8"/>
  <c r="T68" i="8"/>
  <c r="N68" i="8"/>
  <c r="CM68" i="8"/>
  <c r="CG68" i="8"/>
  <c r="CA68" i="8"/>
  <c r="BU68" i="8"/>
  <c r="BO68" i="8"/>
  <c r="BI68" i="8"/>
  <c r="BC68" i="8"/>
  <c r="AW68" i="8"/>
  <c r="AQ68" i="8"/>
  <c r="AK68" i="8"/>
  <c r="AE68" i="8"/>
  <c r="Y68" i="8"/>
  <c r="S68" i="8"/>
  <c r="M68" i="8"/>
  <c r="G68" i="8"/>
  <c r="CO67" i="8"/>
  <c r="CI67" i="8"/>
  <c r="CC67" i="8"/>
  <c r="BW67" i="8"/>
  <c r="BQ67" i="8"/>
  <c r="BK67" i="8"/>
  <c r="BE67" i="8"/>
  <c r="AY67" i="8"/>
  <c r="AS67" i="8"/>
  <c r="AM67" i="8"/>
  <c r="AG67" i="8"/>
  <c r="AA67" i="8"/>
  <c r="U67" i="8"/>
  <c r="O67" i="8"/>
  <c r="I67" i="8"/>
  <c r="CK66" i="8"/>
  <c r="CE66" i="8"/>
  <c r="BY66" i="8"/>
  <c r="BS66" i="8"/>
  <c r="BM66" i="8"/>
  <c r="BG66" i="8"/>
  <c r="BA66" i="8"/>
  <c r="AU66" i="8"/>
  <c r="AO66" i="8"/>
  <c r="AI66" i="8"/>
  <c r="AC66" i="8"/>
  <c r="W66" i="8"/>
  <c r="Q66" i="8"/>
  <c r="K66" i="8"/>
  <c r="E66" i="8"/>
  <c r="CL68" i="8"/>
  <c r="CF68" i="8"/>
  <c r="BZ68" i="8"/>
  <c r="BT68" i="8"/>
  <c r="BN68" i="8"/>
  <c r="BH68" i="8"/>
  <c r="BB68" i="8"/>
  <c r="AV68" i="8"/>
  <c r="AP68" i="8"/>
  <c r="AJ68" i="8"/>
  <c r="AD68" i="8"/>
  <c r="X68" i="8"/>
  <c r="R68" i="8"/>
  <c r="L68" i="8"/>
  <c r="CN67" i="8"/>
  <c r="CH67" i="8"/>
  <c r="CB67" i="8"/>
  <c r="BV67" i="8"/>
  <c r="BP67" i="8"/>
  <c r="BJ67" i="8"/>
  <c r="BD67" i="8"/>
  <c r="AX67" i="8"/>
  <c r="AR67" i="8"/>
  <c r="AL67" i="8"/>
  <c r="AF67" i="8"/>
  <c r="Z67" i="8"/>
  <c r="T67" i="8"/>
  <c r="N67" i="8"/>
  <c r="CP66" i="8"/>
  <c r="CJ66" i="8"/>
  <c r="CD66" i="8"/>
  <c r="BX66" i="8"/>
  <c r="BR66" i="8"/>
  <c r="BL66" i="8"/>
  <c r="BF66" i="8"/>
  <c r="AZ66" i="8"/>
  <c r="AT66" i="8"/>
  <c r="AN66" i="8"/>
  <c r="AH66" i="8"/>
  <c r="AB66" i="8"/>
  <c r="V66" i="8"/>
  <c r="P66" i="8"/>
  <c r="J66" i="8"/>
  <c r="BV65" i="8"/>
  <c r="CM65" i="8"/>
  <c r="CA65" i="8"/>
  <c r="BO65" i="8"/>
  <c r="BI65" i="8"/>
  <c r="BC65" i="8"/>
  <c r="AQ65" i="8"/>
  <c r="S65" i="8"/>
  <c r="CO64" i="8"/>
  <c r="BQ64" i="8"/>
  <c r="BK64" i="8"/>
  <c r="AY64" i="8"/>
  <c r="AS64" i="8"/>
  <c r="AE64" i="8"/>
  <c r="X64" i="8"/>
  <c r="P64" i="8"/>
  <c r="CI63" i="8"/>
  <c r="CB63" i="8"/>
  <c r="BM63" i="8"/>
  <c r="AY63" i="8"/>
  <c r="AR63" i="8"/>
  <c r="AC63" i="8"/>
  <c r="V63" i="8"/>
  <c r="H63" i="8"/>
  <c r="AJ65" i="8"/>
  <c r="G60" i="8"/>
  <c r="M60" i="8"/>
  <c r="S60" i="8"/>
  <c r="Y60" i="8"/>
  <c r="AE60" i="8"/>
  <c r="AK60" i="8"/>
  <c r="AQ60" i="8"/>
  <c r="AW60" i="8"/>
  <c r="BC60" i="8"/>
  <c r="BI60" i="8"/>
  <c r="BO60" i="8"/>
  <c r="BU60" i="8"/>
  <c r="CA60" i="8"/>
  <c r="CG60" i="8"/>
  <c r="CM60" i="8"/>
  <c r="CL65" i="8"/>
  <c r="CF65" i="8"/>
  <c r="BT65" i="8"/>
  <c r="BH65" i="8"/>
  <c r="AV65" i="8"/>
  <c r="AD65" i="8"/>
  <c r="R65" i="8"/>
  <c r="F65" i="8"/>
  <c r="CH64" i="8"/>
  <c r="CB64" i="8"/>
  <c r="BP64" i="8"/>
  <c r="BD64" i="8"/>
  <c r="AX64" i="8"/>
  <c r="AD64" i="8"/>
  <c r="V64" i="8"/>
  <c r="O64" i="8"/>
  <c r="H64" i="8"/>
  <c r="CH63" i="8"/>
  <c r="BZ63" i="8"/>
  <c r="BS63" i="8"/>
  <c r="BL63" i="8"/>
  <c r="BE63" i="8"/>
  <c r="AX63" i="8"/>
  <c r="AP63" i="8"/>
  <c r="AI63" i="8"/>
  <c r="AB63" i="8"/>
  <c r="U63" i="8"/>
  <c r="N63" i="8"/>
  <c r="F63" i="8"/>
  <c r="CK65" i="8"/>
  <c r="CE65" i="8"/>
  <c r="BY65" i="8"/>
  <c r="BS65" i="8"/>
  <c r="BM65" i="8"/>
  <c r="BG65" i="8"/>
  <c r="BA65" i="8"/>
  <c r="AU65" i="8"/>
  <c r="AO65" i="8"/>
  <c r="AI65" i="8"/>
  <c r="AC65" i="8"/>
  <c r="W65" i="8"/>
  <c r="Q65" i="8"/>
  <c r="K65" i="8"/>
  <c r="E65" i="8"/>
  <c r="CM64" i="8"/>
  <c r="CG64" i="8"/>
  <c r="CA64" i="8"/>
  <c r="BU64" i="8"/>
  <c r="BO64" i="8"/>
  <c r="BI64" i="8"/>
  <c r="BC64" i="8"/>
  <c r="AW64" i="8"/>
  <c r="AQ64" i="8"/>
  <c r="AJ64" i="8"/>
  <c r="AB64" i="8"/>
  <c r="U64" i="8"/>
  <c r="N64" i="8"/>
  <c r="G64" i="8"/>
  <c r="CN63" i="8"/>
  <c r="CF63" i="8"/>
  <c r="BY63" i="8"/>
  <c r="BR63" i="8"/>
  <c r="BK63" i="8"/>
  <c r="BD63" i="8"/>
  <c r="AV63" i="8"/>
  <c r="AO63" i="8"/>
  <c r="AH63" i="8"/>
  <c r="AA63" i="8"/>
  <c r="T63" i="8"/>
  <c r="L63" i="8"/>
  <c r="E63" i="8"/>
  <c r="CL61" i="8"/>
  <c r="CD61" i="8"/>
  <c r="BW61" i="8"/>
  <c r="BP61" i="8"/>
  <c r="BI61" i="8"/>
  <c r="BB61" i="8"/>
  <c r="AT61" i="8"/>
  <c r="AM61" i="8"/>
  <c r="AF61" i="8"/>
  <c r="Y61" i="8"/>
  <c r="R61" i="8"/>
  <c r="J61" i="8"/>
  <c r="E61" i="8"/>
  <c r="K61" i="8"/>
  <c r="Q61" i="8"/>
  <c r="W61" i="8"/>
  <c r="AC61" i="8"/>
  <c r="AI61" i="8"/>
  <c r="AO61" i="8"/>
  <c r="AU61" i="8"/>
  <c r="BA61" i="8"/>
  <c r="BG61" i="8"/>
  <c r="BM61" i="8"/>
  <c r="BS61" i="8"/>
  <c r="BY61" i="8"/>
  <c r="CE61" i="8"/>
  <c r="CK61" i="8"/>
  <c r="I62" i="8"/>
  <c r="O62" i="8"/>
  <c r="U62" i="8"/>
  <c r="AA62" i="8"/>
  <c r="AG62" i="8"/>
  <c r="AM62" i="8"/>
  <c r="AS62" i="8"/>
  <c r="AY62" i="8"/>
  <c r="BE62" i="8"/>
  <c r="BK62" i="8"/>
  <c r="BQ62" i="8"/>
  <c r="BW62" i="8"/>
  <c r="CC62" i="8"/>
  <c r="CI62" i="8"/>
  <c r="CO62" i="8"/>
  <c r="CJ60" i="8"/>
  <c r="CC60" i="8"/>
  <c r="BV60" i="8"/>
  <c r="BN60" i="8"/>
  <c r="BG60" i="8"/>
  <c r="AZ60" i="8"/>
  <c r="AS60" i="8"/>
  <c r="AL60" i="8"/>
  <c r="AD60" i="8"/>
  <c r="W60" i="8"/>
  <c r="P60" i="8"/>
  <c r="I60" i="8"/>
  <c r="BZ65" i="8"/>
  <c r="BN65" i="8"/>
  <c r="BB65" i="8"/>
  <c r="AP65" i="8"/>
  <c r="X65" i="8"/>
  <c r="L65" i="8"/>
  <c r="CN64" i="8"/>
  <c r="BV64" i="8"/>
  <c r="BJ64" i="8"/>
  <c r="AR64" i="8"/>
  <c r="AK64" i="8"/>
  <c r="CO63" i="8"/>
  <c r="CP65" i="8"/>
  <c r="CJ65" i="8"/>
  <c r="CD65" i="8"/>
  <c r="BX65" i="8"/>
  <c r="BR65" i="8"/>
  <c r="BL65" i="8"/>
  <c r="BF65" i="8"/>
  <c r="AZ65" i="8"/>
  <c r="AT65" i="8"/>
  <c r="AN65" i="8"/>
  <c r="AH65" i="8"/>
  <c r="AB65" i="8"/>
  <c r="V65" i="8"/>
  <c r="P65" i="8"/>
  <c r="J65" i="8"/>
  <c r="D65" i="8"/>
  <c r="CL64" i="8"/>
  <c r="CF64" i="8"/>
  <c r="BZ64" i="8"/>
  <c r="BT64" i="8"/>
  <c r="BN64" i="8"/>
  <c r="BH64" i="8"/>
  <c r="BB64" i="8"/>
  <c r="AV64" i="8"/>
  <c r="AP64" i="8"/>
  <c r="AH64" i="8"/>
  <c r="AA64" i="8"/>
  <c r="T64" i="8"/>
  <c r="M64" i="8"/>
  <c r="CL63" i="8"/>
  <c r="CE63" i="8"/>
  <c r="BX63" i="8"/>
  <c r="BQ63" i="8"/>
  <c r="BJ63" i="8"/>
  <c r="BB63" i="8"/>
  <c r="AU63" i="8"/>
  <c r="AN63" i="8"/>
  <c r="AG63" i="8"/>
  <c r="Z63" i="8"/>
  <c r="R63" i="8"/>
  <c r="K63" i="8"/>
  <c r="CJ61" i="8"/>
  <c r="CC61" i="8"/>
  <c r="BV61" i="8"/>
  <c r="BO61" i="8"/>
  <c r="BH61" i="8"/>
  <c r="AZ61" i="8"/>
  <c r="AS61" i="8"/>
  <c r="AL61" i="8"/>
  <c r="AE61" i="8"/>
  <c r="X61" i="8"/>
  <c r="P61" i="8"/>
  <c r="I61" i="8"/>
  <c r="CP60" i="8"/>
  <c r="CI60" i="8"/>
  <c r="CB60" i="8"/>
  <c r="BT60" i="8"/>
  <c r="BM60" i="8"/>
  <c r="BF60" i="8"/>
  <c r="AY60" i="8"/>
  <c r="AR60" i="8"/>
  <c r="AJ60" i="8"/>
  <c r="AC60" i="8"/>
  <c r="V60" i="8"/>
  <c r="O60" i="8"/>
  <c r="H60" i="8"/>
  <c r="G63" i="8"/>
  <c r="M63" i="8"/>
  <c r="S63" i="8"/>
  <c r="Y63" i="8"/>
  <c r="AE63" i="8"/>
  <c r="AK63" i="8"/>
  <c r="AQ63" i="8"/>
  <c r="AW63" i="8"/>
  <c r="BC63" i="8"/>
  <c r="BI63" i="8"/>
  <c r="BO63" i="8"/>
  <c r="BU63" i="8"/>
  <c r="CA63" i="8"/>
  <c r="CG63" i="8"/>
  <c r="CM63" i="8"/>
  <c r="CN65" i="8"/>
  <c r="CH65" i="8"/>
  <c r="CB65" i="8"/>
  <c r="BP65" i="8"/>
  <c r="BJ65" i="8"/>
  <c r="BD65" i="8"/>
  <c r="AX65" i="8"/>
  <c r="AR65" i="8"/>
  <c r="AL65" i="8"/>
  <c r="AF65" i="8"/>
  <c r="Z65" i="8"/>
  <c r="T65" i="8"/>
  <c r="N65" i="8"/>
  <c r="H65" i="8"/>
  <c r="CP64" i="8"/>
  <c r="CJ64" i="8"/>
  <c r="CD64" i="8"/>
  <c r="BX64" i="8"/>
  <c r="BR64" i="8"/>
  <c r="BL64" i="8"/>
  <c r="BF64" i="8"/>
  <c r="AZ64" i="8"/>
  <c r="AT64" i="8"/>
  <c r="AM64" i="8"/>
  <c r="AF64" i="8"/>
  <c r="Y64" i="8"/>
  <c r="R64" i="8"/>
  <c r="J64" i="8"/>
  <c r="E64" i="8"/>
  <c r="K64" i="8"/>
  <c r="Q64" i="8"/>
  <c r="W64" i="8"/>
  <c r="AC64" i="8"/>
  <c r="AI64" i="8"/>
  <c r="AO64" i="8"/>
  <c r="CJ63" i="8"/>
  <c r="CC63" i="8"/>
  <c r="BV63" i="8"/>
  <c r="BN63" i="8"/>
  <c r="BG63" i="8"/>
  <c r="AZ63" i="8"/>
  <c r="AS63" i="8"/>
  <c r="AL63" i="8"/>
  <c r="AD63" i="8"/>
  <c r="W63" i="8"/>
  <c r="P63" i="8"/>
  <c r="I63" i="8"/>
  <c r="CG65" i="8"/>
  <c r="BU65" i="8"/>
  <c r="AW65" i="8"/>
  <c r="AK65" i="8"/>
  <c r="AE65" i="8"/>
  <c r="Y65" i="8"/>
  <c r="M65" i="8"/>
  <c r="CI64" i="8"/>
  <c r="CC64" i="8"/>
  <c r="BW64" i="8"/>
  <c r="BE64" i="8"/>
  <c r="AL64" i="8"/>
  <c r="I64" i="8"/>
  <c r="CP63" i="8"/>
  <c r="BT63" i="8"/>
  <c r="BF63" i="8"/>
  <c r="AJ63" i="8"/>
  <c r="O63" i="8"/>
  <c r="BT58" i="8"/>
  <c r="BN58" i="8"/>
  <c r="BH58" i="8"/>
  <c r="BB58" i="8"/>
  <c r="AV58" i="8"/>
  <c r="AP58" i="8"/>
  <c r="AJ58" i="8"/>
  <c r="AD58" i="8"/>
  <c r="X58" i="8"/>
  <c r="R58" i="8"/>
  <c r="L58" i="8"/>
  <c r="F58" i="8"/>
  <c r="H57" i="8"/>
  <c r="O59" i="8"/>
  <c r="I59" i="8"/>
  <c r="CK58" i="8"/>
  <c r="CE58" i="8"/>
  <c r="BY58" i="8"/>
  <c r="BS58" i="8"/>
  <c r="BM58" i="8"/>
  <c r="BG58" i="8"/>
  <c r="BA58" i="8"/>
  <c r="AU58" i="8"/>
  <c r="AO58" i="8"/>
  <c r="AI58" i="8"/>
  <c r="AC58" i="8"/>
  <c r="W58" i="8"/>
  <c r="Q58" i="8"/>
  <c r="K58" i="8"/>
  <c r="A4" i="8"/>
  <c r="A75" i="8" s="1"/>
  <c r="C118" i="8"/>
  <c r="C70" i="8"/>
  <c r="D51" i="8"/>
  <c r="G51" i="8"/>
  <c r="E51" i="8"/>
  <c r="F51" i="8"/>
  <c r="F45" i="8"/>
  <c r="E45" i="8"/>
  <c r="D45" i="8"/>
  <c r="G45" i="8"/>
  <c r="E54" i="8"/>
  <c r="E52" i="8"/>
  <c r="G46" i="8"/>
  <c r="D56" i="8"/>
  <c r="E47" i="8"/>
  <c r="F47" i="8"/>
  <c r="G47" i="8"/>
  <c r="G50" i="8"/>
  <c r="D50" i="8"/>
  <c r="G56" i="8"/>
  <c r="E55" i="8"/>
  <c r="D49" i="8"/>
  <c r="E49" i="8"/>
  <c r="F49" i="8"/>
  <c r="F56" i="8"/>
  <c r="F50" i="8"/>
  <c r="F48" i="8"/>
  <c r="D48" i="8"/>
  <c r="E48" i="8"/>
  <c r="G48" i="8"/>
  <c r="F55" i="8"/>
  <c r="G55" i="8"/>
  <c r="D55" i="8"/>
  <c r="E56" i="8"/>
  <c r="E50" i="8"/>
  <c r="D54" i="8"/>
  <c r="G54" i="8"/>
  <c r="G49" i="8"/>
  <c r="D52" i="8"/>
  <c r="G52" i="8"/>
  <c r="F46" i="8"/>
  <c r="E46" i="8"/>
  <c r="D46" i="8"/>
  <c r="F53" i="8"/>
  <c r="G53" i="8"/>
  <c r="D53" i="8"/>
  <c r="E53" i="8"/>
  <c r="F54" i="8"/>
  <c r="F52" i="8"/>
  <c r="D47" i="8"/>
  <c r="H2" i="8"/>
  <c r="H54" i="8" s="1"/>
  <c r="B3" i="8"/>
  <c r="C42" i="8"/>
  <c r="B4" i="8" l="1"/>
  <c r="C43" i="8"/>
  <c r="E44" i="8" s="1"/>
  <c r="H46" i="8"/>
  <c r="H50" i="8"/>
  <c r="D44" i="8"/>
  <c r="H47" i="8"/>
  <c r="H45" i="8"/>
  <c r="H49" i="8"/>
  <c r="H55" i="8"/>
  <c r="H51" i="8"/>
  <c r="H52" i="8"/>
  <c r="H53" i="8"/>
  <c r="H56" i="8"/>
  <c r="H48" i="8"/>
  <c r="A5" i="8"/>
  <c r="A76" i="8" s="1"/>
  <c r="C119" i="8"/>
  <c r="I2" i="8"/>
  <c r="E43" i="8" l="1"/>
  <c r="E4" i="8" s="1"/>
  <c r="D43" i="8"/>
  <c r="D4" i="8" s="1"/>
  <c r="I43" i="8"/>
  <c r="I4" i="8" s="1"/>
  <c r="H44" i="8"/>
  <c r="G44" i="8"/>
  <c r="F44" i="8"/>
  <c r="H43" i="8"/>
  <c r="H4" i="8" s="1"/>
  <c r="F43" i="8"/>
  <c r="F4" i="8" s="1"/>
  <c r="G43" i="8"/>
  <c r="G4" i="8" s="1"/>
  <c r="D74" i="8"/>
  <c r="D118" i="8"/>
  <c r="A6" i="8"/>
  <c r="A77" i="8" s="1"/>
  <c r="C120" i="8"/>
  <c r="B5" i="8"/>
  <c r="I53" i="8"/>
  <c r="I56" i="8"/>
  <c r="I50" i="8"/>
  <c r="I44" i="8"/>
  <c r="I45" i="8"/>
  <c r="I47" i="8"/>
  <c r="I49" i="8"/>
  <c r="I52" i="8"/>
  <c r="I46" i="8"/>
  <c r="I48" i="8"/>
  <c r="I55" i="8"/>
  <c r="I51" i="8"/>
  <c r="I54" i="8"/>
  <c r="J2" i="8"/>
  <c r="D5" i="8" l="1"/>
  <c r="F5" i="8"/>
  <c r="I5" i="8"/>
  <c r="H5" i="8"/>
  <c r="G5" i="8"/>
  <c r="E5" i="8"/>
  <c r="J45" i="8"/>
  <c r="J50" i="8"/>
  <c r="J44" i="8"/>
  <c r="J51" i="8"/>
  <c r="J53" i="8"/>
  <c r="J47" i="8"/>
  <c r="J52" i="8"/>
  <c r="J46" i="8"/>
  <c r="J55" i="8"/>
  <c r="J56" i="8"/>
  <c r="J54" i="8"/>
  <c r="J49" i="8"/>
  <c r="J48" i="8"/>
  <c r="J43" i="8"/>
  <c r="J4" i="8" s="1"/>
  <c r="A7" i="8"/>
  <c r="A78" i="8" s="1"/>
  <c r="C121" i="8"/>
  <c r="B6" i="8"/>
  <c r="K2" i="8"/>
  <c r="J5" i="8" l="1"/>
  <c r="J6" i="8" s="1"/>
  <c r="E6" i="8"/>
  <c r="G6" i="8"/>
  <c r="H6" i="8"/>
  <c r="I6" i="8"/>
  <c r="D6" i="8"/>
  <c r="F6" i="8"/>
  <c r="A8" i="8"/>
  <c r="A79" i="8" s="1"/>
  <c r="B7" i="8"/>
  <c r="C122" i="8"/>
  <c r="K44" i="8"/>
  <c r="K45" i="8"/>
  <c r="K56" i="8"/>
  <c r="K47" i="8"/>
  <c r="K50" i="8"/>
  <c r="K51" i="8"/>
  <c r="K52" i="8"/>
  <c r="K54" i="8"/>
  <c r="K49" i="8"/>
  <c r="K48" i="8"/>
  <c r="K46" i="8"/>
  <c r="K55" i="8"/>
  <c r="K53" i="8"/>
  <c r="K43" i="8"/>
  <c r="K4" i="8" s="1"/>
  <c r="L2" i="8"/>
  <c r="E7" i="8" l="1"/>
  <c r="F7" i="8"/>
  <c r="D7" i="8"/>
  <c r="G7" i="8"/>
  <c r="I7" i="8"/>
  <c r="J7" i="8"/>
  <c r="H7" i="8"/>
  <c r="K5" i="8"/>
  <c r="L51" i="8"/>
  <c r="L44" i="8"/>
  <c r="L47" i="8"/>
  <c r="L49" i="8"/>
  <c r="L46" i="8"/>
  <c r="L56" i="8"/>
  <c r="L55" i="8"/>
  <c r="L50" i="8"/>
  <c r="L52" i="8"/>
  <c r="L45" i="8"/>
  <c r="L48" i="8"/>
  <c r="L54" i="8"/>
  <c r="L53" i="8"/>
  <c r="L43" i="8"/>
  <c r="L4" i="8" s="1"/>
  <c r="A9" i="8"/>
  <c r="A80" i="8" s="1"/>
  <c r="B8" i="8"/>
  <c r="C123" i="8"/>
  <c r="M2" i="8"/>
  <c r="L5" i="8" l="1"/>
  <c r="K6" i="8"/>
  <c r="E8" i="8"/>
  <c r="D8" i="8"/>
  <c r="F8" i="8"/>
  <c r="H8" i="8"/>
  <c r="L6" i="8"/>
  <c r="L7" i="8" s="1"/>
  <c r="L8" i="8" s="1"/>
  <c r="G8" i="8"/>
  <c r="I8" i="8"/>
  <c r="J8" i="8"/>
  <c r="M50" i="8"/>
  <c r="M45" i="8"/>
  <c r="M47" i="8"/>
  <c r="M54" i="8"/>
  <c r="M48" i="8"/>
  <c r="M56" i="8"/>
  <c r="M44" i="8"/>
  <c r="M49" i="8"/>
  <c r="M52" i="8"/>
  <c r="M55" i="8"/>
  <c r="M51" i="8"/>
  <c r="M46" i="8"/>
  <c r="M53" i="8"/>
  <c r="M43" i="8"/>
  <c r="M4" i="8" s="1"/>
  <c r="A10" i="8"/>
  <c r="A81" i="8" s="1"/>
  <c r="B9" i="8"/>
  <c r="C124" i="8"/>
  <c r="N2" i="8"/>
  <c r="M5" i="8" l="1"/>
  <c r="M6" i="8" s="1"/>
  <c r="M7" i="8" s="1"/>
  <c r="M8" i="8" s="1"/>
  <c r="M9" i="8" s="1"/>
  <c r="K7" i="8"/>
  <c r="F9" i="8"/>
  <c r="G9" i="8"/>
  <c r="H9" i="8"/>
  <c r="E9" i="8"/>
  <c r="J9" i="8"/>
  <c r="I9" i="8"/>
  <c r="L9" i="8"/>
  <c r="D9" i="8"/>
  <c r="A11" i="8"/>
  <c r="A82" i="8" s="1"/>
  <c r="C125" i="8"/>
  <c r="N45" i="8"/>
  <c r="N50" i="8"/>
  <c r="N54" i="8"/>
  <c r="N47" i="8"/>
  <c r="N52" i="8"/>
  <c r="N51" i="8"/>
  <c r="N46" i="8"/>
  <c r="N48" i="8"/>
  <c r="N49" i="8"/>
  <c r="N55" i="8"/>
  <c r="N56" i="8"/>
  <c r="N44" i="8"/>
  <c r="N53" i="8"/>
  <c r="N43" i="8"/>
  <c r="N4" i="8" s="1"/>
  <c r="O2" i="8"/>
  <c r="K8" i="8" l="1"/>
  <c r="I10" i="8"/>
  <c r="I11" i="8" s="1"/>
  <c r="I12" i="8" s="1"/>
  <c r="I13" i="8" s="1"/>
  <c r="I14" i="8" s="1"/>
  <c r="I15" i="8" s="1"/>
  <c r="E10" i="8"/>
  <c r="E11" i="8" s="1"/>
  <c r="E12" i="8" s="1"/>
  <c r="E13" i="8" s="1"/>
  <c r="E14" i="8" s="1"/>
  <c r="E15" i="8" s="1"/>
  <c r="G10" i="8"/>
  <c r="G11" i="8" s="1"/>
  <c r="G12" i="8" s="1"/>
  <c r="G13" i="8" s="1"/>
  <c r="G14" i="8" s="1"/>
  <c r="G15" i="8" s="1"/>
  <c r="D10" i="8"/>
  <c r="J10" i="8"/>
  <c r="J11" i="8" s="1"/>
  <c r="J12" i="8" s="1"/>
  <c r="J13" i="8" s="1"/>
  <c r="J14" i="8" s="1"/>
  <c r="J15" i="8" s="1"/>
  <c r="N5" i="8"/>
  <c r="N6" i="8" s="1"/>
  <c r="N7" i="8" s="1"/>
  <c r="N8" i="8" s="1"/>
  <c r="N9" i="8" s="1"/>
  <c r="N10" i="8" s="1"/>
  <c r="N11" i="8" s="1"/>
  <c r="N12" i="8" s="1"/>
  <c r="N13" i="8" s="1"/>
  <c r="N14" i="8" s="1"/>
  <c r="N15" i="8" s="1"/>
  <c r="L10" i="8"/>
  <c r="L11" i="8" s="1"/>
  <c r="L12" i="8" s="1"/>
  <c r="L13" i="8" s="1"/>
  <c r="L14" i="8" s="1"/>
  <c r="L15" i="8" s="1"/>
  <c r="H10" i="8"/>
  <c r="H11" i="8" s="1"/>
  <c r="H12" i="8" s="1"/>
  <c r="H13" i="8" s="1"/>
  <c r="H14" i="8" s="1"/>
  <c r="H15" i="8" s="1"/>
  <c r="F10" i="8"/>
  <c r="F11" i="8" s="1"/>
  <c r="F12" i="8" s="1"/>
  <c r="F13" i="8" s="1"/>
  <c r="F14" i="8" s="1"/>
  <c r="F15" i="8" s="1"/>
  <c r="M10" i="8"/>
  <c r="M11" i="8" s="1"/>
  <c r="M12" i="8" s="1"/>
  <c r="M13" i="8" s="1"/>
  <c r="M14" i="8" s="1"/>
  <c r="M15" i="8" s="1"/>
  <c r="O48" i="8"/>
  <c r="O49" i="8"/>
  <c r="O51" i="8"/>
  <c r="O44" i="8"/>
  <c r="O50" i="8"/>
  <c r="O55" i="8"/>
  <c r="O53" i="8"/>
  <c r="O47" i="8"/>
  <c r="O52" i="8"/>
  <c r="O46" i="8"/>
  <c r="O45" i="8"/>
  <c r="O56" i="8"/>
  <c r="O54" i="8"/>
  <c r="O43" i="8"/>
  <c r="O4" i="8" s="1"/>
  <c r="A12" i="8"/>
  <c r="A83" i="8" s="1"/>
  <c r="C126" i="8"/>
  <c r="P2" i="8"/>
  <c r="K9" i="8" l="1"/>
  <c r="D11" i="8"/>
  <c r="O5" i="8"/>
  <c r="O6" i="8" s="1"/>
  <c r="O7" i="8" s="1"/>
  <c r="O8" i="8" s="1"/>
  <c r="O9" i="8" s="1"/>
  <c r="O10" i="8" s="1"/>
  <c r="O11" i="8" s="1"/>
  <c r="O12" i="8" s="1"/>
  <c r="O13" i="8" s="1"/>
  <c r="O14" i="8" s="1"/>
  <c r="O15" i="8" s="1"/>
  <c r="C127" i="8"/>
  <c r="C12" i="8"/>
  <c r="A13" i="8"/>
  <c r="A84" i="8" s="1"/>
  <c r="P45" i="8"/>
  <c r="P50" i="8"/>
  <c r="P47" i="8"/>
  <c r="P44" i="8"/>
  <c r="P51" i="8"/>
  <c r="P56" i="8"/>
  <c r="P49" i="8"/>
  <c r="P52" i="8"/>
  <c r="P46" i="8"/>
  <c r="P53" i="8"/>
  <c r="P48" i="8"/>
  <c r="P55" i="8"/>
  <c r="P54" i="8"/>
  <c r="P43" i="8"/>
  <c r="P4" i="8" s="1"/>
  <c r="Q2" i="8"/>
  <c r="D12" i="8" l="1"/>
  <c r="K10" i="8"/>
  <c r="P5" i="8"/>
  <c r="P6" i="8" s="1"/>
  <c r="P7" i="8" s="1"/>
  <c r="Q45" i="8"/>
  <c r="Q56" i="8"/>
  <c r="Q44" i="8"/>
  <c r="Q55" i="8"/>
  <c r="Q52" i="8"/>
  <c r="Q51" i="8"/>
  <c r="Q50" i="8"/>
  <c r="Q48" i="8"/>
  <c r="Q53" i="8"/>
  <c r="Q46" i="8"/>
  <c r="Q47" i="8"/>
  <c r="Q49" i="8"/>
  <c r="Q54" i="8"/>
  <c r="Q43" i="8"/>
  <c r="Q4" i="8" s="1"/>
  <c r="C128" i="8"/>
  <c r="A14" i="8"/>
  <c r="C13" i="8"/>
  <c r="R2" i="8"/>
  <c r="P8" i="8" l="1"/>
  <c r="K11" i="8"/>
  <c r="D13" i="8"/>
  <c r="Q5" i="8"/>
  <c r="Q6" i="8" s="1"/>
  <c r="Q7" i="8" s="1"/>
  <c r="Q8" i="8" s="1"/>
  <c r="Q9" i="8" s="1"/>
  <c r="Q10" i="8" s="1"/>
  <c r="Q11" i="8" s="1"/>
  <c r="Q12" i="8" s="1"/>
  <c r="Q13" i="8" s="1"/>
  <c r="Q14" i="8" s="1"/>
  <c r="Q15" i="8" s="1"/>
  <c r="A15" i="8"/>
  <c r="A86" i="8" s="1"/>
  <c r="A85" i="8"/>
  <c r="R51" i="8"/>
  <c r="R45" i="8"/>
  <c r="R44" i="8"/>
  <c r="R50" i="8"/>
  <c r="R49" i="8"/>
  <c r="R52" i="8"/>
  <c r="R48" i="8"/>
  <c r="R46" i="8"/>
  <c r="R47" i="8"/>
  <c r="R54" i="8"/>
  <c r="R56" i="8"/>
  <c r="R55" i="8"/>
  <c r="R53" i="8"/>
  <c r="R43" i="8"/>
  <c r="R4" i="8" s="1"/>
  <c r="C129" i="8"/>
  <c r="A17" i="8"/>
  <c r="C14" i="8"/>
  <c r="S2" i="8"/>
  <c r="R5" i="8" l="1"/>
  <c r="R6" i="8" s="1"/>
  <c r="R7" i="8" s="1"/>
  <c r="R8" i="8" s="1"/>
  <c r="R9" i="8" s="1"/>
  <c r="R10" i="8" s="1"/>
  <c r="R11" i="8" s="1"/>
  <c r="R12" i="8" s="1"/>
  <c r="R13" i="8" s="1"/>
  <c r="R14" i="8" s="1"/>
  <c r="R15" i="8" s="1"/>
  <c r="D14" i="8"/>
  <c r="K12" i="8"/>
  <c r="A88" i="8"/>
  <c r="P9" i="8"/>
  <c r="S50" i="8"/>
  <c r="S56" i="8"/>
  <c r="S45" i="8"/>
  <c r="S44" i="8"/>
  <c r="S49" i="8"/>
  <c r="S55" i="8"/>
  <c r="S48" i="8"/>
  <c r="S46" i="8"/>
  <c r="S54" i="8"/>
  <c r="S52" i="8"/>
  <c r="S53" i="8"/>
  <c r="S51" i="8"/>
  <c r="S47" i="8"/>
  <c r="S43" i="8"/>
  <c r="S4" i="8" s="1"/>
  <c r="C71" i="8"/>
  <c r="C130" i="8"/>
  <c r="A18" i="8"/>
  <c r="C17" i="8"/>
  <c r="T2" i="8"/>
  <c r="A89" i="8" l="1"/>
  <c r="D18" i="8"/>
  <c r="J18" i="8"/>
  <c r="P18" i="8"/>
  <c r="P19" i="8" s="1"/>
  <c r="V18" i="8"/>
  <c r="V19" i="8" s="1"/>
  <c r="AB18" i="8"/>
  <c r="AB19" i="8" s="1"/>
  <c r="AH18" i="8"/>
  <c r="AN18" i="8"/>
  <c r="AT18" i="8"/>
  <c r="AZ18" i="8"/>
  <c r="AZ19" i="8" s="1"/>
  <c r="BF18" i="8"/>
  <c r="BF19" i="8" s="1"/>
  <c r="BL18" i="8"/>
  <c r="BL19" i="8" s="1"/>
  <c r="BR18" i="8"/>
  <c r="BX18" i="8"/>
  <c r="CD18" i="8"/>
  <c r="CJ18" i="8"/>
  <c r="CJ19" i="8" s="1"/>
  <c r="CP18" i="8"/>
  <c r="CP19" i="8" s="1"/>
  <c r="AA18" i="8"/>
  <c r="AA19" i="8" s="1"/>
  <c r="BK18" i="8"/>
  <c r="CI18" i="8"/>
  <c r="E18" i="8"/>
  <c r="K18" i="8"/>
  <c r="K19" i="8" s="1"/>
  <c r="Q18" i="8"/>
  <c r="Q19" i="8" s="1"/>
  <c r="W18" i="8"/>
  <c r="W19" i="8" s="1"/>
  <c r="AC18" i="8"/>
  <c r="AI18" i="8"/>
  <c r="AO18" i="8"/>
  <c r="AU18" i="8"/>
  <c r="AU19" i="8" s="1"/>
  <c r="BA18" i="8"/>
  <c r="BA19" i="8" s="1"/>
  <c r="BG18" i="8"/>
  <c r="BG19" i="8" s="1"/>
  <c r="BM18" i="8"/>
  <c r="BS18" i="8"/>
  <c r="BY18" i="8"/>
  <c r="CE18" i="8"/>
  <c r="CE19" i="8" s="1"/>
  <c r="CK18" i="8"/>
  <c r="CK19" i="8" s="1"/>
  <c r="U18" i="8"/>
  <c r="U19" i="8" s="1"/>
  <c r="AY18" i="8"/>
  <c r="CC18" i="8"/>
  <c r="F18" i="8"/>
  <c r="L18" i="8"/>
  <c r="L19" i="8" s="1"/>
  <c r="R18" i="8"/>
  <c r="R19" i="8" s="1"/>
  <c r="X18" i="8"/>
  <c r="X19" i="8" s="1"/>
  <c r="AD18" i="8"/>
  <c r="AJ18" i="8"/>
  <c r="AP18" i="8"/>
  <c r="AV18" i="8"/>
  <c r="AV19" i="8" s="1"/>
  <c r="BB18" i="8"/>
  <c r="BB19" i="8" s="1"/>
  <c r="BH18" i="8"/>
  <c r="BH19" i="8" s="1"/>
  <c r="BN18" i="8"/>
  <c r="BT18" i="8"/>
  <c r="BZ18" i="8"/>
  <c r="CF18" i="8"/>
  <c r="CF19" i="8" s="1"/>
  <c r="CL18" i="8"/>
  <c r="CL19" i="8" s="1"/>
  <c r="G18" i="8"/>
  <c r="G19" i="8" s="1"/>
  <c r="M18" i="8"/>
  <c r="S18" i="8"/>
  <c r="Y18" i="8"/>
  <c r="AE18" i="8"/>
  <c r="AE19" i="8" s="1"/>
  <c r="AK18" i="8"/>
  <c r="AK19" i="8" s="1"/>
  <c r="AQ18" i="8"/>
  <c r="AQ19" i="8" s="1"/>
  <c r="AW18" i="8"/>
  <c r="BC18" i="8"/>
  <c r="BI18" i="8"/>
  <c r="BO18" i="8"/>
  <c r="BO19" i="8" s="1"/>
  <c r="BU18" i="8"/>
  <c r="BU19" i="8" s="1"/>
  <c r="CA18" i="8"/>
  <c r="CA19" i="8" s="1"/>
  <c r="CG18" i="8"/>
  <c r="CM18" i="8"/>
  <c r="I18" i="8"/>
  <c r="BQ18" i="8"/>
  <c r="BQ19" i="8" s="1"/>
  <c r="H18" i="8"/>
  <c r="H19" i="8" s="1"/>
  <c r="N18" i="8"/>
  <c r="N19" i="8" s="1"/>
  <c r="T18" i="8"/>
  <c r="Z18" i="8"/>
  <c r="AF18" i="8"/>
  <c r="AL18" i="8"/>
  <c r="AL19" i="8" s="1"/>
  <c r="AR18" i="8"/>
  <c r="AR19" i="8" s="1"/>
  <c r="AX18" i="8"/>
  <c r="AX19" i="8" s="1"/>
  <c r="BD18" i="8"/>
  <c r="BJ18" i="8"/>
  <c r="BJ19" i="8" s="1"/>
  <c r="BP18" i="8"/>
  <c r="BV18" i="8"/>
  <c r="BV19" i="8" s="1"/>
  <c r="CB18" i="8"/>
  <c r="CB19" i="8" s="1"/>
  <c r="CH18" i="8"/>
  <c r="CH19" i="8" s="1"/>
  <c r="CN18" i="8"/>
  <c r="O18" i="8"/>
  <c r="O19" i="8" s="1"/>
  <c r="AM18" i="8"/>
  <c r="AS18" i="8"/>
  <c r="AS19" i="8" s="1"/>
  <c r="BE18" i="8"/>
  <c r="BE19" i="8" s="1"/>
  <c r="BW18" i="8"/>
  <c r="BW19" i="8" s="1"/>
  <c r="CO18" i="8"/>
  <c r="AG18" i="8"/>
  <c r="AG19" i="8" s="1"/>
  <c r="K13" i="8"/>
  <c r="P10" i="8"/>
  <c r="D15" i="8"/>
  <c r="S5" i="8"/>
  <c r="S6" i="8" s="1"/>
  <c r="S7" i="8" s="1"/>
  <c r="S8" i="8" s="1"/>
  <c r="S9" i="8" s="1"/>
  <c r="S10" i="8" s="1"/>
  <c r="S11" i="8" s="1"/>
  <c r="S12" i="8" s="1"/>
  <c r="S13" i="8" s="1"/>
  <c r="S14" i="8" s="1"/>
  <c r="S15" i="8" s="1"/>
  <c r="C131" i="8"/>
  <c r="C18" i="8"/>
  <c r="A19" i="8"/>
  <c r="A90" i="8" s="1"/>
  <c r="T50" i="8"/>
  <c r="T44" i="8"/>
  <c r="T56" i="8"/>
  <c r="T54" i="8"/>
  <c r="T49" i="8"/>
  <c r="T45" i="8"/>
  <c r="T47" i="8"/>
  <c r="T52" i="8"/>
  <c r="T53" i="8"/>
  <c r="T55" i="8"/>
  <c r="T46" i="8"/>
  <c r="T51" i="8"/>
  <c r="T48" i="8"/>
  <c r="T43" i="8"/>
  <c r="T4" i="8" s="1"/>
  <c r="U2" i="8"/>
  <c r="AM19" i="8" l="1"/>
  <c r="AM20" i="8" s="1"/>
  <c r="BP19" i="8"/>
  <c r="AF19" i="8"/>
  <c r="I19" i="8"/>
  <c r="BI19" i="8"/>
  <c r="Y19" i="8"/>
  <c r="BZ19" i="8"/>
  <c r="BZ20" i="8" s="1"/>
  <c r="AP19" i="8"/>
  <c r="F19" i="8"/>
  <c r="BY19" i="8"/>
  <c r="AO19" i="8"/>
  <c r="E19" i="8"/>
  <c r="CD19" i="8"/>
  <c r="CD20" i="8" s="1"/>
  <c r="AT19" i="8"/>
  <c r="J19" i="8"/>
  <c r="BJ20" i="8"/>
  <c r="Z19" i="8"/>
  <c r="CM19" i="8"/>
  <c r="BC19" i="8"/>
  <c r="S19" i="8"/>
  <c r="BT19" i="8"/>
  <c r="AJ19" i="8"/>
  <c r="AJ20" i="8" s="1"/>
  <c r="CC19" i="8"/>
  <c r="BS19" i="8"/>
  <c r="AI19" i="8"/>
  <c r="CI19" i="8"/>
  <c r="BX19" i="8"/>
  <c r="AN19" i="8"/>
  <c r="AN20" i="8" s="1"/>
  <c r="D19" i="8"/>
  <c r="AK20" i="8"/>
  <c r="BV20" i="8"/>
  <c r="CO19" i="8"/>
  <c r="CO20" i="8" s="1"/>
  <c r="CN19" i="8"/>
  <c r="BD19" i="8"/>
  <c r="T19" i="8"/>
  <c r="CG19" i="8"/>
  <c r="AW19" i="8"/>
  <c r="M19" i="8"/>
  <c r="M20" i="8" s="1"/>
  <c r="BN19" i="8"/>
  <c r="AD19" i="8"/>
  <c r="AY19" i="8"/>
  <c r="BM19" i="8"/>
  <c r="AC19" i="8"/>
  <c r="BK19" i="8"/>
  <c r="BK20" i="8" s="1"/>
  <c r="BR19" i="8"/>
  <c r="AH19" i="8"/>
  <c r="P11" i="8"/>
  <c r="K14" i="8"/>
  <c r="D88" i="8"/>
  <c r="T5" i="8"/>
  <c r="T6" i="8" s="1"/>
  <c r="T7" i="8" s="1"/>
  <c r="T8" i="8" s="1"/>
  <c r="T9" i="8" s="1"/>
  <c r="D130" i="8"/>
  <c r="U50" i="8"/>
  <c r="U49" i="8"/>
  <c r="U51" i="8"/>
  <c r="U45" i="8"/>
  <c r="U47" i="8"/>
  <c r="U44" i="8"/>
  <c r="U56" i="8"/>
  <c r="U53" i="8"/>
  <c r="U46" i="8"/>
  <c r="U48" i="8"/>
  <c r="U52" i="8"/>
  <c r="U55" i="8"/>
  <c r="U54" i="8"/>
  <c r="U43" i="8"/>
  <c r="U4" i="8" s="1"/>
  <c r="C132" i="8"/>
  <c r="A20" i="8"/>
  <c r="A91" i="8" s="1"/>
  <c r="C19" i="8"/>
  <c r="V2" i="8"/>
  <c r="BR20" i="8" l="1"/>
  <c r="BN20" i="8"/>
  <c r="CN20" i="8"/>
  <c r="BQ20" i="8"/>
  <c r="CL20" i="8"/>
  <c r="CL21" i="8" s="1"/>
  <c r="D20" i="8"/>
  <c r="CC20" i="8"/>
  <c r="Z20" i="8"/>
  <c r="AT20" i="8"/>
  <c r="AP20" i="8"/>
  <c r="BP20" i="8"/>
  <c r="BP21" i="8" s="1"/>
  <c r="CF20" i="8"/>
  <c r="CK20" i="8"/>
  <c r="W20" i="8"/>
  <c r="AQ20" i="8"/>
  <c r="AN21" i="8"/>
  <c r="E20" i="8"/>
  <c r="AZ20" i="8"/>
  <c r="P20" i="8"/>
  <c r="N20" i="8"/>
  <c r="M21" i="8"/>
  <c r="AW20" i="8"/>
  <c r="V20" i="8"/>
  <c r="BU20" i="8"/>
  <c r="BX20" i="8"/>
  <c r="BX21" i="8" s="1"/>
  <c r="O20" i="8"/>
  <c r="Y20" i="8"/>
  <c r="AL20" i="8"/>
  <c r="U20" i="8"/>
  <c r="BM20" i="8"/>
  <c r="CG20" i="8"/>
  <c r="CG21" i="8" s="1"/>
  <c r="CE20" i="8"/>
  <c r="CP20" i="8"/>
  <c r="H20" i="8"/>
  <c r="CI20" i="8"/>
  <c r="S20" i="8"/>
  <c r="AG20" i="8"/>
  <c r="AG21" i="8" s="1"/>
  <c r="AO20" i="8"/>
  <c r="BI20" i="8"/>
  <c r="K20" i="8"/>
  <c r="AS20" i="8"/>
  <c r="AB20" i="8"/>
  <c r="X20" i="8"/>
  <c r="X21" i="8" s="1"/>
  <c r="AX20" i="8"/>
  <c r="AY20" i="8"/>
  <c r="T20" i="8"/>
  <c r="AV20" i="8"/>
  <c r="BA20" i="8"/>
  <c r="BA21" i="8" s="1"/>
  <c r="AR20" i="8"/>
  <c r="AI20" i="8"/>
  <c r="BC20" i="8"/>
  <c r="BE20" i="8"/>
  <c r="BY20" i="8"/>
  <c r="I20" i="8"/>
  <c r="I21" i="8" s="1"/>
  <c r="AU20" i="8"/>
  <c r="BF20" i="8"/>
  <c r="BL20" i="8"/>
  <c r="BH20" i="8"/>
  <c r="CH20" i="8"/>
  <c r="CO21" i="8"/>
  <c r="BO20" i="8"/>
  <c r="BB20" i="8"/>
  <c r="BG20" i="8"/>
  <c r="BG21" i="8" s="1"/>
  <c r="CA20" i="8"/>
  <c r="CA21" i="8" s="1"/>
  <c r="AC20" i="8"/>
  <c r="CJ20" i="8"/>
  <c r="BT20" i="8"/>
  <c r="AH20" i="8"/>
  <c r="AD20" i="8"/>
  <c r="AD21" i="8" s="1"/>
  <c r="BD20" i="8"/>
  <c r="BD21" i="8" s="1"/>
  <c r="AE20" i="8"/>
  <c r="R20" i="8"/>
  <c r="CB20" i="8"/>
  <c r="BS20" i="8"/>
  <c r="CM20" i="8"/>
  <c r="CM21" i="8" s="1"/>
  <c r="J20" i="8"/>
  <c r="J21" i="8" s="1"/>
  <c r="F20" i="8"/>
  <c r="AF20" i="8"/>
  <c r="L20" i="8"/>
  <c r="Q20" i="8"/>
  <c r="AA20" i="8"/>
  <c r="AA21" i="8" s="1"/>
  <c r="G20" i="8"/>
  <c r="G21" i="8" s="1"/>
  <c r="BW20" i="8"/>
  <c r="K15" i="8"/>
  <c r="T10" i="8"/>
  <c r="P12" i="8"/>
  <c r="U5" i="8"/>
  <c r="U6" i="8" s="1"/>
  <c r="U7" i="8" s="1"/>
  <c r="U8" i="8" s="1"/>
  <c r="U9" i="8" s="1"/>
  <c r="U10" i="8" s="1"/>
  <c r="U11" i="8" s="1"/>
  <c r="U12" i="8" s="1"/>
  <c r="U13" i="8" s="1"/>
  <c r="U14" i="8" s="1"/>
  <c r="U15" i="8" s="1"/>
  <c r="V45" i="8"/>
  <c r="V56" i="8"/>
  <c r="V50" i="8"/>
  <c r="V49" i="8"/>
  <c r="V44" i="8"/>
  <c r="V46" i="8"/>
  <c r="V47" i="8"/>
  <c r="V52" i="8"/>
  <c r="V55" i="8"/>
  <c r="V53" i="8"/>
  <c r="V51" i="8"/>
  <c r="V54" i="8"/>
  <c r="V48" i="8"/>
  <c r="V43" i="8"/>
  <c r="V4" i="8" s="1"/>
  <c r="C133" i="8"/>
  <c r="A21" i="8"/>
  <c r="A92" i="8" s="1"/>
  <c r="C20" i="8"/>
  <c r="W2" i="8"/>
  <c r="AK21" i="8" l="1"/>
  <c r="AU21" i="8"/>
  <c r="AR21" i="8"/>
  <c r="AX21" i="8"/>
  <c r="AX22" i="8" s="1"/>
  <c r="AO21" i="8"/>
  <c r="CE21" i="8"/>
  <c r="O21" i="8"/>
  <c r="AJ21" i="8"/>
  <c r="BJ21" i="8"/>
  <c r="CF21" i="8"/>
  <c r="CF22" i="8" s="1"/>
  <c r="D21" i="8"/>
  <c r="Q21" i="8"/>
  <c r="BS21" i="8"/>
  <c r="AH21" i="8"/>
  <c r="BB21" i="8"/>
  <c r="BB22" i="8" s="1"/>
  <c r="CH21" i="8"/>
  <c r="BY21" i="8"/>
  <c r="AV21" i="8"/>
  <c r="AB21" i="8"/>
  <c r="S21" i="8"/>
  <c r="BM21" i="8"/>
  <c r="BM22" i="8" s="1"/>
  <c r="BU21" i="8"/>
  <c r="N21" i="8"/>
  <c r="BK21" i="8"/>
  <c r="AP21" i="8"/>
  <c r="BQ21" i="8"/>
  <c r="AD22" i="8"/>
  <c r="CL22" i="8"/>
  <c r="CB21" i="8"/>
  <c r="BT21" i="8"/>
  <c r="BO21" i="8"/>
  <c r="BH21" i="8"/>
  <c r="BE21" i="8"/>
  <c r="T21" i="8"/>
  <c r="T22" i="8" s="1"/>
  <c r="AS21" i="8"/>
  <c r="CI21" i="8"/>
  <c r="U21" i="8"/>
  <c r="V21" i="8"/>
  <c r="P21" i="8"/>
  <c r="AQ21" i="8"/>
  <c r="AQ22" i="8" s="1"/>
  <c r="AT21" i="8"/>
  <c r="CN21" i="8"/>
  <c r="AG22" i="8"/>
  <c r="L21" i="8"/>
  <c r="AF21" i="8"/>
  <c r="R21" i="8"/>
  <c r="CJ21" i="8"/>
  <c r="CJ22" i="8" s="1"/>
  <c r="AM21" i="8"/>
  <c r="BL21" i="8"/>
  <c r="BC21" i="8"/>
  <c r="AY21" i="8"/>
  <c r="K21" i="8"/>
  <c r="H21" i="8"/>
  <c r="H22" i="8" s="1"/>
  <c r="AL21" i="8"/>
  <c r="AW21" i="8"/>
  <c r="AZ21" i="8"/>
  <c r="W21" i="8"/>
  <c r="Z21" i="8"/>
  <c r="BN21" i="8"/>
  <c r="BN22" i="8" s="1"/>
  <c r="G22" i="8"/>
  <c r="BW21" i="8"/>
  <c r="F21" i="8"/>
  <c r="F22" i="8" s="1"/>
  <c r="AE21" i="8"/>
  <c r="AE22" i="8" s="1"/>
  <c r="AC21" i="8"/>
  <c r="CD21" i="8"/>
  <c r="BF21" i="8"/>
  <c r="AI21" i="8"/>
  <c r="BV21" i="8"/>
  <c r="BV22" i="8" s="1"/>
  <c r="BI21" i="8"/>
  <c r="BI22" i="8" s="1"/>
  <c r="CP21" i="8"/>
  <c r="Y21" i="8"/>
  <c r="BZ21" i="8"/>
  <c r="E21" i="8"/>
  <c r="CK21" i="8"/>
  <c r="CK22" i="8" s="1"/>
  <c r="CC21" i="8"/>
  <c r="CC22" i="8" s="1"/>
  <c r="BR21" i="8"/>
  <c r="P13" i="8"/>
  <c r="T11" i="8"/>
  <c r="V5" i="8"/>
  <c r="V6" i="8" s="1"/>
  <c r="V7" i="8" s="1"/>
  <c r="V8" i="8" s="1"/>
  <c r="V9" i="8" s="1"/>
  <c r="V10" i="8" s="1"/>
  <c r="V11" i="8" s="1"/>
  <c r="V12" i="8" s="1"/>
  <c r="V13" i="8" s="1"/>
  <c r="V14" i="8" s="1"/>
  <c r="V15" i="8" s="1"/>
  <c r="C134" i="8"/>
  <c r="C21" i="8"/>
  <c r="A22" i="8"/>
  <c r="A93" i="8" s="1"/>
  <c r="W51" i="8"/>
  <c r="W54" i="8"/>
  <c r="W50" i="8"/>
  <c r="W55" i="8"/>
  <c r="W47" i="8"/>
  <c r="W45" i="8"/>
  <c r="W44" i="8"/>
  <c r="W48" i="8"/>
  <c r="W52" i="8"/>
  <c r="W53" i="8"/>
  <c r="W46" i="8"/>
  <c r="W56" i="8"/>
  <c r="W49" i="8"/>
  <c r="W43" i="8"/>
  <c r="W4" i="8" s="1"/>
  <c r="X2" i="8"/>
  <c r="AL22" i="8" l="1"/>
  <c r="AM22" i="8"/>
  <c r="BX22" i="8"/>
  <c r="AT22" i="8"/>
  <c r="AS22" i="8"/>
  <c r="CB22" i="8"/>
  <c r="CO22" i="8"/>
  <c r="BU22" i="8"/>
  <c r="CH22" i="8"/>
  <c r="D22" i="8"/>
  <c r="AO22" i="8"/>
  <c r="E22" i="8"/>
  <c r="AI22" i="8"/>
  <c r="BW22" i="8"/>
  <c r="Z22" i="8"/>
  <c r="K22" i="8"/>
  <c r="R22" i="8"/>
  <c r="I22" i="8"/>
  <c r="P22" i="8"/>
  <c r="BE22" i="8"/>
  <c r="AN22" i="8"/>
  <c r="BQ22" i="8"/>
  <c r="S22" i="8"/>
  <c r="AH22" i="8"/>
  <c r="BJ22" i="8"/>
  <c r="AR22" i="8"/>
  <c r="BZ22" i="8"/>
  <c r="BF22" i="8"/>
  <c r="X22" i="8"/>
  <c r="W22" i="8"/>
  <c r="AY22" i="8"/>
  <c r="AF22" i="8"/>
  <c r="CM22" i="8"/>
  <c r="V22" i="8"/>
  <c r="BH22" i="8"/>
  <c r="M22" i="8"/>
  <c r="AP22" i="8"/>
  <c r="AB22" i="8"/>
  <c r="BS22" i="8"/>
  <c r="AJ22" i="8"/>
  <c r="AU22" i="8"/>
  <c r="Y22" i="8"/>
  <c r="CD22" i="8"/>
  <c r="BG22" i="8"/>
  <c r="AZ22" i="8"/>
  <c r="BC22" i="8"/>
  <c r="L22" i="8"/>
  <c r="BD22" i="8"/>
  <c r="U22" i="8"/>
  <c r="BO22" i="8"/>
  <c r="CG22" i="8"/>
  <c r="BK22" i="8"/>
  <c r="AV22" i="8"/>
  <c r="Q22" i="8"/>
  <c r="O22" i="8"/>
  <c r="AK22" i="8"/>
  <c r="BR22" i="8"/>
  <c r="CP22" i="8"/>
  <c r="AC22" i="8"/>
  <c r="AA22" i="8"/>
  <c r="AW22" i="8"/>
  <c r="BL22" i="8"/>
  <c r="BP22" i="8"/>
  <c r="CN22" i="8"/>
  <c r="CI22" i="8"/>
  <c r="BT22" i="8"/>
  <c r="BA22" i="8"/>
  <c r="N22" i="8"/>
  <c r="BY22" i="8"/>
  <c r="J22" i="8"/>
  <c r="CE22" i="8"/>
  <c r="CA22" i="8"/>
  <c r="T12" i="8"/>
  <c r="P14" i="8"/>
  <c r="W5" i="8"/>
  <c r="W6" i="8" s="1"/>
  <c r="W7" i="8" s="1"/>
  <c r="W8" i="8" s="1"/>
  <c r="W9" i="8" s="1"/>
  <c r="W10" i="8" s="1"/>
  <c r="C135" i="8"/>
  <c r="A23" i="8"/>
  <c r="A94" i="8" s="1"/>
  <c r="C22" i="8"/>
  <c r="X45" i="8"/>
  <c r="X55" i="8"/>
  <c r="X56" i="8"/>
  <c r="X47" i="8"/>
  <c r="X44" i="8"/>
  <c r="X51" i="8"/>
  <c r="X49" i="8"/>
  <c r="X52" i="8"/>
  <c r="X48" i="8"/>
  <c r="X53" i="8"/>
  <c r="X46" i="8"/>
  <c r="X54" i="8"/>
  <c r="X50" i="8"/>
  <c r="X43" i="8"/>
  <c r="X4" i="8" s="1"/>
  <c r="Y2" i="8"/>
  <c r="CI23" i="8" l="1"/>
  <c r="BC23" i="8"/>
  <c r="W23" i="8"/>
  <c r="Z23" i="8"/>
  <c r="AG23" i="8"/>
  <c r="AG24" i="8" s="1"/>
  <c r="CN23" i="8"/>
  <c r="BN23" i="8"/>
  <c r="AU23" i="8"/>
  <c r="AR23" i="8"/>
  <c r="BY23" i="8"/>
  <c r="BP23" i="8"/>
  <c r="BR23" i="8"/>
  <c r="AK23" i="8"/>
  <c r="BO23" i="8"/>
  <c r="BG23" i="8"/>
  <c r="AJ23" i="8"/>
  <c r="V23" i="8"/>
  <c r="V24" i="8" s="1"/>
  <c r="BF23" i="8"/>
  <c r="BJ23" i="8"/>
  <c r="P23" i="8"/>
  <c r="AI23" i="8"/>
  <c r="BV23" i="8"/>
  <c r="CB23" i="8"/>
  <c r="CB24" i="8" s="1"/>
  <c r="G23" i="8"/>
  <c r="N23" i="8"/>
  <c r="BL23" i="8"/>
  <c r="AX23" i="8"/>
  <c r="O23" i="8"/>
  <c r="U23" i="8"/>
  <c r="U24" i="8" s="1"/>
  <c r="CD23" i="8"/>
  <c r="BS23" i="8"/>
  <c r="CM23" i="8"/>
  <c r="BZ23" i="8"/>
  <c r="AH23" i="8"/>
  <c r="I23" i="8"/>
  <c r="I24" i="8" s="1"/>
  <c r="E23" i="8"/>
  <c r="AO23" i="8"/>
  <c r="AS23" i="8"/>
  <c r="AE23" i="8"/>
  <c r="CE23" i="8"/>
  <c r="BK23" i="8"/>
  <c r="BK24" i="8" s="1"/>
  <c r="F23" i="8"/>
  <c r="AN23" i="8"/>
  <c r="BU23" i="8"/>
  <c r="J23" i="8"/>
  <c r="CG23" i="8"/>
  <c r="BH23" i="8"/>
  <c r="BH24" i="8" s="1"/>
  <c r="BE23" i="8"/>
  <c r="CO23" i="8"/>
  <c r="AW23" i="8"/>
  <c r="BB23" i="8"/>
  <c r="BD23" i="8"/>
  <c r="Y23" i="8"/>
  <c r="Y24" i="8" s="1"/>
  <c r="AF23" i="8"/>
  <c r="CL23" i="8"/>
  <c r="S23" i="8"/>
  <c r="R23" i="8"/>
  <c r="CF23" i="8"/>
  <c r="D23" i="8"/>
  <c r="D24" i="8" s="1"/>
  <c r="AT23" i="8"/>
  <c r="BI23" i="8"/>
  <c r="AC23" i="8"/>
  <c r="AQ23" i="8"/>
  <c r="M23" i="8"/>
  <c r="CK23" i="8"/>
  <c r="CK24" i="8" s="1"/>
  <c r="AM23" i="8"/>
  <c r="CP23" i="8"/>
  <c r="AZ23" i="8"/>
  <c r="X23" i="8"/>
  <c r="BW23" i="8"/>
  <c r="H23" i="8"/>
  <c r="H24" i="8" s="1"/>
  <c r="AL23" i="8"/>
  <c r="BA23" i="8"/>
  <c r="Q23" i="8"/>
  <c r="AB23" i="8"/>
  <c r="CA23" i="8"/>
  <c r="BT23" i="8"/>
  <c r="BT24" i="8" s="1"/>
  <c r="AA23" i="8"/>
  <c r="AD23" i="8"/>
  <c r="AV23" i="8"/>
  <c r="L23" i="8"/>
  <c r="T23" i="8"/>
  <c r="AP23" i="8"/>
  <c r="AP24" i="8" s="1"/>
  <c r="AY23" i="8"/>
  <c r="CJ23" i="8"/>
  <c r="BQ23" i="8"/>
  <c r="K23" i="8"/>
  <c r="BM23" i="8"/>
  <c r="CH23" i="8"/>
  <c r="CH24" i="8" s="1"/>
  <c r="BX23" i="8"/>
  <c r="CC23" i="8"/>
  <c r="W11" i="8"/>
  <c r="P15" i="8"/>
  <c r="T13" i="8"/>
  <c r="X5" i="8"/>
  <c r="X6" i="8" s="1"/>
  <c r="X7" i="8" s="1"/>
  <c r="X8" i="8" s="1"/>
  <c r="X9" i="8" s="1"/>
  <c r="X10" i="8" s="1"/>
  <c r="X11" i="8" s="1"/>
  <c r="X12" i="8" s="1"/>
  <c r="X13" i="8" s="1"/>
  <c r="X14" i="8" s="1"/>
  <c r="X15" i="8" s="1"/>
  <c r="C136" i="8"/>
  <c r="A24" i="8"/>
  <c r="A95" i="8" s="1"/>
  <c r="C23" i="8"/>
  <c r="Y51" i="8"/>
  <c r="Y47" i="8"/>
  <c r="Y50" i="8"/>
  <c r="Y44" i="8"/>
  <c r="Y45" i="8"/>
  <c r="Y56" i="8"/>
  <c r="Y49" i="8"/>
  <c r="Y55" i="8"/>
  <c r="Y48" i="8"/>
  <c r="Y46" i="8"/>
  <c r="Y53" i="8"/>
  <c r="Y54" i="8"/>
  <c r="Y52" i="8"/>
  <c r="Y43" i="8"/>
  <c r="Y4" i="8" s="1"/>
  <c r="Z2" i="8"/>
  <c r="BX24" i="8" l="1"/>
  <c r="AY24" i="8"/>
  <c r="AA24" i="8"/>
  <c r="AL24" i="8"/>
  <c r="AM24" i="8"/>
  <c r="AM25" i="8" s="1"/>
  <c r="AT24" i="8"/>
  <c r="AF24" i="8"/>
  <c r="BE24" i="8"/>
  <c r="F24" i="8"/>
  <c r="E24" i="8"/>
  <c r="CD24" i="8"/>
  <c r="CD25" i="8" s="1"/>
  <c r="G24" i="8"/>
  <c r="BF24" i="8"/>
  <c r="BR24" i="8"/>
  <c r="CN24" i="8"/>
  <c r="CK25" i="8"/>
  <c r="BP24" i="8"/>
  <c r="BM24" i="8"/>
  <c r="T24" i="8"/>
  <c r="T25" i="8" s="1"/>
  <c r="CA24" i="8"/>
  <c r="BW24" i="8"/>
  <c r="M24" i="8"/>
  <c r="CF24" i="8"/>
  <c r="BD24" i="8"/>
  <c r="CG24" i="8"/>
  <c r="CG25" i="8" s="1"/>
  <c r="CE24" i="8"/>
  <c r="AH24" i="8"/>
  <c r="O24" i="8"/>
  <c r="BV24" i="8"/>
  <c r="AJ24" i="8"/>
  <c r="BY24" i="8"/>
  <c r="BY25" i="8" s="1"/>
  <c r="Z24" i="8"/>
  <c r="K24" i="8"/>
  <c r="L24" i="8"/>
  <c r="AB24" i="8"/>
  <c r="X24" i="8"/>
  <c r="AQ24" i="8"/>
  <c r="AQ25" i="8" s="1"/>
  <c r="R24" i="8"/>
  <c r="BB24" i="8"/>
  <c r="J24" i="8"/>
  <c r="AE24" i="8"/>
  <c r="BZ24" i="8"/>
  <c r="AX24" i="8"/>
  <c r="AX25" i="8" s="1"/>
  <c r="AI24" i="8"/>
  <c r="BG24" i="8"/>
  <c r="AR24" i="8"/>
  <c r="W24" i="8"/>
  <c r="D25" i="8"/>
  <c r="BQ24" i="8"/>
  <c r="AV24" i="8"/>
  <c r="Q24" i="8"/>
  <c r="Q25" i="8" s="1"/>
  <c r="AZ24" i="8"/>
  <c r="AC24" i="8"/>
  <c r="S24" i="8"/>
  <c r="AW24" i="8"/>
  <c r="BU24" i="8"/>
  <c r="AS24" i="8"/>
  <c r="AS25" i="8" s="1"/>
  <c r="CM24" i="8"/>
  <c r="BL24" i="8"/>
  <c r="P24" i="8"/>
  <c r="BO24" i="8"/>
  <c r="AU24" i="8"/>
  <c r="BC24" i="8"/>
  <c r="BC25" i="8" s="1"/>
  <c r="CC24" i="8"/>
  <c r="CJ24" i="8"/>
  <c r="CJ25" i="8" s="1"/>
  <c r="AD24" i="8"/>
  <c r="BA24" i="8"/>
  <c r="CP24" i="8"/>
  <c r="BI24" i="8"/>
  <c r="CL24" i="8"/>
  <c r="CO24" i="8"/>
  <c r="CO25" i="8" s="1"/>
  <c r="AN24" i="8"/>
  <c r="AO24" i="8"/>
  <c r="BS24" i="8"/>
  <c r="N24" i="8"/>
  <c r="BJ24" i="8"/>
  <c r="AK24" i="8"/>
  <c r="AK25" i="8" s="1"/>
  <c r="BN24" i="8"/>
  <c r="BN25" i="8" s="1"/>
  <c r="CI24" i="8"/>
  <c r="T14" i="8"/>
  <c r="W12" i="8"/>
  <c r="Y5" i="8"/>
  <c r="Y6" i="8" s="1"/>
  <c r="Y7" i="8" s="1"/>
  <c r="Y8" i="8" s="1"/>
  <c r="Y9" i="8" s="1"/>
  <c r="Y10" i="8" s="1"/>
  <c r="Y11" i="8" s="1"/>
  <c r="Y12" i="8" s="1"/>
  <c r="Y13" i="8" s="1"/>
  <c r="Y14" i="8" s="1"/>
  <c r="Y15" i="8" s="1"/>
  <c r="Z49" i="8"/>
  <c r="Z45" i="8"/>
  <c r="Z48" i="8"/>
  <c r="Z47" i="8"/>
  <c r="Z50" i="8"/>
  <c r="Z54" i="8"/>
  <c r="Z55" i="8"/>
  <c r="Z52" i="8"/>
  <c r="Z56" i="8"/>
  <c r="Z46" i="8"/>
  <c r="Z44" i="8"/>
  <c r="Z51" i="8"/>
  <c r="Z53" i="8"/>
  <c r="Z43" i="8"/>
  <c r="Z4" i="8" s="1"/>
  <c r="C137" i="8"/>
  <c r="C24" i="8"/>
  <c r="A25" i="8"/>
  <c r="A96" i="8" s="1"/>
  <c r="AA2" i="8"/>
  <c r="AN25" i="8" l="1"/>
  <c r="AD25" i="8"/>
  <c r="CH25" i="8"/>
  <c r="CM25" i="8"/>
  <c r="AZ25" i="8"/>
  <c r="BK25" i="8"/>
  <c r="AI25" i="8"/>
  <c r="R25" i="8"/>
  <c r="Z25" i="8"/>
  <c r="CE25" i="8"/>
  <c r="CA25" i="8"/>
  <c r="Y25" i="8"/>
  <c r="G25" i="8"/>
  <c r="AT25" i="8"/>
  <c r="BJ25" i="8"/>
  <c r="CL25" i="8"/>
  <c r="CC25" i="8"/>
  <c r="AU25" i="8"/>
  <c r="BU25" i="8"/>
  <c r="AV25" i="8"/>
  <c r="BT25" i="8"/>
  <c r="BZ25" i="8"/>
  <c r="X25" i="8"/>
  <c r="AJ25" i="8"/>
  <c r="BD25" i="8"/>
  <c r="BM25" i="8"/>
  <c r="AP25" i="8"/>
  <c r="E25" i="8"/>
  <c r="AL25" i="8"/>
  <c r="N25" i="8"/>
  <c r="CB25" i="8"/>
  <c r="BO25" i="8"/>
  <c r="AW25" i="8"/>
  <c r="BQ25" i="8"/>
  <c r="W25" i="8"/>
  <c r="AE25" i="8"/>
  <c r="AB25" i="8"/>
  <c r="BV25" i="8"/>
  <c r="CF25" i="8"/>
  <c r="BP25" i="8"/>
  <c r="CN25" i="8"/>
  <c r="F25" i="8"/>
  <c r="AA25" i="8"/>
  <c r="BS25" i="8"/>
  <c r="CP25" i="8"/>
  <c r="BH25" i="8"/>
  <c r="P25" i="8"/>
  <c r="S25" i="8"/>
  <c r="AG25" i="8"/>
  <c r="AR25" i="8"/>
  <c r="J25" i="8"/>
  <c r="L25" i="8"/>
  <c r="O25" i="8"/>
  <c r="M25" i="8"/>
  <c r="V25" i="8"/>
  <c r="BR25" i="8"/>
  <c r="BE25" i="8"/>
  <c r="AY25" i="8"/>
  <c r="BI25" i="8"/>
  <c r="CI25" i="8"/>
  <c r="AO25" i="8"/>
  <c r="BA25" i="8"/>
  <c r="H25" i="8"/>
  <c r="BL25" i="8"/>
  <c r="AC25" i="8"/>
  <c r="U25" i="8"/>
  <c r="BG25" i="8"/>
  <c r="BB25" i="8"/>
  <c r="K25" i="8"/>
  <c r="AH25" i="8"/>
  <c r="BW25" i="8"/>
  <c r="I25" i="8"/>
  <c r="BF25" i="8"/>
  <c r="AF25" i="8"/>
  <c r="BX25" i="8"/>
  <c r="W13" i="8"/>
  <c r="T15" i="8"/>
  <c r="Z5" i="8"/>
  <c r="Z6" i="8" s="1"/>
  <c r="Z7" i="8" s="1"/>
  <c r="Z8" i="8" s="1"/>
  <c r="Z9" i="8" s="1"/>
  <c r="Z10" i="8" s="1"/>
  <c r="Z11" i="8" s="1"/>
  <c r="Z12" i="8" s="1"/>
  <c r="Z13" i="8" s="1"/>
  <c r="Z14" i="8" s="1"/>
  <c r="Z15" i="8" s="1"/>
  <c r="C138" i="8"/>
  <c r="A26" i="8"/>
  <c r="A97" i="8" s="1"/>
  <c r="C25" i="8"/>
  <c r="AA51" i="8"/>
  <c r="AA45" i="8"/>
  <c r="AA47" i="8"/>
  <c r="AA52" i="8"/>
  <c r="AA49" i="8"/>
  <c r="AA53" i="8"/>
  <c r="AA50" i="8"/>
  <c r="AA44" i="8"/>
  <c r="AA46" i="8"/>
  <c r="AA56" i="8"/>
  <c r="AA54" i="8"/>
  <c r="AA55" i="8"/>
  <c r="AA48" i="8"/>
  <c r="AA43" i="8"/>
  <c r="AA4" i="8" s="1"/>
  <c r="AB2" i="8"/>
  <c r="AA5" i="8" l="1"/>
  <c r="AA6" i="8" s="1"/>
  <c r="BB26" i="8"/>
  <c r="J26" i="8"/>
  <c r="W26" i="8"/>
  <c r="CK26" i="8"/>
  <c r="CL26" i="8"/>
  <c r="AZ26" i="8"/>
  <c r="BF26" i="8"/>
  <c r="BG26" i="8"/>
  <c r="AO26" i="8"/>
  <c r="BR26" i="8"/>
  <c r="AR26" i="8"/>
  <c r="BS26" i="8"/>
  <c r="BP26" i="8"/>
  <c r="BQ26" i="8"/>
  <c r="AQ26" i="8"/>
  <c r="AP26" i="8"/>
  <c r="BT26" i="8"/>
  <c r="BJ26" i="8"/>
  <c r="BJ27" i="8" s="1"/>
  <c r="Q26" i="8"/>
  <c r="CE26" i="8"/>
  <c r="CM26" i="8"/>
  <c r="BA26" i="8"/>
  <c r="CP26" i="8"/>
  <c r="E26" i="8"/>
  <c r="E27" i="8" s="1"/>
  <c r="AX26" i="8"/>
  <c r="I26" i="8"/>
  <c r="U26" i="8"/>
  <c r="CI26" i="8"/>
  <c r="V26" i="8"/>
  <c r="AG26" i="8"/>
  <c r="AG27" i="8" s="1"/>
  <c r="AS26" i="8"/>
  <c r="CF26" i="8"/>
  <c r="AW26" i="8"/>
  <c r="D26" i="8"/>
  <c r="BM26" i="8"/>
  <c r="AV26" i="8"/>
  <c r="AV27" i="8" s="1"/>
  <c r="AM26" i="8"/>
  <c r="CJ26" i="8"/>
  <c r="Z26" i="8"/>
  <c r="CH26" i="8"/>
  <c r="AC26" i="8"/>
  <c r="BI26" i="8"/>
  <c r="BI27" i="8" s="1"/>
  <c r="M26" i="8"/>
  <c r="S26" i="8"/>
  <c r="AK26" i="8"/>
  <c r="BV26" i="8"/>
  <c r="BO26" i="8"/>
  <c r="BC26" i="8"/>
  <c r="BC27" i="8" s="1"/>
  <c r="BD26" i="8"/>
  <c r="BU26" i="8"/>
  <c r="T26" i="8"/>
  <c r="AT26" i="8"/>
  <c r="R26" i="8"/>
  <c r="AD26" i="8"/>
  <c r="AD27" i="8" s="1"/>
  <c r="AF26" i="8"/>
  <c r="BE26" i="8"/>
  <c r="CN26" i="8"/>
  <c r="BZ26" i="8"/>
  <c r="CA26" i="8"/>
  <c r="BW26" i="8"/>
  <c r="BW27" i="8" s="1"/>
  <c r="BL26" i="8"/>
  <c r="CD26" i="8"/>
  <c r="P26" i="8"/>
  <c r="AA26" i="8"/>
  <c r="AB26" i="8"/>
  <c r="CB26" i="8"/>
  <c r="CB27" i="8" s="1"/>
  <c r="CO26" i="8"/>
  <c r="AJ26" i="8"/>
  <c r="AU26" i="8"/>
  <c r="CG26" i="8"/>
  <c r="G26" i="8"/>
  <c r="AI26" i="8"/>
  <c r="AI27" i="8" s="1"/>
  <c r="AN26" i="8"/>
  <c r="AH26" i="8"/>
  <c r="O26" i="8"/>
  <c r="BX26" i="8"/>
  <c r="K26" i="8"/>
  <c r="H26" i="8"/>
  <c r="H27" i="8" s="1"/>
  <c r="AY26" i="8"/>
  <c r="L26" i="8"/>
  <c r="BH26" i="8"/>
  <c r="F26" i="8"/>
  <c r="AE26" i="8"/>
  <c r="N26" i="8"/>
  <c r="N27" i="8" s="1"/>
  <c r="AL26" i="8"/>
  <c r="X26" i="8"/>
  <c r="CC26" i="8"/>
  <c r="BY26" i="8"/>
  <c r="Y26" i="8"/>
  <c r="BK26" i="8"/>
  <c r="BK27" i="8" s="1"/>
  <c r="BN26" i="8"/>
  <c r="W14" i="8"/>
  <c r="AA7" i="8"/>
  <c r="AA8" i="8" s="1"/>
  <c r="AA9" i="8" s="1"/>
  <c r="AA10" i="8" s="1"/>
  <c r="AA11" i="8" s="1"/>
  <c r="AA12" i="8" s="1"/>
  <c r="AA13" i="8" s="1"/>
  <c r="AA14" i="8" s="1"/>
  <c r="AA15" i="8" s="1"/>
  <c r="C139" i="8"/>
  <c r="A27" i="8"/>
  <c r="A98" i="8" s="1"/>
  <c r="C26" i="8"/>
  <c r="AB51" i="8"/>
  <c r="AB44" i="8"/>
  <c r="AB56" i="8"/>
  <c r="AB49" i="8"/>
  <c r="AB50" i="8"/>
  <c r="AB45" i="8"/>
  <c r="AB48" i="8"/>
  <c r="AB46" i="8"/>
  <c r="AB55" i="8"/>
  <c r="AB54" i="8"/>
  <c r="AB52" i="8"/>
  <c r="AB47" i="8"/>
  <c r="AB53" i="8"/>
  <c r="AB43" i="8"/>
  <c r="AB4" i="8" s="1"/>
  <c r="AC2" i="8"/>
  <c r="AB5" i="8" l="1"/>
  <c r="BS27" i="8"/>
  <c r="BS28" i="8" s="1"/>
  <c r="Y27" i="8"/>
  <c r="AE27" i="8"/>
  <c r="K27" i="8"/>
  <c r="G27" i="8"/>
  <c r="AB27" i="8"/>
  <c r="CA27" i="8"/>
  <c r="CA28" i="8" s="1"/>
  <c r="R27" i="8"/>
  <c r="BO27" i="8"/>
  <c r="AC27" i="8"/>
  <c r="BM27" i="8"/>
  <c r="V27" i="8"/>
  <c r="CP27" i="8"/>
  <c r="CP28" i="8" s="1"/>
  <c r="BT27" i="8"/>
  <c r="AR27" i="8"/>
  <c r="CL27" i="8"/>
  <c r="AV28" i="8"/>
  <c r="AZ27" i="8"/>
  <c r="BY27" i="8"/>
  <c r="F27" i="8"/>
  <c r="BX27" i="8"/>
  <c r="CG27" i="8"/>
  <c r="CG28" i="8" s="1"/>
  <c r="AA27" i="8"/>
  <c r="BZ27" i="8"/>
  <c r="AT27" i="8"/>
  <c r="BV27" i="8"/>
  <c r="CH27" i="8"/>
  <c r="D27" i="8"/>
  <c r="D28" i="8" s="1"/>
  <c r="CI27" i="8"/>
  <c r="BA27" i="8"/>
  <c r="AP27" i="8"/>
  <c r="BR27" i="8"/>
  <c r="CK27" i="8"/>
  <c r="N28" i="8"/>
  <c r="CC27" i="8"/>
  <c r="BH27" i="8"/>
  <c r="O27" i="8"/>
  <c r="O28" i="8" s="1"/>
  <c r="AU27" i="8"/>
  <c r="P27" i="8"/>
  <c r="CN27" i="8"/>
  <c r="T27" i="8"/>
  <c r="AK27" i="8"/>
  <c r="Z27" i="8"/>
  <c r="Z28" i="8" s="1"/>
  <c r="AW27" i="8"/>
  <c r="U27" i="8"/>
  <c r="CM27" i="8"/>
  <c r="AQ27" i="8"/>
  <c r="AO27" i="8"/>
  <c r="W27" i="8"/>
  <c r="W28" i="8" s="1"/>
  <c r="X27" i="8"/>
  <c r="AH27" i="8"/>
  <c r="AH28" i="8" s="1"/>
  <c r="CD27" i="8"/>
  <c r="BE27" i="8"/>
  <c r="BU27" i="8"/>
  <c r="S27" i="8"/>
  <c r="S28" i="8" s="1"/>
  <c r="CJ27" i="8"/>
  <c r="CF27" i="8"/>
  <c r="CF28" i="8" s="1"/>
  <c r="I27" i="8"/>
  <c r="CE27" i="8"/>
  <c r="BQ27" i="8"/>
  <c r="BQ28" i="8" s="1"/>
  <c r="BG27" i="8"/>
  <c r="BG28" i="8" s="1"/>
  <c r="J27" i="8"/>
  <c r="L27" i="8"/>
  <c r="L28" i="8" s="1"/>
  <c r="AJ27" i="8"/>
  <c r="BN27" i="8"/>
  <c r="BN28" i="8" s="1"/>
  <c r="AL27" i="8"/>
  <c r="AL28" i="8" s="1"/>
  <c r="AY27" i="8"/>
  <c r="AY28" i="8" s="1"/>
  <c r="AN27" i="8"/>
  <c r="CO27" i="8"/>
  <c r="CO28" i="8" s="1"/>
  <c r="BL27" i="8"/>
  <c r="AF27" i="8"/>
  <c r="AF28" i="8" s="1"/>
  <c r="BD27" i="8"/>
  <c r="BD28" i="8" s="1"/>
  <c r="M27" i="8"/>
  <c r="M28" i="8" s="1"/>
  <c r="AM27" i="8"/>
  <c r="AS27" i="8"/>
  <c r="AS28" i="8" s="1"/>
  <c r="AX27" i="8"/>
  <c r="AX28" i="8" s="1"/>
  <c r="Q27" i="8"/>
  <c r="Q28" i="8" s="1"/>
  <c r="BP27" i="8"/>
  <c r="BP28" i="8" s="1"/>
  <c r="BF27" i="8"/>
  <c r="BF28" i="8" s="1"/>
  <c r="BB27" i="8"/>
  <c r="W15" i="8"/>
  <c r="AB6" i="8"/>
  <c r="AB7" i="8" s="1"/>
  <c r="AB8" i="8" s="1"/>
  <c r="AB9" i="8" s="1"/>
  <c r="AB10" i="8" s="1"/>
  <c r="AB11" i="8" s="1"/>
  <c r="AB12" i="8" s="1"/>
  <c r="AB13" i="8" s="1"/>
  <c r="AB14" i="8" s="1"/>
  <c r="AB15" i="8" s="1"/>
  <c r="AC56" i="8"/>
  <c r="AC51" i="8"/>
  <c r="AC45" i="8"/>
  <c r="AC50" i="8"/>
  <c r="AC55" i="8"/>
  <c r="AC49" i="8"/>
  <c r="AC47" i="8"/>
  <c r="AC44" i="8"/>
  <c r="AC48" i="8"/>
  <c r="AC52" i="8"/>
  <c r="AC46" i="8"/>
  <c r="AC53" i="8"/>
  <c r="AC54" i="8"/>
  <c r="AC43" i="8"/>
  <c r="AC4" i="8" s="1"/>
  <c r="C140" i="8"/>
  <c r="A28" i="8"/>
  <c r="BK28" i="8" s="1"/>
  <c r="C27" i="8"/>
  <c r="AD2" i="8"/>
  <c r="AC5" i="8" l="1"/>
  <c r="AC6" i="8" s="1"/>
  <c r="AC7" i="8" s="1"/>
  <c r="AC8" i="8" s="1"/>
  <c r="AC9" i="8" s="1"/>
  <c r="AC10" i="8" s="1"/>
  <c r="AC11" i="8" s="1"/>
  <c r="AC12" i="8" s="1"/>
  <c r="AC13" i="8" s="1"/>
  <c r="AC14" i="8" s="1"/>
  <c r="AC15" i="8" s="1"/>
  <c r="CP29" i="8"/>
  <c r="BU28" i="8"/>
  <c r="AO28" i="8"/>
  <c r="AO29" i="8" s="1"/>
  <c r="AK28" i="8"/>
  <c r="BH28" i="8"/>
  <c r="CK28" i="8"/>
  <c r="CH28" i="8"/>
  <c r="BX28" i="8"/>
  <c r="BW28" i="8"/>
  <c r="BW29" i="8" s="1"/>
  <c r="V28" i="8"/>
  <c r="AB28" i="8"/>
  <c r="E28" i="8"/>
  <c r="BN29" i="8"/>
  <c r="CE28" i="8"/>
  <c r="BE28" i="8"/>
  <c r="AQ28" i="8"/>
  <c r="T28" i="8"/>
  <c r="CC28" i="8"/>
  <c r="BR28" i="8"/>
  <c r="BR29" i="8" s="1"/>
  <c r="BV28" i="8"/>
  <c r="F28" i="8"/>
  <c r="H28" i="8"/>
  <c r="BM28" i="8"/>
  <c r="G28" i="8"/>
  <c r="BI28" i="8"/>
  <c r="BI29" i="8" s="1"/>
  <c r="BL28" i="8"/>
  <c r="AJ28" i="8"/>
  <c r="I28" i="8"/>
  <c r="CD28" i="8"/>
  <c r="CM28" i="8"/>
  <c r="CM29" i="8" s="1"/>
  <c r="CN28" i="8"/>
  <c r="AG28" i="8"/>
  <c r="AP28" i="8"/>
  <c r="AT28" i="8"/>
  <c r="BY28" i="8"/>
  <c r="CL28" i="8"/>
  <c r="CL29" i="8" s="1"/>
  <c r="AC28" i="8"/>
  <c r="K28" i="8"/>
  <c r="AD28" i="8"/>
  <c r="D29" i="8"/>
  <c r="U28" i="8"/>
  <c r="U29" i="8" s="1"/>
  <c r="P28" i="8"/>
  <c r="BC28" i="8"/>
  <c r="BA28" i="8"/>
  <c r="BZ28" i="8"/>
  <c r="AZ28" i="8"/>
  <c r="AR28" i="8"/>
  <c r="AR29" i="8" s="1"/>
  <c r="BO28" i="8"/>
  <c r="AE28" i="8"/>
  <c r="AI28" i="8"/>
  <c r="Z29" i="8"/>
  <c r="BB28" i="8"/>
  <c r="AM28" i="8"/>
  <c r="AM29" i="8" s="1"/>
  <c r="AN28" i="8"/>
  <c r="J28" i="8"/>
  <c r="CJ28" i="8"/>
  <c r="X28" i="8"/>
  <c r="AW28" i="8"/>
  <c r="AW29" i="8" s="1"/>
  <c r="AU28" i="8"/>
  <c r="AU29" i="8" s="1"/>
  <c r="CB28" i="8"/>
  <c r="CI28" i="8"/>
  <c r="AA28" i="8"/>
  <c r="AA29" i="8" s="1"/>
  <c r="BJ28" i="8"/>
  <c r="BJ29" i="8" s="1"/>
  <c r="BT28" i="8"/>
  <c r="BT29" i="8" s="1"/>
  <c r="R28" i="8"/>
  <c r="R29" i="8" s="1"/>
  <c r="Y28" i="8"/>
  <c r="A29" i="8"/>
  <c r="BK29" i="8" s="1"/>
  <c r="A99" i="8"/>
  <c r="AD45" i="8"/>
  <c r="AD56" i="8"/>
  <c r="AD50" i="8"/>
  <c r="AD47" i="8"/>
  <c r="AD53" i="8"/>
  <c r="AD44" i="8"/>
  <c r="AD48" i="8"/>
  <c r="AD55" i="8"/>
  <c r="AD49" i="8"/>
  <c r="AD52" i="8"/>
  <c r="AD54" i="8"/>
  <c r="AD46" i="8"/>
  <c r="AD51" i="8"/>
  <c r="AD43" i="8"/>
  <c r="AD4" i="8" s="1"/>
  <c r="C141" i="8"/>
  <c r="C28" i="8"/>
  <c r="A31" i="8"/>
  <c r="AE2" i="8"/>
  <c r="BB29" i="8" l="1"/>
  <c r="BG29" i="8"/>
  <c r="AZ29" i="8"/>
  <c r="AH29" i="8"/>
  <c r="W29" i="8"/>
  <c r="BY29" i="8"/>
  <c r="CD29" i="8"/>
  <c r="G29" i="8"/>
  <c r="CC29" i="8"/>
  <c r="AF29" i="8"/>
  <c r="BX29" i="8"/>
  <c r="BU29" i="8"/>
  <c r="N29" i="8"/>
  <c r="X29" i="8"/>
  <c r="CF29" i="8"/>
  <c r="BF29" i="8"/>
  <c r="BZ29" i="8"/>
  <c r="L29" i="8"/>
  <c r="AY29" i="8"/>
  <c r="AT29" i="8"/>
  <c r="I29" i="8"/>
  <c r="BM29" i="8"/>
  <c r="T29" i="8"/>
  <c r="Q29" i="8"/>
  <c r="CH29" i="8"/>
  <c r="BQ29" i="8"/>
  <c r="O29" i="8"/>
  <c r="CJ29" i="8"/>
  <c r="CO29" i="8"/>
  <c r="AI29" i="8"/>
  <c r="BA29" i="8"/>
  <c r="AS29" i="8"/>
  <c r="AD29" i="8"/>
  <c r="AP29" i="8"/>
  <c r="AJ29" i="8"/>
  <c r="H29" i="8"/>
  <c r="AQ29" i="8"/>
  <c r="E29" i="8"/>
  <c r="CK29" i="8"/>
  <c r="AL29" i="8"/>
  <c r="S29" i="8"/>
  <c r="CI29" i="8"/>
  <c r="AE29" i="8"/>
  <c r="K29" i="8"/>
  <c r="BL29" i="8"/>
  <c r="BE29" i="8"/>
  <c r="BH29" i="8"/>
  <c r="M29" i="8"/>
  <c r="J29" i="8"/>
  <c r="CA29" i="8"/>
  <c r="BC29" i="8"/>
  <c r="BS29" i="8"/>
  <c r="AG29" i="8"/>
  <c r="F29" i="8"/>
  <c r="AB29" i="8"/>
  <c r="BD29" i="8"/>
  <c r="Y29" i="8"/>
  <c r="CB29" i="8"/>
  <c r="AN29" i="8"/>
  <c r="CG29" i="8"/>
  <c r="BO29" i="8"/>
  <c r="P29" i="8"/>
  <c r="AV29" i="8"/>
  <c r="AC29" i="8"/>
  <c r="CN29" i="8"/>
  <c r="AX29" i="8"/>
  <c r="BV29" i="8"/>
  <c r="CE29" i="8"/>
  <c r="V29" i="8"/>
  <c r="AK29" i="8"/>
  <c r="BP29" i="8"/>
  <c r="A102" i="8"/>
  <c r="AD5" i="8"/>
  <c r="AD6" i="8" s="1"/>
  <c r="AD7" i="8" s="1"/>
  <c r="AD8" i="8" s="1"/>
  <c r="AD9" i="8" s="1"/>
  <c r="AD10" i="8" s="1"/>
  <c r="AD11" i="8" s="1"/>
  <c r="AD12" i="8" s="1"/>
  <c r="AD13" i="8" s="1"/>
  <c r="AD14" i="8" s="1"/>
  <c r="AD15" i="8" s="1"/>
  <c r="A100" i="8"/>
  <c r="C29" i="8"/>
  <c r="AE51" i="8"/>
  <c r="AE45" i="8"/>
  <c r="AE56" i="8"/>
  <c r="AE50" i="8"/>
  <c r="AE47" i="8"/>
  <c r="AE44" i="8"/>
  <c r="AE54" i="8"/>
  <c r="AE53" i="8"/>
  <c r="AE55" i="8"/>
  <c r="AE48" i="8"/>
  <c r="AE49" i="8"/>
  <c r="AE46" i="8"/>
  <c r="AE52" i="8"/>
  <c r="AE43" i="8"/>
  <c r="AE4" i="8" s="1"/>
  <c r="C72" i="8"/>
  <c r="C142" i="8"/>
  <c r="A32" i="8"/>
  <c r="C31" i="8"/>
  <c r="AF2" i="8"/>
  <c r="AE5" i="8" l="1"/>
  <c r="AE6" i="8" s="1"/>
  <c r="AE7" i="8" s="1"/>
  <c r="AE8" i="8" s="1"/>
  <c r="AE9" i="8" s="1"/>
  <c r="AE10" i="8" s="1"/>
  <c r="AE11" i="8" s="1"/>
  <c r="AE12" i="8" s="1"/>
  <c r="AE13" i="8" s="1"/>
  <c r="AE14" i="8" s="1"/>
  <c r="AE15" i="8" s="1"/>
  <c r="A103" i="8"/>
  <c r="AF56" i="8"/>
  <c r="AF52" i="8"/>
  <c r="AF50" i="8"/>
  <c r="AF48" i="8"/>
  <c r="AF44" i="8"/>
  <c r="AF47" i="8"/>
  <c r="AF53" i="8"/>
  <c r="AF51" i="8"/>
  <c r="AF49" i="8"/>
  <c r="AF55" i="8"/>
  <c r="AF54" i="8"/>
  <c r="AF46" i="8"/>
  <c r="AF45" i="8"/>
  <c r="AF43" i="8"/>
  <c r="AF4" i="8" s="1"/>
  <c r="C143" i="8"/>
  <c r="A33" i="8"/>
  <c r="C32" i="8"/>
  <c r="AG2" i="8"/>
  <c r="A104" i="8" l="1"/>
  <c r="D102" i="8"/>
  <c r="AF5" i="8"/>
  <c r="AF6" i="8" s="1"/>
  <c r="AF7" i="8" s="1"/>
  <c r="AF8" i="8" s="1"/>
  <c r="AF9" i="8" s="1"/>
  <c r="AF10" i="8" s="1"/>
  <c r="AF11" i="8" s="1"/>
  <c r="AF12" i="8" s="1"/>
  <c r="AF13" i="8" s="1"/>
  <c r="AF14" i="8" s="1"/>
  <c r="AF15" i="8" s="1"/>
  <c r="I32" i="8"/>
  <c r="O32" i="8"/>
  <c r="U32" i="8"/>
  <c r="AA32" i="8"/>
  <c r="AG32" i="8"/>
  <c r="J32" i="8"/>
  <c r="P32" i="8"/>
  <c r="V32" i="8"/>
  <c r="AB32" i="8"/>
  <c r="L32" i="8"/>
  <c r="R32" i="8"/>
  <c r="X32" i="8"/>
  <c r="AD32" i="8"/>
  <c r="E32" i="8"/>
  <c r="Q32" i="8"/>
  <c r="AC32" i="8"/>
  <c r="G32" i="8"/>
  <c r="S32" i="8"/>
  <c r="AE32" i="8"/>
  <c r="K32" i="8"/>
  <c r="W32" i="8"/>
  <c r="Y32" i="8"/>
  <c r="H32" i="8"/>
  <c r="AF32" i="8"/>
  <c r="M32" i="8"/>
  <c r="T32" i="8"/>
  <c r="Z32" i="8"/>
  <c r="N32" i="8"/>
  <c r="AG50" i="8"/>
  <c r="AG44" i="8"/>
  <c r="AG55" i="8"/>
  <c r="AG46" i="8"/>
  <c r="AG45" i="8"/>
  <c r="AG47" i="8"/>
  <c r="AG49" i="8"/>
  <c r="AG54" i="8"/>
  <c r="AG53" i="8"/>
  <c r="AG56" i="8"/>
  <c r="AG51" i="8"/>
  <c r="AG48" i="8"/>
  <c r="AG52" i="8"/>
  <c r="AG43" i="8"/>
  <c r="AG4" i="8" s="1"/>
  <c r="AG5" i="8" s="1"/>
  <c r="C144" i="8"/>
  <c r="A34" i="8"/>
  <c r="C33" i="8"/>
  <c r="D142" i="8"/>
  <c r="AH2" i="8"/>
  <c r="AH32" i="8" s="1"/>
  <c r="AG6" i="8" l="1"/>
  <c r="AG7" i="8" s="1"/>
  <c r="AG8" i="8" s="1"/>
  <c r="AG9" i="8" s="1"/>
  <c r="AG10" i="8" s="1"/>
  <c r="AG11" i="8" s="1"/>
  <c r="AG12" i="8" s="1"/>
  <c r="AG13" i="8" s="1"/>
  <c r="AG14" i="8" s="1"/>
  <c r="AG15" i="8" s="1"/>
  <c r="A105" i="8"/>
  <c r="I33" i="8"/>
  <c r="P33" i="8"/>
  <c r="W33" i="8"/>
  <c r="AD33" i="8"/>
  <c r="J33" i="8"/>
  <c r="Q33" i="8"/>
  <c r="X33" i="8"/>
  <c r="AF33" i="8"/>
  <c r="E33" i="8"/>
  <c r="L33" i="8"/>
  <c r="T33" i="8"/>
  <c r="AA33" i="8"/>
  <c r="AH33" i="8"/>
  <c r="K33" i="8"/>
  <c r="Z33" i="8"/>
  <c r="N33" i="8"/>
  <c r="AB33" i="8"/>
  <c r="R33" i="8"/>
  <c r="AG33" i="8"/>
  <c r="O33" i="8"/>
  <c r="U33" i="8"/>
  <c r="AC33" i="8"/>
  <c r="V33" i="8"/>
  <c r="H33" i="8"/>
  <c r="Y33" i="8"/>
  <c r="AE33" i="8"/>
  <c r="M33" i="8"/>
  <c r="S33" i="8"/>
  <c r="G33" i="8"/>
  <c r="AH47" i="8"/>
  <c r="AH51" i="8"/>
  <c r="AH55" i="8"/>
  <c r="AH50" i="8"/>
  <c r="AH45" i="8"/>
  <c r="AH56" i="8"/>
  <c r="AH49" i="8"/>
  <c r="AH44" i="8"/>
  <c r="AH54" i="8"/>
  <c r="AH46" i="8"/>
  <c r="AH48" i="8"/>
  <c r="AH53" i="8"/>
  <c r="AH52" i="8"/>
  <c r="AH43" i="8"/>
  <c r="AH4" i="8" s="1"/>
  <c r="AH5" i="8" s="1"/>
  <c r="C145" i="8"/>
  <c r="C34" i="8"/>
  <c r="A35" i="8"/>
  <c r="AI2" i="8"/>
  <c r="AI32" i="8" s="1"/>
  <c r="AI33" i="8" s="1"/>
  <c r="A106" i="8" l="1"/>
  <c r="AH6" i="8"/>
  <c r="AH7" i="8" s="1"/>
  <c r="AH8" i="8" s="1"/>
  <c r="AH9" i="8" s="1"/>
  <c r="AH10" i="8" s="1"/>
  <c r="AH11" i="8" s="1"/>
  <c r="AH12" i="8" s="1"/>
  <c r="AH13" i="8" s="1"/>
  <c r="AH14" i="8" s="1"/>
  <c r="AH15" i="8" s="1"/>
  <c r="AD34" i="8"/>
  <c r="G34" i="8"/>
  <c r="Y34" i="8"/>
  <c r="S34" i="8"/>
  <c r="R34" i="8"/>
  <c r="X34" i="8"/>
  <c r="N34" i="8"/>
  <c r="V34" i="8"/>
  <c r="AF34" i="8"/>
  <c r="E34" i="8"/>
  <c r="O34" i="8"/>
  <c r="W34" i="8"/>
  <c r="AG34" i="8"/>
  <c r="I34" i="8"/>
  <c r="Q34" i="8"/>
  <c r="AA34" i="8"/>
  <c r="AI34" i="8"/>
  <c r="H34" i="8"/>
  <c r="Z34" i="8"/>
  <c r="J34" i="8"/>
  <c r="AB34" i="8"/>
  <c r="P34" i="8"/>
  <c r="AH34" i="8"/>
  <c r="K34" i="8"/>
  <c r="T34" i="8"/>
  <c r="AC34" i="8"/>
  <c r="U34" i="8"/>
  <c r="M34" i="8"/>
  <c r="L34" i="8"/>
  <c r="AE34" i="8"/>
  <c r="AI45" i="8"/>
  <c r="AI49" i="8"/>
  <c r="AI44" i="8"/>
  <c r="AI53" i="8"/>
  <c r="AI51" i="8"/>
  <c r="AI48" i="8"/>
  <c r="AI55" i="8"/>
  <c r="AI47" i="8"/>
  <c r="AI52" i="8"/>
  <c r="AI54" i="8"/>
  <c r="AI50" i="8"/>
  <c r="AI56" i="8"/>
  <c r="AI46" i="8"/>
  <c r="AI43" i="8"/>
  <c r="AI4" i="8" s="1"/>
  <c r="C146" i="8"/>
  <c r="C35" i="8"/>
  <c r="A36" i="8"/>
  <c r="AJ2" i="8"/>
  <c r="AJ32" i="8" s="1"/>
  <c r="AJ33" i="8" s="1"/>
  <c r="AJ34" i="8" s="1"/>
  <c r="B36" i="8" l="1"/>
  <c r="A107" i="8"/>
  <c r="AI5" i="8"/>
  <c r="AI6" i="8" s="1"/>
  <c r="AI7" i="8" s="1"/>
  <c r="AI8" i="8" s="1"/>
  <c r="AI9" i="8" s="1"/>
  <c r="AI10" i="8" s="1"/>
  <c r="AI11" i="8" s="1"/>
  <c r="AI12" i="8" s="1"/>
  <c r="AI13" i="8" s="1"/>
  <c r="AI14" i="8" s="1"/>
  <c r="AI15" i="8" s="1"/>
  <c r="S35" i="8"/>
  <c r="L35" i="8"/>
  <c r="O35" i="8"/>
  <c r="AA35" i="8"/>
  <c r="P35" i="8"/>
  <c r="AB35" i="8"/>
  <c r="I35" i="8"/>
  <c r="U35" i="8"/>
  <c r="AG35" i="8"/>
  <c r="H35" i="8"/>
  <c r="AF35" i="8"/>
  <c r="J35" i="8"/>
  <c r="AH35" i="8"/>
  <c r="T35" i="8"/>
  <c r="V35" i="8"/>
  <c r="N35" i="8"/>
  <c r="Z35" i="8"/>
  <c r="AJ35" i="8"/>
  <c r="AE35" i="8"/>
  <c r="W35" i="8"/>
  <c r="AD35" i="8"/>
  <c r="M35" i="8"/>
  <c r="AC35" i="8"/>
  <c r="K35" i="8"/>
  <c r="AI35" i="8"/>
  <c r="G35" i="8"/>
  <c r="E35" i="8"/>
  <c r="X35" i="8"/>
  <c r="Y35" i="8"/>
  <c r="Q35" i="8"/>
  <c r="R35" i="8"/>
  <c r="C147" i="8"/>
  <c r="A37" i="8"/>
  <c r="C36" i="8"/>
  <c r="AJ49" i="8"/>
  <c r="AJ51" i="8"/>
  <c r="AJ45" i="8"/>
  <c r="AJ50" i="8"/>
  <c r="AJ44" i="8"/>
  <c r="AJ55" i="8"/>
  <c r="AJ56" i="8"/>
  <c r="AJ54" i="8"/>
  <c r="AJ53" i="8"/>
  <c r="AJ52" i="8"/>
  <c r="AJ46" i="8"/>
  <c r="AJ48" i="8"/>
  <c r="AJ47" i="8"/>
  <c r="AJ43" i="8"/>
  <c r="AJ4" i="8" s="1"/>
  <c r="AK2" i="8"/>
  <c r="AK32" i="8" s="1"/>
  <c r="AK33" i="8" s="1"/>
  <c r="AK34" i="8" s="1"/>
  <c r="AK35" i="8" s="1"/>
  <c r="L36" i="8" l="1"/>
  <c r="A108" i="8"/>
  <c r="B37" i="8"/>
  <c r="AJ5" i="8"/>
  <c r="AJ6" i="8" s="1"/>
  <c r="AJ7" i="8" s="1"/>
  <c r="AJ8" i="8" s="1"/>
  <c r="AJ9" i="8" s="1"/>
  <c r="AJ10" i="8" s="1"/>
  <c r="AJ11" i="8" s="1"/>
  <c r="AJ12" i="8" s="1"/>
  <c r="AJ13" i="8" s="1"/>
  <c r="AJ14" i="8" s="1"/>
  <c r="AJ15" i="8" s="1"/>
  <c r="R36" i="8"/>
  <c r="S36" i="8"/>
  <c r="AD36" i="8"/>
  <c r="Q36" i="8"/>
  <c r="X36" i="8"/>
  <c r="K36" i="8"/>
  <c r="AH36" i="8"/>
  <c r="AC36" i="8"/>
  <c r="E36" i="8"/>
  <c r="AJ36" i="8"/>
  <c r="AK36" i="8"/>
  <c r="P36" i="8"/>
  <c r="AE36" i="8"/>
  <c r="V36" i="8"/>
  <c r="M36" i="8"/>
  <c r="J36" i="8"/>
  <c r="AB36" i="8"/>
  <c r="G36" i="8"/>
  <c r="W36" i="8"/>
  <c r="I36" i="8"/>
  <c r="AA36" i="8"/>
  <c r="N36" i="8"/>
  <c r="AF36" i="8"/>
  <c r="T36" i="8"/>
  <c r="O36" i="8"/>
  <c r="U36" i="8"/>
  <c r="AG36" i="8"/>
  <c r="Z36" i="8"/>
  <c r="H36" i="8"/>
  <c r="Y36" i="8"/>
  <c r="AI36" i="8"/>
  <c r="AK44" i="8"/>
  <c r="AK45" i="8"/>
  <c r="AK51" i="8"/>
  <c r="AK49" i="8"/>
  <c r="AK47" i="8"/>
  <c r="AK56" i="8"/>
  <c r="AK53" i="8"/>
  <c r="AK52" i="8"/>
  <c r="AK54" i="8"/>
  <c r="AK50" i="8"/>
  <c r="AK46" i="8"/>
  <c r="AK48" i="8"/>
  <c r="AK55" i="8"/>
  <c r="AK43" i="8"/>
  <c r="AK4" i="8" s="1"/>
  <c r="C148" i="8"/>
  <c r="C37" i="8"/>
  <c r="AL2" i="8"/>
  <c r="AL32" i="8" s="1"/>
  <c r="AL33" i="8" s="1"/>
  <c r="AL34" i="8" s="1"/>
  <c r="AL35" i="8" s="1"/>
  <c r="AL36" i="8" s="1"/>
  <c r="X37" i="8" l="1"/>
  <c r="AK5" i="8"/>
  <c r="AK6" i="8" s="1"/>
  <c r="AK7" i="8" s="1"/>
  <c r="AK8" i="8" s="1"/>
  <c r="AK9" i="8" s="1"/>
  <c r="AK10" i="8" s="1"/>
  <c r="AK11" i="8" s="1"/>
  <c r="AK12" i="8" s="1"/>
  <c r="AK13" i="8" s="1"/>
  <c r="AK14" i="8" s="1"/>
  <c r="AK15" i="8" s="1"/>
  <c r="Y37" i="8"/>
  <c r="AJ37" i="8"/>
  <c r="K37" i="8"/>
  <c r="U37" i="8"/>
  <c r="I37" i="8"/>
  <c r="J37" i="8"/>
  <c r="AI37" i="8"/>
  <c r="AA37" i="8"/>
  <c r="G37" i="8"/>
  <c r="AB37" i="8"/>
  <c r="E37" i="8"/>
  <c r="P37" i="8"/>
  <c r="M37" i="8"/>
  <c r="N37" i="8"/>
  <c r="T37" i="8"/>
  <c r="AE37" i="8"/>
  <c r="Z37" i="8"/>
  <c r="H37" i="8"/>
  <c r="AF37" i="8"/>
  <c r="AL37" i="8"/>
  <c r="AK37" i="8"/>
  <c r="AD37" i="8"/>
  <c r="R37" i="8"/>
  <c r="AH37" i="8"/>
  <c r="AG37" i="8"/>
  <c r="O37" i="8"/>
  <c r="S37" i="8"/>
  <c r="AC37" i="8"/>
  <c r="W37" i="8"/>
  <c r="Q37" i="8"/>
  <c r="V37" i="8"/>
  <c r="L37" i="8"/>
  <c r="AL49" i="8"/>
  <c r="AL51" i="8"/>
  <c r="AL53" i="8"/>
  <c r="AL47" i="8"/>
  <c r="AL44" i="8"/>
  <c r="AL56" i="8"/>
  <c r="AL54" i="8"/>
  <c r="AL45" i="8"/>
  <c r="AL48" i="8"/>
  <c r="AL55" i="8"/>
  <c r="AL50" i="8"/>
  <c r="AL52" i="8"/>
  <c r="AL46" i="8"/>
  <c r="AL43" i="8"/>
  <c r="AL4" i="8" s="1"/>
  <c r="AM2" i="8"/>
  <c r="AM32" i="8" s="1"/>
  <c r="AM33" i="8" s="1"/>
  <c r="AM34" i="8" s="1"/>
  <c r="AM35" i="8" s="1"/>
  <c r="AM36" i="8" s="1"/>
  <c r="AM37" i="8" s="1"/>
  <c r="AL5" i="8" l="1"/>
  <c r="AL6" i="8" s="1"/>
  <c r="AL7" i="8" s="1"/>
  <c r="AL8" i="8" s="1"/>
  <c r="AL9" i="8" s="1"/>
  <c r="AL10" i="8" s="1"/>
  <c r="AL11" i="8" s="1"/>
  <c r="AL12" i="8" s="1"/>
  <c r="AL13" i="8" s="1"/>
  <c r="AL14" i="8" s="1"/>
  <c r="AL15" i="8" s="1"/>
  <c r="AM51" i="8"/>
  <c r="AM46" i="8"/>
  <c r="AM56" i="8"/>
  <c r="AM45" i="8"/>
  <c r="AM47" i="8"/>
  <c r="AM52" i="8"/>
  <c r="AM54" i="8"/>
  <c r="AM49" i="8"/>
  <c r="AM48" i="8"/>
  <c r="AM50" i="8"/>
  <c r="AM55" i="8"/>
  <c r="AM44" i="8"/>
  <c r="AM53" i="8"/>
  <c r="AM43" i="8"/>
  <c r="AM4" i="8" s="1"/>
  <c r="AN2" i="8"/>
  <c r="AN32" i="8" s="1"/>
  <c r="AN33" i="8" s="1"/>
  <c r="AN34" i="8" s="1"/>
  <c r="AN35" i="8" s="1"/>
  <c r="AN36" i="8" s="1"/>
  <c r="AN37" i="8" s="1"/>
  <c r="AM5" i="8" l="1"/>
  <c r="AM6" i="8" s="1"/>
  <c r="AM7" i="8" s="1"/>
  <c r="AM8" i="8" s="1"/>
  <c r="AM9" i="8" s="1"/>
  <c r="AM10" i="8" s="1"/>
  <c r="AM11" i="8" s="1"/>
  <c r="AM12" i="8" s="1"/>
  <c r="AM13" i="8" s="1"/>
  <c r="AM14" i="8" s="1"/>
  <c r="AM15" i="8" s="1"/>
  <c r="AN50" i="8"/>
  <c r="AN51" i="8"/>
  <c r="AN45" i="8"/>
  <c r="AN47" i="8"/>
  <c r="AN56" i="8"/>
  <c r="AN44" i="8"/>
  <c r="AN55" i="8"/>
  <c r="AN54" i="8"/>
  <c r="AN53" i="8"/>
  <c r="AN52" i="8"/>
  <c r="AN49" i="8"/>
  <c r="AN48" i="8"/>
  <c r="AN46" i="8"/>
  <c r="AN43" i="8"/>
  <c r="AN4" i="8" s="1"/>
  <c r="AO2" i="8"/>
  <c r="AO32" i="8" s="1"/>
  <c r="AO33" i="8" s="1"/>
  <c r="AO34" i="8" s="1"/>
  <c r="AO35" i="8" s="1"/>
  <c r="AO36" i="8" s="1"/>
  <c r="AO37" i="8" s="1"/>
  <c r="AN5" i="8" l="1"/>
  <c r="AN6" i="8" s="1"/>
  <c r="AN7" i="8" s="1"/>
  <c r="AN8" i="8" s="1"/>
  <c r="AN9" i="8" s="1"/>
  <c r="AN10" i="8" s="1"/>
  <c r="AN11" i="8" s="1"/>
  <c r="AN12" i="8" s="1"/>
  <c r="AN13" i="8" s="1"/>
  <c r="AN14" i="8" s="1"/>
  <c r="AN15" i="8" s="1"/>
  <c r="AO44" i="8"/>
  <c r="AO47" i="8"/>
  <c r="AO51" i="8"/>
  <c r="AO49" i="8"/>
  <c r="AO45" i="8"/>
  <c r="AO50" i="8"/>
  <c r="AO54" i="8"/>
  <c r="AO56" i="8"/>
  <c r="AO48" i="8"/>
  <c r="AO55" i="8"/>
  <c r="AO52" i="8"/>
  <c r="AO46" i="8"/>
  <c r="AO53" i="8"/>
  <c r="AO43" i="8"/>
  <c r="AO4" i="8" s="1"/>
  <c r="AP2" i="8"/>
  <c r="AP32" i="8" s="1"/>
  <c r="AP33" i="8" s="1"/>
  <c r="AP34" i="8" s="1"/>
  <c r="AP35" i="8" s="1"/>
  <c r="AP36" i="8" s="1"/>
  <c r="AP37" i="8" s="1"/>
  <c r="AO5" i="8" l="1"/>
  <c r="AO6" i="8" s="1"/>
  <c r="AO7" i="8" s="1"/>
  <c r="AO8" i="8" s="1"/>
  <c r="AO9" i="8" s="1"/>
  <c r="AO10" i="8" s="1"/>
  <c r="AO11" i="8" s="1"/>
  <c r="AO12" i="8" s="1"/>
  <c r="AO13" i="8" s="1"/>
  <c r="AO14" i="8" s="1"/>
  <c r="AO15" i="8" s="1"/>
  <c r="AP47" i="8"/>
  <c r="AP44" i="8"/>
  <c r="AP45" i="8"/>
  <c r="AP56" i="8"/>
  <c r="AP51" i="8"/>
  <c r="AP50" i="8"/>
  <c r="AP46" i="8"/>
  <c r="AP55" i="8"/>
  <c r="AP53" i="8"/>
  <c r="AP49" i="8"/>
  <c r="AP52" i="8"/>
  <c r="AP54" i="8"/>
  <c r="AP48" i="8"/>
  <c r="AP43" i="8"/>
  <c r="AP4" i="8" s="1"/>
  <c r="AQ2" i="8"/>
  <c r="AQ32" i="8" s="1"/>
  <c r="AQ33" i="8" s="1"/>
  <c r="AQ34" i="8" s="1"/>
  <c r="AQ35" i="8" s="1"/>
  <c r="AQ36" i="8" s="1"/>
  <c r="AQ37" i="8" s="1"/>
  <c r="AP5" i="8" l="1"/>
  <c r="AP6" i="8" s="1"/>
  <c r="AP7" i="8" s="1"/>
  <c r="AP8" i="8" s="1"/>
  <c r="AP9" i="8" s="1"/>
  <c r="AP10" i="8" s="1"/>
  <c r="AP11" i="8" s="1"/>
  <c r="AP12" i="8" s="1"/>
  <c r="AP13" i="8" s="1"/>
  <c r="AP14" i="8" s="1"/>
  <c r="AP15" i="8" s="1"/>
  <c r="AQ45" i="8"/>
  <c r="AQ47" i="8"/>
  <c r="AQ44" i="8"/>
  <c r="AQ50" i="8"/>
  <c r="AQ54" i="8"/>
  <c r="AQ49" i="8"/>
  <c r="AQ46" i="8"/>
  <c r="AQ53" i="8"/>
  <c r="AQ51" i="8"/>
  <c r="AQ48" i="8"/>
  <c r="AQ52" i="8"/>
  <c r="AQ56" i="8"/>
  <c r="AQ55" i="8"/>
  <c r="AQ43" i="8"/>
  <c r="AQ4" i="8" s="1"/>
  <c r="AR2" i="8"/>
  <c r="AR32" i="8" s="1"/>
  <c r="AR33" i="8" s="1"/>
  <c r="AR34" i="8" s="1"/>
  <c r="AR35" i="8" s="1"/>
  <c r="AR36" i="8" s="1"/>
  <c r="AR37" i="8" s="1"/>
  <c r="AQ5" i="8" l="1"/>
  <c r="AQ6" i="8" s="1"/>
  <c r="AQ7" i="8" s="1"/>
  <c r="AQ8" i="8" s="1"/>
  <c r="AQ9" i="8" s="1"/>
  <c r="AQ10" i="8" s="1"/>
  <c r="AQ11" i="8" s="1"/>
  <c r="AQ12" i="8" s="1"/>
  <c r="AQ13" i="8" s="1"/>
  <c r="AQ14" i="8" s="1"/>
  <c r="AQ15" i="8" s="1"/>
  <c r="AR51" i="8"/>
  <c r="AR49" i="8"/>
  <c r="AR50" i="8"/>
  <c r="AR47" i="8"/>
  <c r="AR44" i="8"/>
  <c r="AR52" i="8"/>
  <c r="AR46" i="8"/>
  <c r="AR55" i="8"/>
  <c r="AR54" i="8"/>
  <c r="AR53" i="8"/>
  <c r="AR45" i="8"/>
  <c r="AR48" i="8"/>
  <c r="AR56" i="8"/>
  <c r="AR43" i="8"/>
  <c r="AR4" i="8" s="1"/>
  <c r="AS2" i="8"/>
  <c r="AS32" i="8" s="1"/>
  <c r="AS33" i="8" s="1"/>
  <c r="AS34" i="8" s="1"/>
  <c r="AS35" i="8" s="1"/>
  <c r="AS36" i="8" s="1"/>
  <c r="AS37" i="8" s="1"/>
  <c r="AR5" i="8" l="1"/>
  <c r="AR6" i="8" s="1"/>
  <c r="AR7" i="8" s="1"/>
  <c r="AR8" i="8" s="1"/>
  <c r="AR9" i="8" s="1"/>
  <c r="AR10" i="8" s="1"/>
  <c r="AR11" i="8" s="1"/>
  <c r="AR12" i="8" s="1"/>
  <c r="AR13" i="8" s="1"/>
  <c r="AR14" i="8" s="1"/>
  <c r="AR15" i="8" s="1"/>
  <c r="AS50" i="8"/>
  <c r="AS44" i="8"/>
  <c r="AS49" i="8"/>
  <c r="AS53" i="8"/>
  <c r="AS51" i="8"/>
  <c r="AS45" i="8"/>
  <c r="AS47" i="8"/>
  <c r="AS56" i="8"/>
  <c r="AS55" i="8"/>
  <c r="AS54" i="8"/>
  <c r="AS46" i="8"/>
  <c r="AS52" i="8"/>
  <c r="AS48" i="8"/>
  <c r="AS43" i="8"/>
  <c r="AS4" i="8" s="1"/>
  <c r="AS5" i="8" s="1"/>
  <c r="AT2" i="8"/>
  <c r="AT32" i="8" s="1"/>
  <c r="AT33" i="8" s="1"/>
  <c r="AT34" i="8" s="1"/>
  <c r="AT35" i="8" s="1"/>
  <c r="AT36" i="8" s="1"/>
  <c r="AT37" i="8" s="1"/>
  <c r="AS6" i="8" l="1"/>
  <c r="AS7" i="8"/>
  <c r="AS8" i="8" s="1"/>
  <c r="AS9" i="8" s="1"/>
  <c r="AS10" i="8" s="1"/>
  <c r="AS11" i="8" s="1"/>
  <c r="AS12" i="8" s="1"/>
  <c r="AS13" i="8" s="1"/>
  <c r="AS14" i="8" s="1"/>
  <c r="AS15" i="8" s="1"/>
  <c r="AT55" i="8"/>
  <c r="AT51" i="8"/>
  <c r="AT45" i="8"/>
  <c r="AT47" i="8"/>
  <c r="AT44" i="8"/>
  <c r="AT50" i="8"/>
  <c r="AT48" i="8"/>
  <c r="AT52" i="8"/>
  <c r="AT53" i="8"/>
  <c r="AT54" i="8"/>
  <c r="AT49" i="8"/>
  <c r="AT56" i="8"/>
  <c r="AT46" i="8"/>
  <c r="AT43" i="8"/>
  <c r="AT4" i="8" s="1"/>
  <c r="AU2" i="8"/>
  <c r="AU32" i="8" s="1"/>
  <c r="AU33" i="8" s="1"/>
  <c r="AU34" i="8" s="1"/>
  <c r="AU35" i="8" s="1"/>
  <c r="AU36" i="8" s="1"/>
  <c r="AU37" i="8" s="1"/>
  <c r="AT5" i="8" l="1"/>
  <c r="AT6" i="8" s="1"/>
  <c r="AT7" i="8" s="1"/>
  <c r="AT8" i="8" s="1"/>
  <c r="AT9" i="8" s="1"/>
  <c r="AT10" i="8" s="1"/>
  <c r="AT11" i="8" s="1"/>
  <c r="AT12" i="8" s="1"/>
  <c r="AT13" i="8" s="1"/>
  <c r="AT14" i="8" s="1"/>
  <c r="AT15" i="8" s="1"/>
  <c r="AU49" i="8"/>
  <c r="AU56" i="8"/>
  <c r="AU50" i="8"/>
  <c r="AU51" i="8"/>
  <c r="AU44" i="8"/>
  <c r="AU45" i="8"/>
  <c r="AU53" i="8"/>
  <c r="AU54" i="8"/>
  <c r="AU47" i="8"/>
  <c r="AU46" i="8"/>
  <c r="AU52" i="8"/>
  <c r="AU48" i="8"/>
  <c r="AU55" i="8"/>
  <c r="AU43" i="8"/>
  <c r="AU4" i="8" s="1"/>
  <c r="AU5" i="8" s="1"/>
  <c r="AV2" i="8"/>
  <c r="AV32" i="8" s="1"/>
  <c r="AV33" i="8" s="1"/>
  <c r="AV34" i="8" s="1"/>
  <c r="AV35" i="8" s="1"/>
  <c r="AV36" i="8" s="1"/>
  <c r="AV37" i="8" s="1"/>
  <c r="AU6" i="8" l="1"/>
  <c r="AU7" i="8"/>
  <c r="AU8" i="8" s="1"/>
  <c r="AU9" i="8" s="1"/>
  <c r="AU10" i="8" s="1"/>
  <c r="AU11" i="8" s="1"/>
  <c r="AU12" i="8" s="1"/>
  <c r="AU13" i="8" s="1"/>
  <c r="AU14" i="8" s="1"/>
  <c r="AU15" i="8" s="1"/>
  <c r="AV44" i="8"/>
  <c r="AV47" i="8"/>
  <c r="AV50" i="8"/>
  <c r="AV45" i="8"/>
  <c r="AV56" i="8"/>
  <c r="AV48" i="8"/>
  <c r="AV46" i="8"/>
  <c r="AV49" i="8"/>
  <c r="AV54" i="8"/>
  <c r="AV53" i="8"/>
  <c r="AV51" i="8"/>
  <c r="AV55" i="8"/>
  <c r="AV52" i="8"/>
  <c r="AV43" i="8"/>
  <c r="AV4" i="8" s="1"/>
  <c r="AW2" i="8"/>
  <c r="AW32" i="8" s="1"/>
  <c r="AW33" i="8" s="1"/>
  <c r="AW34" i="8" s="1"/>
  <c r="AW35" i="8" s="1"/>
  <c r="AW36" i="8" s="1"/>
  <c r="AW37" i="8" s="1"/>
  <c r="AV5" i="8" l="1"/>
  <c r="AV6" i="8"/>
  <c r="AV7" i="8" s="1"/>
  <c r="AV8" i="8" s="1"/>
  <c r="AV9" i="8" s="1"/>
  <c r="AV10" i="8" s="1"/>
  <c r="AV11" i="8" s="1"/>
  <c r="AV12" i="8" s="1"/>
  <c r="AV13" i="8" s="1"/>
  <c r="AV14" i="8" s="1"/>
  <c r="AV15" i="8" s="1"/>
  <c r="AW50" i="8"/>
  <c r="AW45" i="8"/>
  <c r="AW51" i="8"/>
  <c r="AW56" i="8"/>
  <c r="AW48" i="8"/>
  <c r="AW44" i="8"/>
  <c r="AW49" i="8"/>
  <c r="AW55" i="8"/>
  <c r="AW54" i="8"/>
  <c r="AW47" i="8"/>
  <c r="AW53" i="8"/>
  <c r="AW46" i="8"/>
  <c r="AW52" i="8"/>
  <c r="AW43" i="8"/>
  <c r="AW4" i="8" s="1"/>
  <c r="AX2" i="8"/>
  <c r="AX32" i="8" s="1"/>
  <c r="AX33" i="8" s="1"/>
  <c r="AX34" i="8" s="1"/>
  <c r="AX35" i="8" s="1"/>
  <c r="AX36" i="8" s="1"/>
  <c r="AX37" i="8" s="1"/>
  <c r="AW5" i="8" l="1"/>
  <c r="AW6" i="8" s="1"/>
  <c r="AW7" i="8" s="1"/>
  <c r="AW8" i="8" s="1"/>
  <c r="AW9" i="8" s="1"/>
  <c r="AW10" i="8" s="1"/>
  <c r="AW11" i="8" s="1"/>
  <c r="AW12" i="8" s="1"/>
  <c r="AW13" i="8" s="1"/>
  <c r="AW14" i="8" s="1"/>
  <c r="AW15" i="8" s="1"/>
  <c r="AX51" i="8"/>
  <c r="AX45" i="8"/>
  <c r="AX44" i="8"/>
  <c r="AX52" i="8"/>
  <c r="AX56" i="8"/>
  <c r="AX55" i="8"/>
  <c r="AX53" i="8"/>
  <c r="AX50" i="8"/>
  <c r="AX47" i="8"/>
  <c r="AX48" i="8"/>
  <c r="AX46" i="8"/>
  <c r="AX49" i="8"/>
  <c r="AX54" i="8"/>
  <c r="AX43" i="8"/>
  <c r="AX4" i="8" s="1"/>
  <c r="AY2" i="8"/>
  <c r="AY32" i="8" s="1"/>
  <c r="AY33" i="8" s="1"/>
  <c r="AY34" i="8" s="1"/>
  <c r="AY35" i="8" s="1"/>
  <c r="AY36" i="8" s="1"/>
  <c r="AY37" i="8" s="1"/>
  <c r="AX5" i="8" l="1"/>
  <c r="AX6" i="8" s="1"/>
  <c r="AX7" i="8" s="1"/>
  <c r="AX8" i="8" s="1"/>
  <c r="AX9" i="8" s="1"/>
  <c r="AX10" i="8" s="1"/>
  <c r="AX11" i="8" s="1"/>
  <c r="AX12" i="8" s="1"/>
  <c r="AX13" i="8" s="1"/>
  <c r="AX14" i="8" s="1"/>
  <c r="AX15" i="8" s="1"/>
  <c r="AY56" i="8"/>
  <c r="AY51" i="8"/>
  <c r="AY44" i="8"/>
  <c r="AY49" i="8"/>
  <c r="AY46" i="8"/>
  <c r="AY47" i="8"/>
  <c r="AY50" i="8"/>
  <c r="AY52" i="8"/>
  <c r="AY53" i="8"/>
  <c r="AY48" i="8"/>
  <c r="AY55" i="8"/>
  <c r="AY45" i="8"/>
  <c r="AY54" i="8"/>
  <c r="AY43" i="8"/>
  <c r="AY4" i="8" s="1"/>
  <c r="AZ2" i="8"/>
  <c r="AZ32" i="8" s="1"/>
  <c r="AZ33" i="8" s="1"/>
  <c r="AZ34" i="8" s="1"/>
  <c r="AZ35" i="8" s="1"/>
  <c r="AZ36" i="8" s="1"/>
  <c r="AZ37" i="8" s="1"/>
  <c r="AY5" i="8" l="1"/>
  <c r="AY6" i="8" s="1"/>
  <c r="AY7" i="8" s="1"/>
  <c r="AY8" i="8" s="1"/>
  <c r="AY9" i="8" s="1"/>
  <c r="AY10" i="8" s="1"/>
  <c r="AY11" i="8" s="1"/>
  <c r="AY12" i="8" s="1"/>
  <c r="AY13" i="8" s="1"/>
  <c r="AY14" i="8" s="1"/>
  <c r="AY15" i="8" s="1"/>
  <c r="AZ47" i="8"/>
  <c r="AZ44" i="8"/>
  <c r="AZ56" i="8"/>
  <c r="AZ49" i="8"/>
  <c r="AZ55" i="8"/>
  <c r="AZ46" i="8"/>
  <c r="AZ53" i="8"/>
  <c r="AZ45" i="8"/>
  <c r="AZ51" i="8"/>
  <c r="AZ52" i="8"/>
  <c r="AZ54" i="8"/>
  <c r="AZ48" i="8"/>
  <c r="AZ50" i="8"/>
  <c r="AZ43" i="8"/>
  <c r="AZ4" i="8" s="1"/>
  <c r="BA2" i="8"/>
  <c r="BA32" i="8" s="1"/>
  <c r="BA33" i="8" s="1"/>
  <c r="BA34" i="8" s="1"/>
  <c r="BA35" i="8" s="1"/>
  <c r="BA36" i="8" s="1"/>
  <c r="BA37" i="8" s="1"/>
  <c r="AZ5" i="8" l="1"/>
  <c r="AZ6" i="8"/>
  <c r="AZ7" i="8" s="1"/>
  <c r="AZ8" i="8" s="1"/>
  <c r="AZ9" i="8" s="1"/>
  <c r="AZ10" i="8" s="1"/>
  <c r="AZ11" i="8" s="1"/>
  <c r="AZ12" i="8" s="1"/>
  <c r="AZ13" i="8" s="1"/>
  <c r="AZ14" i="8" s="1"/>
  <c r="AZ15" i="8" s="1"/>
  <c r="BA45" i="8"/>
  <c r="BA52" i="8"/>
  <c r="BA56" i="8"/>
  <c r="BA44" i="8"/>
  <c r="BA51" i="8"/>
  <c r="BA47" i="8"/>
  <c r="BA53" i="8"/>
  <c r="BA49" i="8"/>
  <c r="BA55" i="8"/>
  <c r="BA48" i="8"/>
  <c r="BA54" i="8"/>
  <c r="BA46" i="8"/>
  <c r="BA50" i="8"/>
  <c r="BA43" i="8"/>
  <c r="BA4" i="8" s="1"/>
  <c r="BB2" i="8"/>
  <c r="BB32" i="8" s="1"/>
  <c r="BB33" i="8" s="1"/>
  <c r="BB34" i="8" s="1"/>
  <c r="BB35" i="8" s="1"/>
  <c r="BB36" i="8" s="1"/>
  <c r="BB37" i="8" s="1"/>
  <c r="BA5" i="8" l="1"/>
  <c r="BA6" i="8" s="1"/>
  <c r="BA7" i="8" s="1"/>
  <c r="BA8" i="8" s="1"/>
  <c r="BA9" i="8" s="1"/>
  <c r="BA10" i="8" s="1"/>
  <c r="BA11" i="8" s="1"/>
  <c r="BA12" i="8" s="1"/>
  <c r="BA13" i="8" s="1"/>
  <c r="BA14" i="8" s="1"/>
  <c r="BA15" i="8" s="1"/>
  <c r="BB49" i="8"/>
  <c r="BB47" i="8"/>
  <c r="BB45" i="8"/>
  <c r="BB44" i="8"/>
  <c r="BB51" i="8"/>
  <c r="BB56" i="8"/>
  <c r="BB50" i="8"/>
  <c r="BB46" i="8"/>
  <c r="BB48" i="8"/>
  <c r="BB54" i="8"/>
  <c r="BB55" i="8"/>
  <c r="BB53" i="8"/>
  <c r="BB52" i="8"/>
  <c r="BB43" i="8"/>
  <c r="BB4" i="8" s="1"/>
  <c r="BC2" i="8"/>
  <c r="BC32" i="8" s="1"/>
  <c r="BC33" i="8" s="1"/>
  <c r="BC34" i="8" s="1"/>
  <c r="BC35" i="8" s="1"/>
  <c r="BC36" i="8" s="1"/>
  <c r="BC37" i="8" s="1"/>
  <c r="BB5" i="8" l="1"/>
  <c r="BB6" i="8" s="1"/>
  <c r="BB7" i="8" s="1"/>
  <c r="BB8" i="8" s="1"/>
  <c r="BB9" i="8" s="1"/>
  <c r="BB10" i="8" s="1"/>
  <c r="BB11" i="8" s="1"/>
  <c r="BB12" i="8" s="1"/>
  <c r="BB13" i="8" s="1"/>
  <c r="BB14" i="8" s="1"/>
  <c r="BB15" i="8" s="1"/>
  <c r="BC51" i="8"/>
  <c r="BC50" i="8"/>
  <c r="BC47" i="8"/>
  <c r="BC46" i="8"/>
  <c r="BC55" i="8"/>
  <c r="BC54" i="8"/>
  <c r="BC48" i="8"/>
  <c r="BC45" i="8"/>
  <c r="BC52" i="8"/>
  <c r="BC56" i="8"/>
  <c r="BC53" i="8"/>
  <c r="BC49" i="8"/>
  <c r="BC44" i="8"/>
  <c r="BC43" i="8"/>
  <c r="BC4" i="8" s="1"/>
  <c r="BD2" i="8"/>
  <c r="BD32" i="8" s="1"/>
  <c r="BD33" i="8" s="1"/>
  <c r="BD34" i="8" s="1"/>
  <c r="BD35" i="8" s="1"/>
  <c r="BD36" i="8" s="1"/>
  <c r="BD37" i="8" s="1"/>
  <c r="BC5" i="8" l="1"/>
  <c r="BC6" i="8" s="1"/>
  <c r="BC7" i="8" s="1"/>
  <c r="BC8" i="8" s="1"/>
  <c r="BC9" i="8" s="1"/>
  <c r="BC10" i="8" s="1"/>
  <c r="BC11" i="8" s="1"/>
  <c r="BC12" i="8" s="1"/>
  <c r="BC13" i="8" s="1"/>
  <c r="BC14" i="8" s="1"/>
  <c r="BC15" i="8" s="1"/>
  <c r="BD44" i="8"/>
  <c r="BD53" i="8"/>
  <c r="BD51" i="8"/>
  <c r="BD45" i="8"/>
  <c r="BD55" i="8"/>
  <c r="BD50" i="8"/>
  <c r="BD54" i="8"/>
  <c r="BD49" i="8"/>
  <c r="BD48" i="8"/>
  <c r="BD56" i="8"/>
  <c r="BD47" i="8"/>
  <c r="BD46" i="8"/>
  <c r="BD52" i="8"/>
  <c r="BD43" i="8"/>
  <c r="BD4" i="8" s="1"/>
  <c r="BE2" i="8"/>
  <c r="BE32" i="8" s="1"/>
  <c r="BE33" i="8" s="1"/>
  <c r="BE34" i="8" s="1"/>
  <c r="BE35" i="8" s="1"/>
  <c r="BE36" i="8" s="1"/>
  <c r="BE37" i="8" s="1"/>
  <c r="BD5" i="8" l="1"/>
  <c r="BD6" i="8"/>
  <c r="BD7" i="8" s="1"/>
  <c r="BD8" i="8" s="1"/>
  <c r="BD9" i="8" s="1"/>
  <c r="BD10" i="8" s="1"/>
  <c r="BD11" i="8" s="1"/>
  <c r="BD12" i="8" s="1"/>
  <c r="BD13" i="8" s="1"/>
  <c r="BD14" i="8" s="1"/>
  <c r="BD15" i="8" s="1"/>
  <c r="BE45" i="8"/>
  <c r="BE47" i="8"/>
  <c r="BE52" i="8"/>
  <c r="BE53" i="8"/>
  <c r="BE51" i="8"/>
  <c r="BE44" i="8"/>
  <c r="BE49" i="8"/>
  <c r="BE56" i="8"/>
  <c r="BE46" i="8"/>
  <c r="BE55" i="8"/>
  <c r="BE48" i="8"/>
  <c r="BE50" i="8"/>
  <c r="BE54" i="8"/>
  <c r="BE43" i="8"/>
  <c r="BE4" i="8" s="1"/>
  <c r="BF2" i="8"/>
  <c r="BF32" i="8" s="1"/>
  <c r="BF33" i="8" s="1"/>
  <c r="BF34" i="8" s="1"/>
  <c r="BF35" i="8" s="1"/>
  <c r="BF36" i="8" s="1"/>
  <c r="BF37" i="8" s="1"/>
  <c r="BE5" i="8" l="1"/>
  <c r="BE6" i="8" s="1"/>
  <c r="BE7" i="8" s="1"/>
  <c r="BE8" i="8" s="1"/>
  <c r="BE9" i="8" s="1"/>
  <c r="BE10" i="8" s="1"/>
  <c r="BE11" i="8" s="1"/>
  <c r="BE12" i="8" s="1"/>
  <c r="BE13" i="8" s="1"/>
  <c r="BE14" i="8" s="1"/>
  <c r="BE15" i="8" s="1"/>
  <c r="BF56" i="8"/>
  <c r="BF44" i="8"/>
  <c r="BF49" i="8"/>
  <c r="BF48" i="8"/>
  <c r="BF47" i="8"/>
  <c r="BF51" i="8"/>
  <c r="BF50" i="8"/>
  <c r="BF45" i="8"/>
  <c r="BF46" i="8"/>
  <c r="BF53" i="8"/>
  <c r="BF54" i="8"/>
  <c r="BF52" i="8"/>
  <c r="BF55" i="8"/>
  <c r="BF43" i="8"/>
  <c r="BF4" i="8" s="1"/>
  <c r="BF5" i="8" s="1"/>
  <c r="BF6" i="8" s="1"/>
  <c r="BG2" i="8"/>
  <c r="BG32" i="8" s="1"/>
  <c r="BG33" i="8" s="1"/>
  <c r="BG34" i="8" s="1"/>
  <c r="BG35" i="8" s="1"/>
  <c r="BG36" i="8" s="1"/>
  <c r="BG37" i="8" s="1"/>
  <c r="BF7" i="8" l="1"/>
  <c r="BF8" i="8" s="1"/>
  <c r="BF9" i="8" s="1"/>
  <c r="BF10" i="8" s="1"/>
  <c r="BF11" i="8" s="1"/>
  <c r="BF12" i="8" s="1"/>
  <c r="BF13" i="8" s="1"/>
  <c r="BF14" i="8" s="1"/>
  <c r="BF15" i="8" s="1"/>
  <c r="BG47" i="8"/>
  <c r="BG50" i="8"/>
  <c r="BG44" i="8"/>
  <c r="BG49" i="8"/>
  <c r="BG54" i="8"/>
  <c r="BG51" i="8"/>
  <c r="BG46" i="8"/>
  <c r="BG45" i="8"/>
  <c r="BG56" i="8"/>
  <c r="BG48" i="8"/>
  <c r="BG53" i="8"/>
  <c r="BG52" i="8"/>
  <c r="BG55" i="8"/>
  <c r="BG43" i="8"/>
  <c r="BG4" i="8" s="1"/>
  <c r="BH2" i="8"/>
  <c r="BH32" i="8" s="1"/>
  <c r="BH33" i="8" s="1"/>
  <c r="BH34" i="8" s="1"/>
  <c r="BH35" i="8" s="1"/>
  <c r="BH36" i="8" s="1"/>
  <c r="BH37" i="8" s="1"/>
  <c r="BG5" i="8" l="1"/>
  <c r="BG6" i="8" s="1"/>
  <c r="BG7" i="8" s="1"/>
  <c r="BG8" i="8" s="1"/>
  <c r="BG9" i="8" s="1"/>
  <c r="BG10" i="8" s="1"/>
  <c r="BG11" i="8" s="1"/>
  <c r="BG12" i="8" s="1"/>
  <c r="BG13" i="8" s="1"/>
  <c r="BG14" i="8" s="1"/>
  <c r="BG15" i="8" s="1"/>
  <c r="BH49" i="8"/>
  <c r="BH47" i="8"/>
  <c r="BH45" i="8"/>
  <c r="BH56" i="8"/>
  <c r="BH44" i="8"/>
  <c r="BH50" i="8"/>
  <c r="BH52" i="8"/>
  <c r="BH51" i="8"/>
  <c r="BH55" i="8"/>
  <c r="BH54" i="8"/>
  <c r="BH53" i="8"/>
  <c r="BH46" i="8"/>
  <c r="BH48" i="8"/>
  <c r="BH43" i="8"/>
  <c r="BH4" i="8" s="1"/>
  <c r="BI2" i="8"/>
  <c r="BI32" i="8" s="1"/>
  <c r="BI33" i="8" s="1"/>
  <c r="BI34" i="8" s="1"/>
  <c r="BI35" i="8" s="1"/>
  <c r="BI36" i="8" s="1"/>
  <c r="BI37" i="8" s="1"/>
  <c r="BH5" i="8" l="1"/>
  <c r="BH6" i="8" s="1"/>
  <c r="BH7" i="8" s="1"/>
  <c r="BH8" i="8" s="1"/>
  <c r="BH9" i="8" s="1"/>
  <c r="BH10" i="8" s="1"/>
  <c r="BH11" i="8" s="1"/>
  <c r="BH12" i="8" s="1"/>
  <c r="BH13" i="8" s="1"/>
  <c r="BH14" i="8" s="1"/>
  <c r="BH15" i="8" s="1"/>
  <c r="BI51" i="8"/>
  <c r="BI44" i="8"/>
  <c r="BI50" i="8"/>
  <c r="BI47" i="8"/>
  <c r="BI55" i="8"/>
  <c r="BI48" i="8"/>
  <c r="BI54" i="8"/>
  <c r="BI45" i="8"/>
  <c r="BI56" i="8"/>
  <c r="BI53" i="8"/>
  <c r="BI49" i="8"/>
  <c r="BI52" i="8"/>
  <c r="BI46" i="8"/>
  <c r="BI43" i="8"/>
  <c r="BI4" i="8" s="1"/>
  <c r="BI5" i="8" s="1"/>
  <c r="BJ2" i="8"/>
  <c r="BJ32" i="8" s="1"/>
  <c r="BJ33" i="8" s="1"/>
  <c r="BJ34" i="8" s="1"/>
  <c r="BJ35" i="8" s="1"/>
  <c r="BJ36" i="8" s="1"/>
  <c r="BJ37" i="8" s="1"/>
  <c r="BI6" i="8" l="1"/>
  <c r="BI7" i="8" s="1"/>
  <c r="BI8" i="8" s="1"/>
  <c r="BI9" i="8" s="1"/>
  <c r="BI10" i="8" s="1"/>
  <c r="BI11" i="8" s="1"/>
  <c r="BI12" i="8" s="1"/>
  <c r="BI13" i="8" s="1"/>
  <c r="BI14" i="8" s="1"/>
  <c r="BI15" i="8" s="1"/>
  <c r="BJ44" i="8"/>
  <c r="BJ51" i="8"/>
  <c r="BJ45" i="8"/>
  <c r="BJ49" i="8"/>
  <c r="BJ56" i="8"/>
  <c r="BJ46" i="8"/>
  <c r="BJ53" i="8"/>
  <c r="BJ50" i="8"/>
  <c r="BJ47" i="8"/>
  <c r="BJ52" i="8"/>
  <c r="BJ48" i="8"/>
  <c r="BJ55" i="8"/>
  <c r="BJ54" i="8"/>
  <c r="BJ43" i="8"/>
  <c r="BJ4" i="8" s="1"/>
  <c r="BK2" i="8"/>
  <c r="BK32" i="8" s="1"/>
  <c r="BK33" i="8" s="1"/>
  <c r="BK34" i="8" s="1"/>
  <c r="BK35" i="8" s="1"/>
  <c r="BK36" i="8" s="1"/>
  <c r="BK37" i="8" s="1"/>
  <c r="BJ5" i="8" l="1"/>
  <c r="BJ6" i="8" s="1"/>
  <c r="BJ7" i="8" s="1"/>
  <c r="BJ8" i="8" s="1"/>
  <c r="BJ9" i="8" s="1"/>
  <c r="BJ10" i="8" s="1"/>
  <c r="BJ11" i="8" s="1"/>
  <c r="BJ12" i="8" s="1"/>
  <c r="BJ13" i="8" s="1"/>
  <c r="BJ14" i="8" s="1"/>
  <c r="BJ15" i="8" s="1"/>
  <c r="BK53" i="8"/>
  <c r="BK45" i="8"/>
  <c r="BK47" i="8"/>
  <c r="BK56" i="8"/>
  <c r="BK50" i="8"/>
  <c r="BK51" i="8"/>
  <c r="BK49" i="8"/>
  <c r="BK52" i="8"/>
  <c r="BK44" i="8"/>
  <c r="BK55" i="8"/>
  <c r="BK54" i="8"/>
  <c r="BK46" i="8"/>
  <c r="BK48" i="8"/>
  <c r="BK43" i="8"/>
  <c r="BK4" i="8" s="1"/>
  <c r="BL2" i="8"/>
  <c r="BL32" i="8" s="1"/>
  <c r="BL33" i="8" s="1"/>
  <c r="BL34" i="8" s="1"/>
  <c r="BL35" i="8" s="1"/>
  <c r="BL36" i="8" s="1"/>
  <c r="BL37" i="8" s="1"/>
  <c r="BK5" i="8" l="1"/>
  <c r="BK6" i="8" s="1"/>
  <c r="BK7" i="8" s="1"/>
  <c r="BK8" i="8" s="1"/>
  <c r="BK9" i="8" s="1"/>
  <c r="BK10" i="8" s="1"/>
  <c r="BK11" i="8" s="1"/>
  <c r="BK12" i="8" s="1"/>
  <c r="BK13" i="8" s="1"/>
  <c r="BK14" i="8" s="1"/>
  <c r="BK15" i="8" s="1"/>
  <c r="BL51" i="8"/>
  <c r="BL56" i="8"/>
  <c r="BL49" i="8"/>
  <c r="BL48" i="8"/>
  <c r="BL47" i="8"/>
  <c r="BL50" i="8"/>
  <c r="BL44" i="8"/>
  <c r="BL45" i="8"/>
  <c r="BL53" i="8"/>
  <c r="BL54" i="8"/>
  <c r="BL46" i="8"/>
  <c r="BL52" i="8"/>
  <c r="BL55" i="8"/>
  <c r="BL43" i="8"/>
  <c r="BL4" i="8" s="1"/>
  <c r="BL5" i="8" s="1"/>
  <c r="BM2" i="8"/>
  <c r="BM32" i="8" s="1"/>
  <c r="BM33" i="8" s="1"/>
  <c r="BM34" i="8" s="1"/>
  <c r="BM35" i="8" s="1"/>
  <c r="BM36" i="8" s="1"/>
  <c r="BM37" i="8" s="1"/>
  <c r="BL6" i="8" l="1"/>
  <c r="BL7" i="8" s="1"/>
  <c r="BL8" i="8" s="1"/>
  <c r="BL9" i="8" s="1"/>
  <c r="BL10" i="8" s="1"/>
  <c r="BL11" i="8" s="1"/>
  <c r="BL12" i="8" s="1"/>
  <c r="BL13" i="8" s="1"/>
  <c r="BL14" i="8" s="1"/>
  <c r="BL15" i="8" s="1"/>
  <c r="BM45" i="8"/>
  <c r="BM50" i="8"/>
  <c r="BM47" i="8"/>
  <c r="BM51" i="8"/>
  <c r="BM46" i="8"/>
  <c r="BM53" i="8"/>
  <c r="BM54" i="8"/>
  <c r="BM56" i="8"/>
  <c r="BM55" i="8"/>
  <c r="BM52" i="8"/>
  <c r="BM44" i="8"/>
  <c r="BM48" i="8"/>
  <c r="BM49" i="8"/>
  <c r="BM43" i="8"/>
  <c r="BM4" i="8" s="1"/>
  <c r="BN2" i="8"/>
  <c r="BN32" i="8" s="1"/>
  <c r="BN33" i="8" s="1"/>
  <c r="BN34" i="8" s="1"/>
  <c r="BN35" i="8" s="1"/>
  <c r="BN36" i="8" s="1"/>
  <c r="BN37" i="8" s="1"/>
  <c r="BM5" i="8" l="1"/>
  <c r="BM6" i="8" s="1"/>
  <c r="BM7" i="8" s="1"/>
  <c r="BM8" i="8" s="1"/>
  <c r="BM9" i="8" s="1"/>
  <c r="BM10" i="8" s="1"/>
  <c r="BM11" i="8" s="1"/>
  <c r="BM12" i="8" s="1"/>
  <c r="BM13" i="8" s="1"/>
  <c r="BM14" i="8" s="1"/>
  <c r="BM15" i="8" s="1"/>
  <c r="BN51" i="8"/>
  <c r="BN47" i="8"/>
  <c r="BN50" i="8"/>
  <c r="BN49" i="8"/>
  <c r="BN48" i="8"/>
  <c r="BN53" i="8"/>
  <c r="BN56" i="8"/>
  <c r="BN54" i="8"/>
  <c r="BN44" i="8"/>
  <c r="BN52" i="8"/>
  <c r="BN45" i="8"/>
  <c r="BN55" i="8"/>
  <c r="BN46" i="8"/>
  <c r="BN43" i="8"/>
  <c r="BN4" i="8" s="1"/>
  <c r="BO2" i="8"/>
  <c r="BO32" i="8" s="1"/>
  <c r="BO33" i="8" s="1"/>
  <c r="BO34" i="8" s="1"/>
  <c r="BO35" i="8" s="1"/>
  <c r="BO36" i="8" s="1"/>
  <c r="BO37" i="8" s="1"/>
  <c r="BN5" i="8" l="1"/>
  <c r="BN6" i="8" s="1"/>
  <c r="BN7" i="8" s="1"/>
  <c r="BN8" i="8" s="1"/>
  <c r="BN9" i="8" s="1"/>
  <c r="BN10" i="8" s="1"/>
  <c r="BN11" i="8" s="1"/>
  <c r="BN12" i="8" s="1"/>
  <c r="BN13" i="8" s="1"/>
  <c r="BN14" i="8" s="1"/>
  <c r="BN15" i="8" s="1"/>
  <c r="BO51" i="8"/>
  <c r="BO45" i="8"/>
  <c r="BO56" i="8"/>
  <c r="BO50" i="8"/>
  <c r="BO44" i="8"/>
  <c r="BO53" i="8"/>
  <c r="BO55" i="8"/>
  <c r="BO46" i="8"/>
  <c r="BO47" i="8"/>
  <c r="BO52" i="8"/>
  <c r="BO48" i="8"/>
  <c r="BO54" i="8"/>
  <c r="BO49" i="8"/>
  <c r="BO43" i="8"/>
  <c r="BO4" i="8" s="1"/>
  <c r="BP2" i="8"/>
  <c r="BP32" i="8" s="1"/>
  <c r="BP33" i="8" s="1"/>
  <c r="BP34" i="8" s="1"/>
  <c r="BP35" i="8" s="1"/>
  <c r="BP36" i="8" s="1"/>
  <c r="BP37" i="8" s="1"/>
  <c r="BO5" i="8" l="1"/>
  <c r="BO6" i="8" s="1"/>
  <c r="BO7" i="8" s="1"/>
  <c r="BO8" i="8" s="1"/>
  <c r="BO9" i="8" s="1"/>
  <c r="BO10" i="8"/>
  <c r="BO11" i="8" s="1"/>
  <c r="BO12" i="8" s="1"/>
  <c r="BO13" i="8" s="1"/>
  <c r="BO14" i="8" s="1"/>
  <c r="BO15" i="8" s="1"/>
  <c r="BP44" i="8"/>
  <c r="BP45" i="8"/>
  <c r="BP56" i="8"/>
  <c r="BP49" i="8"/>
  <c r="BP46" i="8"/>
  <c r="BP51" i="8"/>
  <c r="BP48" i="8"/>
  <c r="BP55" i="8"/>
  <c r="BP47" i="8"/>
  <c r="BP52" i="8"/>
  <c r="BP50" i="8"/>
  <c r="BP54" i="8"/>
  <c r="BP53" i="8"/>
  <c r="BP43" i="8"/>
  <c r="BP4" i="8" s="1"/>
  <c r="BQ2" i="8"/>
  <c r="BQ32" i="8" s="1"/>
  <c r="BQ33" i="8" s="1"/>
  <c r="BQ34" i="8" s="1"/>
  <c r="BQ35" i="8" s="1"/>
  <c r="BQ36" i="8" s="1"/>
  <c r="BQ37" i="8" s="1"/>
  <c r="BP5" i="8" l="1"/>
  <c r="BP6" i="8" s="1"/>
  <c r="BP7" i="8" s="1"/>
  <c r="BP8" i="8" s="1"/>
  <c r="BP9" i="8" s="1"/>
  <c r="BP10" i="8" s="1"/>
  <c r="BP11" i="8" s="1"/>
  <c r="BP12" i="8" s="1"/>
  <c r="BP13" i="8" s="1"/>
  <c r="BP14" i="8" s="1"/>
  <c r="BP15" i="8" s="1"/>
  <c r="BQ49" i="8"/>
  <c r="BQ45" i="8"/>
  <c r="BQ47" i="8"/>
  <c r="BQ51" i="8"/>
  <c r="BQ50" i="8"/>
  <c r="BQ48" i="8"/>
  <c r="BQ54" i="8"/>
  <c r="BQ53" i="8"/>
  <c r="BQ46" i="8"/>
  <c r="BQ52" i="8"/>
  <c r="BQ55" i="8"/>
  <c r="BQ44" i="8"/>
  <c r="BQ56" i="8"/>
  <c r="BQ43" i="8"/>
  <c r="BQ4" i="8" s="1"/>
  <c r="BR2" i="8"/>
  <c r="BR32" i="8" s="1"/>
  <c r="BR33" i="8" s="1"/>
  <c r="BR34" i="8" s="1"/>
  <c r="BR35" i="8" s="1"/>
  <c r="BR36" i="8" s="1"/>
  <c r="BR37" i="8" s="1"/>
  <c r="BQ5" i="8" l="1"/>
  <c r="BQ6" i="8"/>
  <c r="BQ7" i="8" s="1"/>
  <c r="BQ8" i="8" s="1"/>
  <c r="BQ9" i="8" s="1"/>
  <c r="BQ10" i="8" s="1"/>
  <c r="BQ11" i="8" s="1"/>
  <c r="BQ12" i="8" s="1"/>
  <c r="BQ13" i="8" s="1"/>
  <c r="BQ14" i="8" s="1"/>
  <c r="BQ15" i="8" s="1"/>
  <c r="BR51" i="8"/>
  <c r="BR45" i="8"/>
  <c r="BR56" i="8"/>
  <c r="BR44" i="8"/>
  <c r="BR49" i="8"/>
  <c r="BR47" i="8"/>
  <c r="BR54" i="8"/>
  <c r="BR46" i="8"/>
  <c r="BR55" i="8"/>
  <c r="BR50" i="8"/>
  <c r="BR53" i="8"/>
  <c r="BR52" i="8"/>
  <c r="BR48" i="8"/>
  <c r="BR43" i="8"/>
  <c r="BR4" i="8" s="1"/>
  <c r="BS2" i="8"/>
  <c r="BS32" i="8" s="1"/>
  <c r="BS33" i="8" s="1"/>
  <c r="BS34" i="8" s="1"/>
  <c r="BS35" i="8" s="1"/>
  <c r="BS36" i="8" s="1"/>
  <c r="BS37" i="8" s="1"/>
  <c r="BR5" i="8" l="1"/>
  <c r="BR6" i="8" s="1"/>
  <c r="BR7" i="8" s="1"/>
  <c r="BR8" i="8" s="1"/>
  <c r="BR9" i="8" s="1"/>
  <c r="BR10" i="8" s="1"/>
  <c r="BR11" i="8" s="1"/>
  <c r="BR12" i="8" s="1"/>
  <c r="BR13" i="8" s="1"/>
  <c r="BR14" i="8" s="1"/>
  <c r="BR15" i="8" s="1"/>
  <c r="BS44" i="8"/>
  <c r="BS53" i="8"/>
  <c r="BS51" i="8"/>
  <c r="BS45" i="8"/>
  <c r="BS52" i="8"/>
  <c r="BS46" i="8"/>
  <c r="BS47" i="8"/>
  <c r="BS49" i="8"/>
  <c r="BS48" i="8"/>
  <c r="BS55" i="8"/>
  <c r="BS56" i="8"/>
  <c r="BS54" i="8"/>
  <c r="BS50" i="8"/>
  <c r="BS43" i="8"/>
  <c r="BS4" i="8" s="1"/>
  <c r="BT2" i="8"/>
  <c r="BT32" i="8" s="1"/>
  <c r="BT33" i="8" s="1"/>
  <c r="BT34" i="8" s="1"/>
  <c r="BT35" i="8" s="1"/>
  <c r="BT36" i="8" s="1"/>
  <c r="BT37" i="8" s="1"/>
  <c r="BS5" i="8" l="1"/>
  <c r="BS6" i="8" s="1"/>
  <c r="BS7" i="8" s="1"/>
  <c r="BS8" i="8" s="1"/>
  <c r="BS9" i="8" s="1"/>
  <c r="BS10" i="8" s="1"/>
  <c r="BS11" i="8" s="1"/>
  <c r="BS12" i="8" s="1"/>
  <c r="BS13" i="8" s="1"/>
  <c r="BS14" i="8" s="1"/>
  <c r="BS15" i="8" s="1"/>
  <c r="BU2" i="8"/>
  <c r="BU32" i="8" s="1"/>
  <c r="BU33" i="8" s="1"/>
  <c r="BU34" i="8" s="1"/>
  <c r="BU35" i="8" s="1"/>
  <c r="BU36" i="8" s="1"/>
  <c r="BU37" i="8" s="1"/>
  <c r="BT50" i="8"/>
  <c r="BT56" i="8"/>
  <c r="BT51" i="8"/>
  <c r="BT45" i="8"/>
  <c r="BT44" i="8"/>
  <c r="BT48" i="8"/>
  <c r="BT55" i="8"/>
  <c r="BT49" i="8"/>
  <c r="BT47" i="8"/>
  <c r="BT53" i="8"/>
  <c r="BT54" i="8"/>
  <c r="BT46" i="8"/>
  <c r="BT52" i="8"/>
  <c r="BT43" i="8"/>
  <c r="BT4" i="8" s="1"/>
  <c r="BT5" i="8" s="1"/>
  <c r="BT6" i="8" s="1"/>
  <c r="BT7" i="8" s="1"/>
  <c r="BT8" i="8" l="1"/>
  <c r="BT9" i="8" s="1"/>
  <c r="BT10" i="8" s="1"/>
  <c r="BT11" i="8" s="1"/>
  <c r="BT12" i="8" s="1"/>
  <c r="BT13" i="8" s="1"/>
  <c r="BT14" i="8" s="1"/>
  <c r="BT15" i="8" s="1"/>
  <c r="BV2" i="8"/>
  <c r="BV32" i="8" s="1"/>
  <c r="BV33" i="8" s="1"/>
  <c r="BV34" i="8" s="1"/>
  <c r="BV35" i="8" s="1"/>
  <c r="BV36" i="8" s="1"/>
  <c r="BV37" i="8" s="1"/>
  <c r="BU54" i="8"/>
  <c r="BU49" i="8"/>
  <c r="BU51" i="8"/>
  <c r="BU44" i="8"/>
  <c r="BU46" i="8"/>
  <c r="BU48" i="8"/>
  <c r="BU47" i="8"/>
  <c r="BU52" i="8"/>
  <c r="BU56" i="8"/>
  <c r="BU55" i="8"/>
  <c r="BU45" i="8"/>
  <c r="BU53" i="8"/>
  <c r="BU50" i="8"/>
  <c r="BU43" i="8"/>
  <c r="BU4" i="8" s="1"/>
  <c r="BU5" i="8" l="1"/>
  <c r="BU6" i="8" s="1"/>
  <c r="BU7" i="8" s="1"/>
  <c r="BU8" i="8" s="1"/>
  <c r="BU9" i="8" s="1"/>
  <c r="BU10" i="8" s="1"/>
  <c r="BU11" i="8" s="1"/>
  <c r="BU12" i="8" s="1"/>
  <c r="BU13" i="8" s="1"/>
  <c r="BU14" i="8" s="1"/>
  <c r="BU15" i="8" s="1"/>
  <c r="BV54" i="8"/>
  <c r="BV50" i="8"/>
  <c r="BV46" i="8"/>
  <c r="BV45" i="8"/>
  <c r="BV52" i="8"/>
  <c r="BV53" i="8"/>
  <c r="BV55" i="8"/>
  <c r="BW2" i="8"/>
  <c r="BW32" i="8" s="1"/>
  <c r="BW33" i="8" s="1"/>
  <c r="BW34" i="8" s="1"/>
  <c r="BW35" i="8" s="1"/>
  <c r="BW36" i="8" s="1"/>
  <c r="BW37" i="8" s="1"/>
  <c r="BV49" i="8"/>
  <c r="BV56" i="8"/>
  <c r="BV48" i="8"/>
  <c r="BV51" i="8"/>
  <c r="BV44" i="8"/>
  <c r="BV47" i="8"/>
  <c r="BV43" i="8"/>
  <c r="BV4" i="8" s="1"/>
  <c r="BV5" i="8" l="1"/>
  <c r="BV6" i="8"/>
  <c r="BV7" i="8" s="1"/>
  <c r="BV8" i="8" s="1"/>
  <c r="BV9" i="8" s="1"/>
  <c r="BV10" i="8" s="1"/>
  <c r="BV11" i="8" s="1"/>
  <c r="BV12" i="8" s="1"/>
  <c r="BV13" i="8" s="1"/>
  <c r="BV14" i="8" s="1"/>
  <c r="BV15" i="8" s="1"/>
  <c r="BW50" i="8"/>
  <c r="BW54" i="8"/>
  <c r="BW51" i="8"/>
  <c r="BX2" i="8"/>
  <c r="BX32" i="8" s="1"/>
  <c r="BX33" i="8" s="1"/>
  <c r="BX34" i="8" s="1"/>
  <c r="BX35" i="8" s="1"/>
  <c r="BX36" i="8" s="1"/>
  <c r="BX37" i="8" s="1"/>
  <c r="BW49" i="8"/>
  <c r="BW55" i="8"/>
  <c r="BW45" i="8"/>
  <c r="BW48" i="8"/>
  <c r="BW47" i="8"/>
  <c r="BW53" i="8"/>
  <c r="BW56" i="8"/>
  <c r="BW44" i="8"/>
  <c r="BW46" i="8"/>
  <c r="BW43" i="8"/>
  <c r="BW4" i="8" s="1"/>
  <c r="BW52" i="8"/>
  <c r="BW5" i="8" l="1"/>
  <c r="BW6" i="8" s="1"/>
  <c r="BW7" i="8" s="1"/>
  <c r="BW8" i="8" s="1"/>
  <c r="BW9" i="8" s="1"/>
  <c r="BW10" i="8" s="1"/>
  <c r="BW11" i="8" s="1"/>
  <c r="BW12" i="8" s="1"/>
  <c r="BW13" i="8" s="1"/>
  <c r="BW14" i="8" s="1"/>
  <c r="BW15" i="8" s="1"/>
  <c r="BX49" i="8"/>
  <c r="BX44" i="8"/>
  <c r="BX45" i="8"/>
  <c r="BX52" i="8"/>
  <c r="BX53" i="8"/>
  <c r="BX56" i="8"/>
  <c r="BY2" i="8"/>
  <c r="BY32" i="8" s="1"/>
  <c r="BY33" i="8" s="1"/>
  <c r="BY34" i="8" s="1"/>
  <c r="BY35" i="8" s="1"/>
  <c r="BY36" i="8" s="1"/>
  <c r="BY37" i="8" s="1"/>
  <c r="BX48" i="8"/>
  <c r="BX54" i="8"/>
  <c r="BX43" i="8"/>
  <c r="BX4" i="8" s="1"/>
  <c r="BX55" i="8"/>
  <c r="BX50" i="8"/>
  <c r="BX51" i="8"/>
  <c r="BX46" i="8"/>
  <c r="BX47" i="8"/>
  <c r="BX5" i="8" l="1"/>
  <c r="BX6" i="8" s="1"/>
  <c r="BX7" i="8" s="1"/>
  <c r="BX8" i="8" s="1"/>
  <c r="BX9" i="8" s="1"/>
  <c r="BX10" i="8" s="1"/>
  <c r="BX11" i="8" s="1"/>
  <c r="BX12" i="8" s="1"/>
  <c r="BX13" i="8" s="1"/>
  <c r="BX14" i="8" s="1"/>
  <c r="BX15" i="8" s="1"/>
  <c r="BZ2" i="8"/>
  <c r="BZ32" i="8" s="1"/>
  <c r="BZ33" i="8" s="1"/>
  <c r="BZ34" i="8" s="1"/>
  <c r="BZ35" i="8" s="1"/>
  <c r="BZ36" i="8" s="1"/>
  <c r="BZ37" i="8" s="1"/>
  <c r="BY48" i="8"/>
  <c r="BY54" i="8"/>
  <c r="BY49" i="8"/>
  <c r="BY44" i="8"/>
  <c r="BY45" i="8"/>
  <c r="BY46" i="8"/>
  <c r="BY56" i="8"/>
  <c r="BY51" i="8"/>
  <c r="BY47" i="8"/>
  <c r="BY53" i="8"/>
  <c r="BY43" i="8"/>
  <c r="BY4" i="8" s="1"/>
  <c r="BY55" i="8"/>
  <c r="BY50" i="8"/>
  <c r="BY52" i="8"/>
  <c r="BY5" i="8" l="1"/>
  <c r="BY6" i="8" s="1"/>
  <c r="BY7" i="8" s="1"/>
  <c r="BY8" i="8"/>
  <c r="BY9" i="8" s="1"/>
  <c r="BY10" i="8" s="1"/>
  <c r="BY11" i="8" s="1"/>
  <c r="BY12" i="8" s="1"/>
  <c r="BY13" i="8" s="1"/>
  <c r="BY14" i="8" s="1"/>
  <c r="BY15" i="8" s="1"/>
  <c r="BZ55" i="8"/>
  <c r="BZ44" i="8"/>
  <c r="BZ52" i="8"/>
  <c r="BZ53" i="8"/>
  <c r="BZ45" i="8"/>
  <c r="BZ51" i="8"/>
  <c r="BZ46" i="8"/>
  <c r="CA2" i="8"/>
  <c r="CA32" i="8" s="1"/>
  <c r="CA33" i="8" s="1"/>
  <c r="CA34" i="8" s="1"/>
  <c r="CA35" i="8" s="1"/>
  <c r="CA36" i="8" s="1"/>
  <c r="CA37" i="8" s="1"/>
  <c r="BZ47" i="8"/>
  <c r="BZ48" i="8"/>
  <c r="BZ54" i="8"/>
  <c r="BZ43" i="8"/>
  <c r="BZ4" i="8" s="1"/>
  <c r="BZ49" i="8"/>
  <c r="BZ50" i="8"/>
  <c r="BZ56" i="8"/>
  <c r="BZ5" i="8" l="1"/>
  <c r="BZ6" i="8" s="1"/>
  <c r="BZ7" i="8" s="1"/>
  <c r="BZ8" i="8" s="1"/>
  <c r="BZ9" i="8" s="1"/>
  <c r="BZ10" i="8" s="1"/>
  <c r="BZ11" i="8" s="1"/>
  <c r="BZ12" i="8" s="1"/>
  <c r="BZ13" i="8" s="1"/>
  <c r="BZ14" i="8" s="1"/>
  <c r="BZ15" i="8" s="1"/>
  <c r="CB2" i="8"/>
  <c r="CB32" i="8" s="1"/>
  <c r="CB33" i="8" s="1"/>
  <c r="CB34" i="8" s="1"/>
  <c r="CB35" i="8" s="1"/>
  <c r="CB36" i="8" s="1"/>
  <c r="CB37" i="8" s="1"/>
  <c r="CA48" i="8"/>
  <c r="CA54" i="8"/>
  <c r="CA49" i="8"/>
  <c r="CA52" i="8"/>
  <c r="CA47" i="8"/>
  <c r="CA53" i="8"/>
  <c r="CA43" i="8"/>
  <c r="CA4" i="8" s="1"/>
  <c r="CA55" i="8"/>
  <c r="CA44" i="8"/>
  <c r="CA50" i="8"/>
  <c r="CA56" i="8"/>
  <c r="CA46" i="8"/>
  <c r="CA45" i="8"/>
  <c r="CA51" i="8"/>
  <c r="CA5" i="8" l="1"/>
  <c r="CA6" i="8" s="1"/>
  <c r="CA7" i="8" s="1"/>
  <c r="CA8" i="8" s="1"/>
  <c r="CA9" i="8" s="1"/>
  <c r="CA10" i="8" s="1"/>
  <c r="CA11" i="8" s="1"/>
  <c r="CA12" i="8" s="1"/>
  <c r="CA13" i="8" s="1"/>
  <c r="CA14" i="8" s="1"/>
  <c r="CA15" i="8" s="1"/>
  <c r="CC2" i="8"/>
  <c r="CC32" i="8" s="1"/>
  <c r="CC33" i="8" s="1"/>
  <c r="CC34" i="8" s="1"/>
  <c r="CC35" i="8" s="1"/>
  <c r="CC36" i="8" s="1"/>
  <c r="CC37" i="8" s="1"/>
  <c r="CB48" i="8"/>
  <c r="CB54" i="8"/>
  <c r="CB43" i="8"/>
  <c r="CB4" i="8" s="1"/>
  <c r="CB49" i="8"/>
  <c r="CB55" i="8"/>
  <c r="CB52" i="8"/>
  <c r="CB47" i="8"/>
  <c r="CB44" i="8"/>
  <c r="CB50" i="8"/>
  <c r="CB56" i="8"/>
  <c r="CB53" i="8"/>
  <c r="CB45" i="8"/>
  <c r="CB51" i="8"/>
  <c r="CB46" i="8"/>
  <c r="CB5" i="8" l="1"/>
  <c r="CB6" i="8" s="1"/>
  <c r="CB7" i="8" s="1"/>
  <c r="CB8" i="8" s="1"/>
  <c r="CB9" i="8" s="1"/>
  <c r="CB10" i="8" s="1"/>
  <c r="CB11" i="8" s="1"/>
  <c r="CB12" i="8" s="1"/>
  <c r="CB13" i="8" s="1"/>
  <c r="CB14" i="8" s="1"/>
  <c r="CB15" i="8" s="1"/>
  <c r="CC43" i="8"/>
  <c r="CC4" i="8" s="1"/>
  <c r="CC50" i="8"/>
  <c r="CC49" i="8"/>
  <c r="CC51" i="8"/>
  <c r="CC44" i="8"/>
  <c r="CC52" i="8"/>
  <c r="CC47" i="8"/>
  <c r="CC54" i="8"/>
  <c r="CC56" i="8"/>
  <c r="CC53" i="8"/>
  <c r="CD2" i="8"/>
  <c r="CD32" i="8" s="1"/>
  <c r="CD33" i="8" s="1"/>
  <c r="CD34" i="8" s="1"/>
  <c r="CD35" i="8" s="1"/>
  <c r="CD36" i="8" s="1"/>
  <c r="CD37" i="8" s="1"/>
  <c r="CC45" i="8"/>
  <c r="CC46" i="8"/>
  <c r="CC48" i="8"/>
  <c r="CC55" i="8"/>
  <c r="CC5" i="8" l="1"/>
  <c r="CC6" i="8" s="1"/>
  <c r="CC7" i="8" s="1"/>
  <c r="CC8" i="8" s="1"/>
  <c r="CC9" i="8" s="1"/>
  <c r="CC10" i="8" s="1"/>
  <c r="CC11" i="8" s="1"/>
  <c r="CC12" i="8" s="1"/>
  <c r="CC13" i="8" s="1"/>
  <c r="CC14" i="8" s="1"/>
  <c r="CC15" i="8" s="1"/>
  <c r="CD45" i="8"/>
  <c r="CD51" i="8"/>
  <c r="CD46" i="8"/>
  <c r="CD55" i="8"/>
  <c r="CD44" i="8"/>
  <c r="CD50" i="8"/>
  <c r="CD52" i="8"/>
  <c r="CD49" i="8"/>
  <c r="CD47" i="8"/>
  <c r="CD53" i="8"/>
  <c r="CD54" i="8"/>
  <c r="CD43" i="8"/>
  <c r="CD4" i="8" s="1"/>
  <c r="CE2" i="8"/>
  <c r="CE32" i="8" s="1"/>
  <c r="CE33" i="8" s="1"/>
  <c r="CE34" i="8" s="1"/>
  <c r="CE35" i="8" s="1"/>
  <c r="CE36" i="8" s="1"/>
  <c r="CE37" i="8" s="1"/>
  <c r="CD48" i="8"/>
  <c r="CD56" i="8"/>
  <c r="CD5" i="8" l="1"/>
  <c r="CD6" i="8" s="1"/>
  <c r="CD7" i="8"/>
  <c r="CD8" i="8" s="1"/>
  <c r="CD9" i="8" s="1"/>
  <c r="CD10" i="8" s="1"/>
  <c r="CD11" i="8" s="1"/>
  <c r="CD12" i="8" s="1"/>
  <c r="CD13" i="8" s="1"/>
  <c r="CD14" i="8" s="1"/>
  <c r="CD15" i="8" s="1"/>
  <c r="CE44" i="8"/>
  <c r="CE50" i="8"/>
  <c r="CE56" i="8"/>
  <c r="CF2" i="8"/>
  <c r="CF32" i="8" s="1"/>
  <c r="CF33" i="8" s="1"/>
  <c r="CF34" i="8" s="1"/>
  <c r="CF35" i="8" s="1"/>
  <c r="CF36" i="8" s="1"/>
  <c r="CF37" i="8" s="1"/>
  <c r="CE48" i="8"/>
  <c r="CE43" i="8"/>
  <c r="CE4" i="8" s="1"/>
  <c r="CE55" i="8"/>
  <c r="CE45" i="8"/>
  <c r="CE51" i="8"/>
  <c r="CE54" i="8"/>
  <c r="CE49" i="8"/>
  <c r="CE46" i="8"/>
  <c r="CE52" i="8"/>
  <c r="CE47" i="8"/>
  <c r="CE53" i="8"/>
  <c r="CE5" i="8" l="1"/>
  <c r="CE6" i="8" s="1"/>
  <c r="CE7" i="8" s="1"/>
  <c r="CE8" i="8" s="1"/>
  <c r="CE9" i="8" s="1"/>
  <c r="CE10" i="8" s="1"/>
  <c r="CE11" i="8" s="1"/>
  <c r="CE12" i="8" s="1"/>
  <c r="CE13" i="8" s="1"/>
  <c r="CE14" i="8" s="1"/>
  <c r="CE15" i="8" s="1"/>
  <c r="CF45" i="8"/>
  <c r="CF48" i="8"/>
  <c r="CF46" i="8"/>
  <c r="CF52" i="8"/>
  <c r="CF54" i="8"/>
  <c r="CF55" i="8"/>
  <c r="CG2" i="8"/>
  <c r="CG32" i="8" s="1"/>
  <c r="CG33" i="8" s="1"/>
  <c r="CG34" i="8" s="1"/>
  <c r="CG35" i="8" s="1"/>
  <c r="CG36" i="8" s="1"/>
  <c r="CG37" i="8" s="1"/>
  <c r="CF47" i="8"/>
  <c r="CF53" i="8"/>
  <c r="CF44" i="8"/>
  <c r="CF50" i="8"/>
  <c r="CF56" i="8"/>
  <c r="CF51" i="8"/>
  <c r="CF43" i="8"/>
  <c r="CF4" i="8" s="1"/>
  <c r="CF49" i="8"/>
  <c r="CF5" i="8" l="1"/>
  <c r="CF6" i="8" s="1"/>
  <c r="CF7" i="8" s="1"/>
  <c r="CF8" i="8" s="1"/>
  <c r="CF9" i="8" s="1"/>
  <c r="CF10" i="8" s="1"/>
  <c r="CF11" i="8" s="1"/>
  <c r="CF12" i="8" s="1"/>
  <c r="CF13" i="8" s="1"/>
  <c r="CF14" i="8" s="1"/>
  <c r="CF15" i="8" s="1"/>
  <c r="CG52" i="8"/>
  <c r="CG53" i="8"/>
  <c r="CG43" i="8"/>
  <c r="CG4" i="8" s="1"/>
  <c r="CG55" i="8"/>
  <c r="CG50" i="8"/>
  <c r="CG44" i="8"/>
  <c r="CG56" i="8"/>
  <c r="CH2" i="8"/>
  <c r="CH32" i="8" s="1"/>
  <c r="CH33" i="8" s="1"/>
  <c r="CH34" i="8" s="1"/>
  <c r="CH35" i="8" s="1"/>
  <c r="CH36" i="8" s="1"/>
  <c r="CH37" i="8" s="1"/>
  <c r="CG48" i="8"/>
  <c r="CG54" i="8"/>
  <c r="CG45" i="8"/>
  <c r="CG51" i="8"/>
  <c r="CG46" i="8"/>
  <c r="CG47" i="8"/>
  <c r="CG49" i="8"/>
  <c r="CG5" i="8" l="1"/>
  <c r="CG6" i="8"/>
  <c r="CG7" i="8" s="1"/>
  <c r="CG8" i="8" s="1"/>
  <c r="CG9" i="8" s="1"/>
  <c r="CG10" i="8" s="1"/>
  <c r="CG11" i="8" s="1"/>
  <c r="CG12" i="8" s="1"/>
  <c r="CG13" i="8" s="1"/>
  <c r="CG14" i="8" s="1"/>
  <c r="CG15" i="8" s="1"/>
  <c r="CH50" i="8"/>
  <c r="CH45" i="8"/>
  <c r="CH54" i="8"/>
  <c r="CI2" i="8"/>
  <c r="CI32" i="8" s="1"/>
  <c r="CI33" i="8" s="1"/>
  <c r="CI34" i="8" s="1"/>
  <c r="CI35" i="8" s="1"/>
  <c r="CI36" i="8" s="1"/>
  <c r="CI37" i="8" s="1"/>
  <c r="CH48" i="8"/>
  <c r="CH46" i="8"/>
  <c r="CH52" i="8"/>
  <c r="CH53" i="8"/>
  <c r="CH43" i="8"/>
  <c r="CH4" i="8" s="1"/>
  <c r="CH49" i="8"/>
  <c r="CH55" i="8"/>
  <c r="CH44" i="8"/>
  <c r="CH56" i="8"/>
  <c r="CH51" i="8"/>
  <c r="CH47" i="8"/>
  <c r="CH5" i="8" l="1"/>
  <c r="CH6" i="8" s="1"/>
  <c r="CH7" i="8" s="1"/>
  <c r="CH8" i="8" s="1"/>
  <c r="CH9" i="8" s="1"/>
  <c r="CH10" i="8" s="1"/>
  <c r="CH11" i="8" s="1"/>
  <c r="CH12" i="8" s="1"/>
  <c r="CH13" i="8" s="1"/>
  <c r="CH14" i="8" s="1"/>
  <c r="CH15" i="8" s="1"/>
  <c r="CI50" i="8"/>
  <c r="CI51" i="8"/>
  <c r="CI56" i="8"/>
  <c r="CI55" i="8"/>
  <c r="CI54" i="8"/>
  <c r="CI47" i="8"/>
  <c r="CI45" i="8"/>
  <c r="CJ2" i="8"/>
  <c r="CJ32" i="8" s="1"/>
  <c r="CJ33" i="8" s="1"/>
  <c r="CJ34" i="8" s="1"/>
  <c r="CJ35" i="8" s="1"/>
  <c r="CJ36" i="8" s="1"/>
  <c r="CJ37" i="8" s="1"/>
  <c r="CI43" i="8"/>
  <c r="CI4" i="8" s="1"/>
  <c r="CI44" i="8"/>
  <c r="CI46" i="8"/>
  <c r="CI49" i="8"/>
  <c r="CI48" i="8"/>
  <c r="CI52" i="8"/>
  <c r="CI53" i="8"/>
  <c r="CI5" i="8" l="1"/>
  <c r="CI6" i="8" s="1"/>
  <c r="CI7" i="8" s="1"/>
  <c r="CI8" i="8" s="1"/>
  <c r="CI9" i="8" s="1"/>
  <c r="CI10" i="8" s="1"/>
  <c r="CI11" i="8" s="1"/>
  <c r="CI12" i="8" s="1"/>
  <c r="CI13" i="8" s="1"/>
  <c r="CI14" i="8" s="1"/>
  <c r="CI15" i="8" s="1"/>
  <c r="CJ43" i="8"/>
  <c r="CJ4" i="8" s="1"/>
  <c r="CJ49" i="8"/>
  <c r="CJ55" i="8"/>
  <c r="CJ44" i="8"/>
  <c r="CJ50" i="8"/>
  <c r="CJ56" i="8"/>
  <c r="CJ45" i="8"/>
  <c r="CJ51" i="8"/>
  <c r="CJ47" i="8"/>
  <c r="CJ54" i="8"/>
  <c r="CJ46" i="8"/>
  <c r="CJ52" i="8"/>
  <c r="CJ53" i="8"/>
  <c r="CK2" i="8"/>
  <c r="CK32" i="8" s="1"/>
  <c r="CK33" i="8" s="1"/>
  <c r="CK34" i="8" s="1"/>
  <c r="CK35" i="8" s="1"/>
  <c r="CK36" i="8" s="1"/>
  <c r="CK37" i="8" s="1"/>
  <c r="CJ48" i="8"/>
  <c r="CJ5" i="8" l="1"/>
  <c r="CJ6" i="8" s="1"/>
  <c r="CJ7" i="8" s="1"/>
  <c r="CJ8" i="8" s="1"/>
  <c r="CJ9" i="8" s="1"/>
  <c r="CJ10" i="8" s="1"/>
  <c r="CJ11" i="8" s="1"/>
  <c r="CJ12" i="8" s="1"/>
  <c r="CJ13" i="8" s="1"/>
  <c r="CJ14" i="8" s="1"/>
  <c r="CJ15" i="8" s="1"/>
  <c r="CK44" i="8"/>
  <c r="CK50" i="8"/>
  <c r="CK56" i="8"/>
  <c r="CK45" i="8"/>
  <c r="CK51" i="8"/>
  <c r="CK53" i="8"/>
  <c r="CL2" i="8"/>
  <c r="CL32" i="8" s="1"/>
  <c r="CL33" i="8" s="1"/>
  <c r="CL34" i="8" s="1"/>
  <c r="CL35" i="8" s="1"/>
  <c r="CL36" i="8" s="1"/>
  <c r="CL37" i="8" s="1"/>
  <c r="CK54" i="8"/>
  <c r="CK43" i="8"/>
  <c r="CK4" i="8" s="1"/>
  <c r="CK46" i="8"/>
  <c r="CK52" i="8"/>
  <c r="CK48" i="8"/>
  <c r="CK55" i="8"/>
  <c r="CK47" i="8"/>
  <c r="CK49" i="8"/>
  <c r="CK5" i="8" l="1"/>
  <c r="CK6" i="8"/>
  <c r="CK7" i="8" s="1"/>
  <c r="CK8" i="8" s="1"/>
  <c r="CK9" i="8" s="1"/>
  <c r="CK10" i="8" s="1"/>
  <c r="CK11" i="8" s="1"/>
  <c r="CK12" i="8" s="1"/>
  <c r="CK13" i="8" s="1"/>
  <c r="CK14" i="8" s="1"/>
  <c r="CK15" i="8" s="1"/>
  <c r="CM2" i="8"/>
  <c r="CM32" i="8" s="1"/>
  <c r="CM33" i="8" s="1"/>
  <c r="CM34" i="8" s="1"/>
  <c r="CM35" i="8" s="1"/>
  <c r="CM36" i="8" s="1"/>
  <c r="CM37" i="8" s="1"/>
  <c r="CL48" i="8"/>
  <c r="CL45" i="8"/>
  <c r="CL43" i="8"/>
  <c r="CL4" i="8" s="1"/>
  <c r="CL49" i="8"/>
  <c r="CL55" i="8"/>
  <c r="CL50" i="8"/>
  <c r="CL56" i="8"/>
  <c r="CL44" i="8"/>
  <c r="CL51" i="8"/>
  <c r="CL46" i="8"/>
  <c r="CL52" i="8"/>
  <c r="CL47" i="8"/>
  <c r="CL53" i="8"/>
  <c r="CL54" i="8"/>
  <c r="CL5" i="8" l="1"/>
  <c r="CL6" i="8" s="1"/>
  <c r="CL7" i="8" s="1"/>
  <c r="CL8" i="8" s="1"/>
  <c r="CL9" i="8" s="1"/>
  <c r="CL10" i="8" s="1"/>
  <c r="CL11" i="8" s="1"/>
  <c r="CL12" i="8" s="1"/>
  <c r="CL13" i="8" s="1"/>
  <c r="CL14" i="8" s="1"/>
  <c r="CL15" i="8" s="1"/>
  <c r="CN2" i="8"/>
  <c r="CN32" i="8" s="1"/>
  <c r="CN33" i="8" s="1"/>
  <c r="CN34" i="8" s="1"/>
  <c r="CN35" i="8" s="1"/>
  <c r="CN36" i="8" s="1"/>
  <c r="CN37" i="8" s="1"/>
  <c r="CM54" i="8"/>
  <c r="CM45" i="8"/>
  <c r="CM49" i="8"/>
  <c r="CM51" i="8"/>
  <c r="CM44" i="8"/>
  <c r="CM46" i="8"/>
  <c r="CM47" i="8"/>
  <c r="CM52" i="8"/>
  <c r="CM56" i="8"/>
  <c r="CM55" i="8"/>
  <c r="CM50" i="8"/>
  <c r="CM48" i="8"/>
  <c r="CM53" i="8"/>
  <c r="CM43" i="8"/>
  <c r="CM4" i="8" s="1"/>
  <c r="CM5" i="8" l="1"/>
  <c r="CM6" i="8" s="1"/>
  <c r="CM7" i="8" s="1"/>
  <c r="CM8" i="8" s="1"/>
  <c r="CM9" i="8" s="1"/>
  <c r="CM10" i="8"/>
  <c r="CM11" i="8" s="1"/>
  <c r="CM12" i="8" s="1"/>
  <c r="CM13" i="8" s="1"/>
  <c r="CM14" i="8" s="1"/>
  <c r="CM15" i="8" s="1"/>
  <c r="CN54" i="8"/>
  <c r="CN48" i="8"/>
  <c r="CN52" i="8"/>
  <c r="CN53" i="8"/>
  <c r="CN55" i="8"/>
  <c r="CN45" i="8"/>
  <c r="CO2" i="8"/>
  <c r="CO32" i="8" s="1"/>
  <c r="CO33" i="8" s="1"/>
  <c r="CO34" i="8" s="1"/>
  <c r="CO35" i="8" s="1"/>
  <c r="CO36" i="8" s="1"/>
  <c r="CO37" i="8" s="1"/>
  <c r="CN51" i="8"/>
  <c r="CN44" i="8"/>
  <c r="CN47" i="8"/>
  <c r="CN50" i="8"/>
  <c r="CN46" i="8"/>
  <c r="CN56" i="8"/>
  <c r="CN49" i="8"/>
  <c r="CN43" i="8"/>
  <c r="CN4" i="8" s="1"/>
  <c r="CN5" i="8" l="1"/>
  <c r="CN6" i="8"/>
  <c r="CN7" i="8" s="1"/>
  <c r="CN8" i="8" s="1"/>
  <c r="CN9" i="8" s="1"/>
  <c r="CN10" i="8" s="1"/>
  <c r="CN11" i="8" s="1"/>
  <c r="CN12" i="8" s="1"/>
  <c r="CN13" i="8" s="1"/>
  <c r="CN14" i="8" s="1"/>
  <c r="CN15" i="8" s="1"/>
  <c r="CO47" i="8"/>
  <c r="CO43" i="8"/>
  <c r="CO4" i="8" s="1"/>
  <c r="CO48" i="8"/>
  <c r="CO55" i="8"/>
  <c r="CO49" i="8"/>
  <c r="CO45" i="8"/>
  <c r="CO44" i="8"/>
  <c r="CO56" i="8"/>
  <c r="CO46" i="8"/>
  <c r="CO51" i="8"/>
  <c r="CO50" i="8"/>
  <c r="CO52" i="8"/>
  <c r="CO54" i="8"/>
  <c r="CP2" i="8"/>
  <c r="CP32" i="8" s="1"/>
  <c r="CP33" i="8" s="1"/>
  <c r="CP34" i="8" s="1"/>
  <c r="CP35" i="8" s="1"/>
  <c r="CP36" i="8" s="1"/>
  <c r="CP37" i="8" s="1"/>
  <c r="CO53" i="8"/>
  <c r="CO5" i="8" l="1"/>
  <c r="CO6" i="8" s="1"/>
  <c r="CO7" i="8" s="1"/>
  <c r="CO8" i="8" s="1"/>
  <c r="CO9" i="8" s="1"/>
  <c r="CO10" i="8" s="1"/>
  <c r="CO11" i="8" s="1"/>
  <c r="CO12" i="8" s="1"/>
  <c r="CO13" i="8" s="1"/>
  <c r="CO14" i="8" s="1"/>
  <c r="CO15" i="8" s="1"/>
  <c r="CP43" i="8"/>
  <c r="CP4" i="8" s="1"/>
  <c r="D75" i="8" s="1"/>
  <c r="CP54" i="8"/>
  <c r="CP52" i="8"/>
  <c r="CP53" i="8"/>
  <c r="CP44" i="8"/>
  <c r="CP49" i="8"/>
  <c r="CP56" i="8"/>
  <c r="CP50" i="8"/>
  <c r="CP51" i="8"/>
  <c r="CP48" i="8"/>
  <c r="CP47" i="8"/>
  <c r="CP55" i="8"/>
  <c r="CP45" i="8"/>
  <c r="CP46" i="8"/>
  <c r="I77" i="8" l="1"/>
  <c r="D89" i="8"/>
  <c r="CP5" i="8"/>
  <c r="D119" i="8"/>
  <c r="F119" i="8" s="1"/>
  <c r="CP6" i="8" l="1"/>
  <c r="D76" i="8"/>
  <c r="I78" i="8" s="1"/>
  <c r="D90" i="8"/>
  <c r="D120" i="8"/>
  <c r="F120" i="8" s="1"/>
  <c r="CP7" i="8" l="1"/>
  <c r="D77" i="8"/>
  <c r="I79" i="8" s="1"/>
  <c r="D91" i="8"/>
  <c r="D121" i="8"/>
  <c r="CP8" i="8" l="1"/>
  <c r="D78" i="8"/>
  <c r="I80" i="8" s="1"/>
  <c r="F121" i="8"/>
  <c r="F32" i="8" s="1"/>
  <c r="D32" i="8"/>
  <c r="D92" i="8"/>
  <c r="D122" i="8"/>
  <c r="F122" i="8" s="1"/>
  <c r="CP9" i="8" l="1"/>
  <c r="D79" i="8"/>
  <c r="I81" i="8" s="1"/>
  <c r="D93" i="8"/>
  <c r="D103" i="8"/>
  <c r="D33" i="8"/>
  <c r="D143" i="8"/>
  <c r="F33" i="8"/>
  <c r="D123" i="8"/>
  <c r="F123" i="8" s="1"/>
  <c r="CP10" i="8" l="1"/>
  <c r="D80" i="8"/>
  <c r="I82" i="8" s="1"/>
  <c r="F34" i="8"/>
  <c r="D104" i="8"/>
  <c r="D34" i="8"/>
  <c r="D144" i="8"/>
  <c r="D94" i="8"/>
  <c r="D124" i="8"/>
  <c r="F124" i="8" s="1"/>
  <c r="CP11" i="8" l="1"/>
  <c r="D81" i="8"/>
  <c r="I83" i="8" s="1"/>
  <c r="D95" i="8"/>
  <c r="D105" i="8"/>
  <c r="D35" i="8"/>
  <c r="D145" i="8"/>
  <c r="F35" i="8"/>
  <c r="F36" i="8" s="1"/>
  <c r="D125" i="8"/>
  <c r="F125" i="8" s="1"/>
  <c r="CP12" i="8" l="1"/>
  <c r="D82" i="8"/>
  <c r="I84" i="8" s="1"/>
  <c r="D106" i="8"/>
  <c r="D36" i="8"/>
  <c r="D146" i="8"/>
  <c r="D96" i="8"/>
  <c r="D126" i="8"/>
  <c r="F126" i="8" s="1"/>
  <c r="F37" i="8" s="1"/>
  <c r="CP13" i="8" l="1"/>
  <c r="D83" i="8"/>
  <c r="I85" i="8" s="1"/>
  <c r="D97" i="8"/>
  <c r="D107" i="8"/>
  <c r="D37" i="8"/>
  <c r="D147" i="8"/>
  <c r="D127" i="8"/>
  <c r="F127" i="8" s="1"/>
  <c r="CP14" i="8" l="1"/>
  <c r="D84" i="8"/>
  <c r="I86" i="8" s="1"/>
  <c r="D98" i="8"/>
  <c r="D108" i="8"/>
  <c r="D148" i="8"/>
  <c r="D128" i="8"/>
  <c r="F128" i="8" s="1"/>
  <c r="CP15" i="8" l="1"/>
  <c r="D86" i="8" s="1"/>
  <c r="I88" i="8" s="1"/>
  <c r="K88" i="8" s="1"/>
  <c r="D85" i="8"/>
  <c r="I87" i="8" s="1"/>
  <c r="D100" i="8"/>
  <c r="D99" i="8"/>
  <c r="D129" i="8"/>
  <c r="F129" i="8" s="1"/>
  <c r="I99" i="8" l="1"/>
  <c r="K99" i="8" s="1"/>
  <c r="I100" i="8"/>
  <c r="I89" i="8"/>
  <c r="K89" i="8" s="1"/>
  <c r="I90" i="8"/>
  <c r="K90" i="8" s="1"/>
  <c r="I91" i="8"/>
  <c r="K91" i="8" s="1"/>
  <c r="I92" i="8"/>
  <c r="K92" i="8" s="1"/>
  <c r="I93" i="8"/>
  <c r="K93" i="8" s="1"/>
  <c r="I94" i="8"/>
  <c r="K94" i="8" s="1"/>
  <c r="I95" i="8"/>
  <c r="K95" i="8" s="1"/>
  <c r="I96" i="8"/>
  <c r="K96" i="8" s="1"/>
  <c r="I97" i="8"/>
  <c r="K97" i="8" s="1"/>
  <c r="I98" i="8"/>
  <c r="K98" i="8" s="1"/>
  <c r="F130" i="8"/>
  <c r="I101" i="8" l="1"/>
  <c r="K101" i="8" s="1"/>
  <c r="K100" i="8"/>
  <c r="I106" i="8"/>
  <c r="I105" i="8"/>
  <c r="K105" i="8" s="1"/>
  <c r="I104" i="8"/>
  <c r="K104" i="8" s="1"/>
  <c r="I103" i="8"/>
  <c r="K103" i="8" s="1"/>
  <c r="I102" i="8"/>
  <c r="K102" i="8" s="1"/>
  <c r="D131" i="8"/>
  <c r="F131" i="8" s="1"/>
  <c r="D132" i="8" l="1"/>
  <c r="F132" i="8" s="1"/>
  <c r="D133" i="8" l="1"/>
  <c r="D134" i="8" l="1"/>
  <c r="D135" i="8" l="1"/>
  <c r="D136" i="8" l="1"/>
  <c r="D137" i="8" l="1"/>
  <c r="D138" i="8" l="1"/>
  <c r="D139" i="8" l="1"/>
  <c r="D141" i="8" l="1"/>
  <c r="D140" i="8"/>
</calcChain>
</file>

<file path=xl/sharedStrings.xml><?xml version="1.0" encoding="utf-8"?>
<sst xmlns="http://schemas.openxmlformats.org/spreadsheetml/2006/main" count="300" uniqueCount="129">
  <si>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</si>
  <si>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</si>
  <si>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</si>
  <si>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</si>
  <si>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</si>
  <si>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</si>
  <si>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</si>
  <si>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</si>
  <si>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</si>
  <si>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</si>
  <si>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</si>
  <si>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</si>
  <si>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</si>
  <si>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</si>
  <si>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</si>
  <si>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date</t>
  </si>
  <si>
    <t xml:space="preserve"> Bread</t>
  </si>
  <si>
    <t xml:space="preserve"> Cereals</t>
  </si>
  <si>
    <t xml:space="preserve"> Biscuits and cakes</t>
  </si>
  <si>
    <t xml:space="preserve"> Beef</t>
  </si>
  <si>
    <t xml:space="preserve"> Lamb </t>
  </si>
  <si>
    <t xml:space="preserve"> of which home-killed lamb</t>
  </si>
  <si>
    <t xml:space="preserve"> Pork</t>
  </si>
  <si>
    <t xml:space="preserve"> Bacon</t>
  </si>
  <si>
    <t xml:space="preserve"> Poultry</t>
  </si>
  <si>
    <t xml:space="preserve"> Other meat</t>
  </si>
  <si>
    <t xml:space="preserve"> Fish</t>
  </si>
  <si>
    <t xml:space="preserve"> of which fresh fish</t>
  </si>
  <si>
    <t xml:space="preserve"> processed fish</t>
  </si>
  <si>
    <t xml:space="preserve"> Butter</t>
  </si>
  <si>
    <t xml:space="preserve"> Oil and fats</t>
  </si>
  <si>
    <t xml:space="preserve"> Cheese</t>
  </si>
  <si>
    <t xml:space="preserve"> Eggs </t>
  </si>
  <si>
    <t xml:space="preserve"> Milk, fresh</t>
  </si>
  <si>
    <t xml:space="preserve"> Milk products</t>
  </si>
  <si>
    <t xml:space="preserve"> Tea</t>
  </si>
  <si>
    <t xml:space="preserve"> Coffee and other hot drinks</t>
  </si>
  <si>
    <t xml:space="preserve"> Soft drinks</t>
  </si>
  <si>
    <t xml:space="preserve"> Sugar and preserves</t>
  </si>
  <si>
    <t xml:space="preserve"> Sweets and chocolates</t>
  </si>
  <si>
    <t xml:space="preserve"> Potatoes</t>
  </si>
  <si>
    <t xml:space="preserve"> of which unprocessed potatoes</t>
  </si>
  <si>
    <t xml:space="preserve"> potato products</t>
  </si>
  <si>
    <t xml:space="preserve"> Vegetables other than potatoes</t>
  </si>
  <si>
    <t xml:space="preserve"> of which fresh vegetables</t>
  </si>
  <si>
    <t xml:space="preserve"> processed vegetables</t>
  </si>
  <si>
    <t xml:space="preserve"> Fruit</t>
  </si>
  <si>
    <t xml:space="preserve"> of which fresh fruit</t>
  </si>
  <si>
    <t xml:space="preserve"> processed fruit</t>
  </si>
  <si>
    <t xml:space="preserve"> Other foods</t>
  </si>
  <si>
    <t xml:space="preserve"> Restaurant meals</t>
  </si>
  <si>
    <t xml:space="preserve"> Canteen meals</t>
  </si>
  <si>
    <t xml:space="preserve"> Take-away meals and snacks</t>
  </si>
  <si>
    <t xml:space="preserve"> Beer</t>
  </si>
  <si>
    <t xml:space="preserve"> Beer on sales</t>
  </si>
  <si>
    <t xml:space="preserve"> Beer off sales</t>
  </si>
  <si>
    <t xml:space="preserve"> Wines and spirits</t>
  </si>
  <si>
    <t xml:space="preserve"> Wine on sales</t>
  </si>
  <si>
    <t xml:space="preserve"> Wine off sales</t>
  </si>
  <si>
    <t xml:space="preserve"> Cigarettes</t>
  </si>
  <si>
    <t xml:space="preserve"> Tobacco</t>
  </si>
  <si>
    <t xml:space="preserve"> Rent</t>
  </si>
  <si>
    <t xml:space="preserve"> Mortgage interest payments</t>
  </si>
  <si>
    <t xml:space="preserve"> Depreciation (Jan 1995 = 100)</t>
  </si>
  <si>
    <t xml:space="preserve"> Council tax and Rates</t>
  </si>
  <si>
    <t xml:space="preserve"> Water and other charges</t>
  </si>
  <si>
    <t xml:space="preserve"> Repairs and maintenance charges</t>
  </si>
  <si>
    <t xml:space="preserve"> Do-it-yourself materials</t>
  </si>
  <si>
    <t xml:space="preserve"> Dwelling insurance and ground rent</t>
  </si>
  <si>
    <t xml:space="preserve"> Coal and solid fuels</t>
  </si>
  <si>
    <t xml:space="preserve"> Electricity</t>
  </si>
  <si>
    <t xml:space="preserve"> Gas</t>
  </si>
  <si>
    <t xml:space="preserve"> Oil and other fuels</t>
  </si>
  <si>
    <t xml:space="preserve"> Furniture</t>
  </si>
  <si>
    <t xml:space="preserve"> Furnishings</t>
  </si>
  <si>
    <t xml:space="preserve"> Electrical appliances</t>
  </si>
  <si>
    <t xml:space="preserve"> Other household equipment</t>
  </si>
  <si>
    <t xml:space="preserve"> Household consumables</t>
  </si>
  <si>
    <t xml:space="preserve"> Pet care</t>
  </si>
  <si>
    <t xml:space="preserve"> Postage</t>
  </si>
  <si>
    <t xml:space="preserve"> Telephones, telemessages, etc</t>
  </si>
  <si>
    <t xml:space="preserve"> Domestic services</t>
  </si>
  <si>
    <t xml:space="preserve"> Fees and subscriptions</t>
  </si>
  <si>
    <t xml:space="preserve"> Men's outerwear</t>
  </si>
  <si>
    <t xml:space="preserve"> Women's outerwear</t>
  </si>
  <si>
    <t xml:space="preserve"> Children's outerwear</t>
  </si>
  <si>
    <t xml:space="preserve"> Other clothing</t>
  </si>
  <si>
    <t xml:space="preserve"> Footwear</t>
  </si>
  <si>
    <t xml:space="preserve"> Personal articles</t>
  </si>
  <si>
    <t xml:space="preserve"> Chemists goods</t>
  </si>
  <si>
    <t xml:space="preserve"> Personal services</t>
  </si>
  <si>
    <t xml:space="preserve"> Purchase of motor vehicles</t>
  </si>
  <si>
    <t xml:space="preserve"> Maintenance of motor vehicles</t>
  </si>
  <si>
    <t xml:space="preserve"> Petrol and oil</t>
  </si>
  <si>
    <t xml:space="preserve"> Vehicle tax and insurance</t>
  </si>
  <si>
    <t xml:space="preserve"> Rail fares</t>
  </si>
  <si>
    <t xml:space="preserve"> Bus and coach fares</t>
  </si>
  <si>
    <t xml:space="preserve"> Other travel costs</t>
  </si>
  <si>
    <t xml:space="preserve"> Audio-visual equipment</t>
  </si>
  <si>
    <t xml:space="preserve"> CDs and tapes</t>
  </si>
  <si>
    <t xml:space="preserve"> Toys, photographic and sports goods</t>
  </si>
  <si>
    <t xml:space="preserve"> Books and newspapers</t>
  </si>
  <si>
    <t xml:space="preserve"> Gardening products</t>
  </si>
  <si>
    <t xml:space="preserve"> Television licences and rentals</t>
  </si>
  <si>
    <t xml:space="preserve"> Entertainment and other recreation</t>
  </si>
  <si>
    <t xml:space="preserve"> Foreign holidays (Jan 1993 = 100)</t>
  </si>
  <si>
    <t xml:space="preserve"> UK holidays (Jan 1994=100)</t>
  </si>
  <si>
    <t xml:space="preserve"> of which  home-killed lamb</t>
  </si>
  <si>
    <t xml:space="preserve"> of which  fresh fish</t>
  </si>
  <si>
    <t xml:space="preserve"> Oils and fats</t>
  </si>
  <si>
    <t xml:space="preserve"> Eggs</t>
  </si>
  <si>
    <t xml:space="preserve"> of which  unprocessed potatoes</t>
  </si>
  <si>
    <t xml:space="preserve"> of which  fresh vegetables</t>
  </si>
  <si>
    <t xml:space="preserve"> of which  fresh fruit</t>
  </si>
  <si>
    <t xml:space="preserve"> Take-aways and snacks</t>
  </si>
  <si>
    <t xml:space="preserve"> Other tobacco</t>
  </si>
  <si>
    <t xml:space="preserve"> Council tax and rates</t>
  </si>
  <si>
    <t xml:space="preserve"> Childrens' outerwear</t>
  </si>
  <si>
    <t xml:space="preserve"> UK holidays (Jan 1994 = 100)</t>
  </si>
  <si>
    <t>All items</t>
  </si>
  <si>
    <t>Hist MoM</t>
  </si>
  <si>
    <t>RPI print</t>
  </si>
  <si>
    <t>Weighted Aggregates</t>
  </si>
  <si>
    <t>Weights</t>
  </si>
  <si>
    <t>All items unchained</t>
  </si>
  <si>
    <t>All items chained</t>
  </si>
  <si>
    <t>Jan 2020 index</t>
  </si>
  <si>
    <t>YoY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</si>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</sst>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0" tint="-0.249977111117893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1"/>
    <xf numFmtId="14" fontId="1" fillId="0" borderId="0" xfId="1" applyNumberFormat="1"/>
    <xf numFmtId="14" fontId="0" fillId="0" borderId="0" xfId="0" applyNumberFormat="1"/>
    <xf numFmtId="15" fontId="0" fillId="0" borderId="0" xfId="0" applyNumberFormat="1"/>
    <xf numFmtId="15" fontId="3" fillId="0" borderId="0" xfId="0" applyNumberFormat="1" applyFont="1"/>
    <xf numFmtId="43" fontId="0" fillId="0" borderId="0" xfId="2" applyFont="1"/>
    <xf numFmtId="164" fontId="0" fillId="0" borderId="0" xfId="2" applyNumberFormat="1" applyFont="1"/>
    <xf numFmtId="10" fontId="0" fillId="0" borderId="0" xfId="3" applyNumberFormat="1" applyFont="1"/>
  </cellXfs>
  <cellStyles count="4">
    <cellStyle name="Comma" xfId="2" builtinId="3"/>
    <cellStyle name="Normal" xfId="0" builtinId="0"/>
    <cellStyle name="Normal 2" xfId="1" xr:uid="{FF17D605-9470-45B3-A848-098E745E4F6F}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2</xdr:row>
          <xdr:rowOff>0</xdr:rowOff>
        </xdr:from>
        <xdr:to>
          <xdr:col>9</xdr:col>
          <xdr:colOff>676275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Hist Weights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0</xdr:rowOff>
        </xdr:from>
        <xdr:to>
          <xdr:col>9</xdr:col>
          <xdr:colOff>676275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Forecasts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D314E-C8CB-477D-BD86-688B56D3E98F}">
  <sheetPr codeName="Sheet3"/>
  <dimension ref="A1"/>
  <sheetViews>
    <sheetView tabSelected="1" workbookViewId="0">
      <selection activeCell="G37" sqref="G37"/>
    </sheetView>
  </sheetViews>
  <sheetFormatPr defaultRowHeight="15" x14ac:dyDescent="0.25"/>
  <cols>
    <col min="1" max="16384" width="9" style="3"/>
  </cols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HistWeights">
                <anchor moveWithCells="1" sizeWithCells="1">
                  <from>
                    <xdr:col>7</xdr:col>
                    <xdr:colOff>685800</xdr:colOff>
                    <xdr:row>2</xdr:row>
                    <xdr:rowOff>0</xdr:rowOff>
                  </from>
                  <to>
                    <xdr:col>9</xdr:col>
                    <xdr:colOff>676275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HistWeights">
                <anchor moveWithCells="1" siz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676275</xdr:colOff>
                    <xdr:row>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913BD-47CF-435B-B3AA-A114DFE8EFE5}">
  <sheetPr codeName="Sheet7"/>
  <dimension ref="A2:B29"/>
  <sheetViews>
    <sheetView workbookViewId="0">
      <selection activeCell="B5" sqref="B5"/>
    </sheetView>
  </sheetViews>
  <sheetFormatPr defaultRowHeight="15.75" x14ac:dyDescent="0.25"/>
  <cols>
    <col min="1" max="1" width="10.375" bestFit="1" customWidth="1"/>
  </cols>
  <sheetData>
    <row r="2" spans="1:2" x14ac:dyDescent="0.25">
      <c r="B2" t="s">
        <v>119</v>
      </c>
    </row>
    <row r="5" spans="1:2" x14ac:dyDescent="0.25">
      <c r="A5" s="5">
        <f>'MoM Forecasts'!A3</f>
        <v>44774</v>
      </c>
    </row>
    <row r="6" spans="1:2" x14ac:dyDescent="0.25">
      <c r="A6" s="5">
        <f>'MoM Forecasts'!A4</f>
        <v>44805</v>
      </c>
    </row>
    <row r="7" spans="1:2" x14ac:dyDescent="0.25">
      <c r="A7" s="5">
        <f>'MoM Forecasts'!A5</f>
        <v>44835</v>
      </c>
    </row>
    <row r="8" spans="1:2" x14ac:dyDescent="0.25">
      <c r="A8" s="5">
        <f>'MoM Forecasts'!A6</f>
        <v>44866</v>
      </c>
    </row>
    <row r="9" spans="1:2" x14ac:dyDescent="0.25">
      <c r="A9" s="5">
        <f>'MoM Forecasts'!A7</f>
        <v>44896</v>
      </c>
    </row>
    <row r="10" spans="1:2" x14ac:dyDescent="0.25">
      <c r="A10" s="5">
        <f>'MoM Forecasts'!A8</f>
        <v>44927</v>
      </c>
    </row>
    <row r="11" spans="1:2" x14ac:dyDescent="0.25">
      <c r="A11" s="5">
        <f>'MoM Forecasts'!A9</f>
        <v>44958</v>
      </c>
    </row>
    <row r="12" spans="1:2" x14ac:dyDescent="0.25">
      <c r="A12" s="5">
        <f>'MoM Forecasts'!A10</f>
        <v>44986</v>
      </c>
    </row>
    <row r="13" spans="1:2" x14ac:dyDescent="0.25">
      <c r="A13" s="5">
        <f>'MoM Forecasts'!A11</f>
        <v>45017</v>
      </c>
    </row>
    <row r="14" spans="1:2" x14ac:dyDescent="0.25">
      <c r="A14" s="5">
        <f>'MoM Forecasts'!A12</f>
        <v>45047</v>
      </c>
    </row>
    <row r="15" spans="1:2" x14ac:dyDescent="0.25">
      <c r="A15" s="5">
        <f>'MoM Forecasts'!A13</f>
        <v>45078</v>
      </c>
    </row>
    <row r="16" spans="1:2" x14ac:dyDescent="0.25">
      <c r="A16" s="5">
        <f>'MoM Forecasts'!A14</f>
        <v>45108</v>
      </c>
    </row>
    <row r="17" spans="1:1" x14ac:dyDescent="0.25">
      <c r="A17" s="5">
        <f>'MoM Forecasts'!A15</f>
        <v>45139</v>
      </c>
    </row>
    <row r="18" spans="1:1" x14ac:dyDescent="0.25">
      <c r="A18" s="5">
        <f>'MoM Forecasts'!A16</f>
        <v>45170</v>
      </c>
    </row>
    <row r="19" spans="1:1" x14ac:dyDescent="0.25">
      <c r="A19" s="5">
        <f>'MoM Forecasts'!A17</f>
        <v>45200</v>
      </c>
    </row>
    <row r="20" spans="1:1" x14ac:dyDescent="0.25">
      <c r="A20" s="5">
        <f>'MoM Forecasts'!A18</f>
        <v>45231</v>
      </c>
    </row>
    <row r="21" spans="1:1" x14ac:dyDescent="0.25">
      <c r="A21" s="5">
        <f>'MoM Forecasts'!A19</f>
        <v>45261</v>
      </c>
    </row>
    <row r="22" spans="1:1" x14ac:dyDescent="0.25">
      <c r="A22" s="5">
        <f>'MoM Forecasts'!A20</f>
        <v>45292</v>
      </c>
    </row>
    <row r="23" spans="1:1" x14ac:dyDescent="0.25">
      <c r="A23" s="5">
        <f>'MoM Forecasts'!A21</f>
        <v>45323</v>
      </c>
    </row>
    <row r="24" spans="1:1" x14ac:dyDescent="0.25">
      <c r="A24" s="5">
        <f>'MoM Forecasts'!A22</f>
        <v>45352</v>
      </c>
    </row>
    <row r="25" spans="1:1" x14ac:dyDescent="0.25">
      <c r="A25" s="5">
        <f>'MoM Forecasts'!A23</f>
        <v>45383</v>
      </c>
    </row>
    <row r="26" spans="1:1" x14ac:dyDescent="0.25">
      <c r="A26" s="5">
        <f>'MoM Forecasts'!A24</f>
        <v>45413</v>
      </c>
    </row>
    <row r="27" spans="1:1" x14ac:dyDescent="0.25">
      <c r="A27" s="5">
        <f>'MoM Forecasts'!A25</f>
        <v>45444</v>
      </c>
    </row>
    <row r="28" spans="1:1" x14ac:dyDescent="0.25">
      <c r="A28" s="5"/>
    </row>
    <row r="29" spans="1:1" x14ac:dyDescent="0.25">
      <c r="A29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346ED-9951-4260-A2CC-C5995DE74126}">
  <sheetPr codeName="Sheet4"/>
  <dimension ref="A1:CN25"/>
  <sheetViews>
    <sheetView workbookViewId="0">
      <selection activeCell="S27" sqref="S27"/>
    </sheetView>
  </sheetViews>
  <sheetFormatPr defaultRowHeight="15" x14ac:dyDescent="0.25"/>
  <cols>
    <col min="1" max="1" width="11.75" style="3" customWidth="1"/>
    <col min="2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44743</v>
      </c>
    </row>
    <row r="3" spans="1:92" x14ac:dyDescent="0.25">
      <c r="A3" s="4">
        <v>44774</v>
      </c>
      <c r="B3" s="3">
        <v>6.5804183245510295E-4</v>
      </c>
      <c r="C3" s="3">
        <v>5.8713270490207137E-4</v>
      </c>
      <c r="D3" s="3">
        <v>6.8197130970282238E-4</v>
      </c>
      <c r="E3" s="3">
        <v>6.2719270947075856E-4</v>
      </c>
      <c r="F3" s="3">
        <v>8.243922292421324E-4</v>
      </c>
      <c r="G3" s="3">
        <v>8.2349511909463047E-4</v>
      </c>
      <c r="H3" s="3">
        <v>7.0472924768849587E-4</v>
      </c>
      <c r="I3" s="3">
        <v>6.3005814467409493E-4</v>
      </c>
      <c r="J3" s="3">
        <v>2.5402073416769255E-4</v>
      </c>
      <c r="K3" s="3">
        <v>5.5545189139638573E-4</v>
      </c>
      <c r="L3" s="3">
        <v>7.8465078573186631E-4</v>
      </c>
      <c r="M3" s="3">
        <v>7.9128287890917193E-4</v>
      </c>
      <c r="N3" s="3">
        <v>7.6611485817812408E-4</v>
      </c>
      <c r="O3" s="3">
        <v>7.7779553042045535E-4</v>
      </c>
      <c r="P3" s="3">
        <v>5.2864032052646337E-4</v>
      </c>
      <c r="Q3" s="3">
        <v>7.0863072247218106E-4</v>
      </c>
      <c r="R3" s="3">
        <v>7.813522516029181E-4</v>
      </c>
      <c r="S3" s="3">
        <v>6.3492933092557102E-4</v>
      </c>
      <c r="T3" s="3">
        <v>4.716592222946403E-4</v>
      </c>
      <c r="U3" s="3">
        <v>6.0404414757631031E-4</v>
      </c>
      <c r="V3" s="3">
        <v>6.2527198649919846E-4</v>
      </c>
      <c r="W3" s="3">
        <v>6.4676714336897589E-4</v>
      </c>
      <c r="X3" s="3">
        <v>5.1636184879622071E-4</v>
      </c>
      <c r="Y3" s="3">
        <v>9.2501775480013926E-4</v>
      </c>
      <c r="Z3" s="3">
        <v>6.8385677158944169E-4</v>
      </c>
      <c r="AA3" s="3">
        <v>0.10182166756944855</v>
      </c>
      <c r="AB3" s="3">
        <v>5.8872394948994433E-4</v>
      </c>
      <c r="AC3" s="3">
        <v>-8.2330323807310313E-3</v>
      </c>
      <c r="AD3" s="3">
        <v>-3.0817523386907908E-3</v>
      </c>
      <c r="AE3" s="3">
        <v>7.4214889132773187E-4</v>
      </c>
      <c r="AF3" s="3">
        <v>6.6656205098181154E-4</v>
      </c>
      <c r="AG3" s="3">
        <v>-1.5514319111904484E-3</v>
      </c>
      <c r="AH3" s="3">
        <v>7.9673401351620932E-4</v>
      </c>
      <c r="AI3" s="3">
        <v>5.0296337751110087E-4</v>
      </c>
      <c r="AJ3" s="3">
        <v>7.9564497178208349E-4</v>
      </c>
      <c r="AK3" s="3">
        <v>9.1406515895831042E-4</v>
      </c>
      <c r="AL3" s="3">
        <v>7.7303975475007114E-4</v>
      </c>
      <c r="AM3" s="3">
        <v>8.0320642443920676E-4</v>
      </c>
      <c r="AN3" s="3">
        <v>8.4822621413382926E-4</v>
      </c>
      <c r="AO3" s="3">
        <v>3.5345822072541111E-4</v>
      </c>
      <c r="AP3" s="3">
        <v>7.3075660933885622E-4</v>
      </c>
      <c r="AQ3" s="3">
        <v>8.3442224937546605E-4</v>
      </c>
      <c r="AR3" s="3">
        <v>5.7074329223572029E-4</v>
      </c>
      <c r="AS3" s="3">
        <v>1.0147072299320214E-3</v>
      </c>
      <c r="AT3" s="3">
        <v>8.9290167154132405E-4</v>
      </c>
      <c r="AU3" s="3">
        <v>8.4105184121963106E-4</v>
      </c>
      <c r="AV3" s="3">
        <v>3.9887203430739593E-3</v>
      </c>
      <c r="AW3" s="3">
        <v>1.091711480410984E-3</v>
      </c>
      <c r="AX3" s="3">
        <v>8.8377263005456896E-4</v>
      </c>
      <c r="AY3" s="3">
        <v>9.9271465029437955E-4</v>
      </c>
      <c r="AZ3" s="3">
        <v>1.0056614575217893E-3</v>
      </c>
      <c r="BA3" s="3">
        <v>5.9788058377607811E-4</v>
      </c>
      <c r="BB3" s="3">
        <v>6.7454783525011663E-4</v>
      </c>
      <c r="BC3" s="3">
        <v>8.292874924820115E-4</v>
      </c>
      <c r="BD3" s="3">
        <v>5.8270550633077178E-4</v>
      </c>
      <c r="BE3" s="3">
        <v>6.6484679849598827E-4</v>
      </c>
      <c r="BF3" s="3">
        <v>-1.4675614517439706E-2</v>
      </c>
      <c r="BG3" s="3">
        <v>6.4543114144632874E-4</v>
      </c>
      <c r="BH3" s="3">
        <v>6.4968697831413458E-4</v>
      </c>
      <c r="BI3" s="3">
        <v>-5.421639237185305E-4</v>
      </c>
      <c r="BJ3" s="3">
        <v>5.1331485082450889E-4</v>
      </c>
      <c r="BK3" s="3">
        <v>5.3926953361704832E-4</v>
      </c>
      <c r="BL3" s="3">
        <v>7.2809609721025126E-4</v>
      </c>
      <c r="BM3" s="3">
        <v>9.0518818484874863E-4</v>
      </c>
      <c r="BN3" s="3">
        <v>-1.8481373132095413E-5</v>
      </c>
      <c r="BO3" s="3">
        <v>9.1186330742076827E-4</v>
      </c>
      <c r="BP3" s="3">
        <v>9.455682382104591E-4</v>
      </c>
      <c r="BQ3" s="3">
        <v>3.4833338564466132E-4</v>
      </c>
      <c r="BR3" s="3">
        <v>1.5588260657728448E-4</v>
      </c>
      <c r="BS3" s="3">
        <v>3.134997923370797E-4</v>
      </c>
      <c r="BT3" s="3">
        <v>5.2807158737899762E-4</v>
      </c>
      <c r="BU3" s="3">
        <v>2.5803941690827337E-4</v>
      </c>
      <c r="BV3" s="3">
        <v>6.0661229917080561E-4</v>
      </c>
      <c r="BW3" s="3">
        <v>5.7239516520435352E-4</v>
      </c>
      <c r="BX3" s="3">
        <v>9.5063616651525074E-4</v>
      </c>
      <c r="BY3" s="3">
        <v>-3.8102315487786864E-4</v>
      </c>
      <c r="BZ3" s="3">
        <v>9.3112936829520265E-4</v>
      </c>
      <c r="CA3" s="3">
        <v>7.2451582021648697E-4</v>
      </c>
      <c r="CB3" s="3">
        <v>8.9101125112001078E-4</v>
      </c>
      <c r="CC3" s="3">
        <v>8.9600749852403183E-4</v>
      </c>
      <c r="CD3" s="3">
        <v>8.7624031852095996E-4</v>
      </c>
      <c r="CE3" s="3">
        <v>4.4119799816316307E-2</v>
      </c>
      <c r="CF3" s="3">
        <v>-1.9368380853593825E-2</v>
      </c>
      <c r="CG3" s="3">
        <v>-2.8574159498232499E-3</v>
      </c>
      <c r="CH3" s="3">
        <v>-4.0154629985711399E-4</v>
      </c>
      <c r="CI3" s="3">
        <v>8.0993307588639318E-4</v>
      </c>
      <c r="CJ3" s="3">
        <v>3.9872482755387573E-4</v>
      </c>
      <c r="CK3" s="3">
        <v>6.7752619934524638E-4</v>
      </c>
      <c r="CL3" s="3">
        <v>9.9009752916034977E-4</v>
      </c>
      <c r="CM3" s="3">
        <v>9.3652574424618606E-4</v>
      </c>
      <c r="CN3" s="3">
        <v>8.9719654749931266E-4</v>
      </c>
    </row>
    <row r="4" spans="1:92" x14ac:dyDescent="0.25">
      <c r="A4" s="4">
        <v>44805</v>
      </c>
      <c r="B4" s="3">
        <v>6.5760909815937296E-4</v>
      </c>
      <c r="C4" s="3">
        <v>5.8678818236956864E-4</v>
      </c>
      <c r="D4" s="3">
        <v>6.8150654179399694E-4</v>
      </c>
      <c r="E4" s="3">
        <v>6.2679958534039848E-4</v>
      </c>
      <c r="F4" s="3">
        <v>8.2371316650853288E-4</v>
      </c>
      <c r="G4" s="3">
        <v>8.2281753287238857E-4</v>
      </c>
      <c r="H4" s="3">
        <v>7.042329541286918E-4</v>
      </c>
      <c r="I4" s="3">
        <v>6.2966142136700043E-4</v>
      </c>
      <c r="J4" s="3">
        <v>2.539562240211346E-4</v>
      </c>
      <c r="K4" s="3">
        <v>5.5514353586949561E-4</v>
      </c>
      <c r="L4" s="3">
        <v>7.8403559158890523E-4</v>
      </c>
      <c r="M4" s="3">
        <v>7.906572453679761E-4</v>
      </c>
      <c r="N4" s="3">
        <v>7.6552837551546737E-4</v>
      </c>
      <c r="O4" s="3">
        <v>7.7719103470741402E-4</v>
      </c>
      <c r="P4" s="3">
        <v>5.2836100759412474E-4</v>
      </c>
      <c r="Q4" s="3">
        <v>7.0812892056348886E-4</v>
      </c>
      <c r="R4" s="3">
        <v>7.8074221691371015E-4</v>
      </c>
      <c r="S4" s="3">
        <v>6.3452645147021869E-4</v>
      </c>
      <c r="T4" s="3">
        <v>4.7143686474981905E-4</v>
      </c>
      <c r="U4" s="3">
        <v>6.0367949850825831E-4</v>
      </c>
      <c r="V4" s="3">
        <v>6.2488126574877789E-4</v>
      </c>
      <c r="W4" s="3">
        <v>6.4634910600425144E-4</v>
      </c>
      <c r="X4" s="3">
        <v>5.1609535684349339E-4</v>
      </c>
      <c r="Y4" s="3">
        <v>9.2416288772079191E-4</v>
      </c>
      <c r="Z4" s="3">
        <v>6.8338943109913508E-4</v>
      </c>
      <c r="AA4" s="3">
        <v>-4.085561840823515E-2</v>
      </c>
      <c r="AB4" s="3">
        <v>5.8837755753060605E-4</v>
      </c>
      <c r="AC4" s="3">
        <v>1.0034970272330135E-3</v>
      </c>
      <c r="AD4" s="3">
        <v>9.3762279664704185E-3</v>
      </c>
      <c r="AE4" s="3">
        <v>7.4159851481225836E-4</v>
      </c>
      <c r="AF4" s="3">
        <v>6.661180419735846E-4</v>
      </c>
      <c r="AG4" s="3">
        <v>6.2926401220442241E-3</v>
      </c>
      <c r="AH4" s="3">
        <v>7.9609973378014232E-4</v>
      </c>
      <c r="AI4" s="3">
        <v>5.0271053252370912E-4</v>
      </c>
      <c r="AJ4" s="3">
        <v>7.950124241442591E-4</v>
      </c>
      <c r="AK4" s="3">
        <v>9.1323040686130952E-4</v>
      </c>
      <c r="AL4" s="3">
        <v>7.7244262589215573E-4</v>
      </c>
      <c r="AM4" s="3">
        <v>8.0256180164406388E-4</v>
      </c>
      <c r="AN4" s="3">
        <v>8.4750733619443075E-4</v>
      </c>
      <c r="AO4" s="3">
        <v>3.5333333215437079E-4</v>
      </c>
      <c r="AP4" s="3">
        <v>7.3022299405978153E-4</v>
      </c>
      <c r="AQ4" s="3">
        <v>8.3372656937585887E-4</v>
      </c>
      <c r="AR4" s="3">
        <v>5.7041773014243624E-4</v>
      </c>
      <c r="AS4" s="3">
        <v>1.0136786428842637E-3</v>
      </c>
      <c r="AT4" s="3">
        <v>8.9210510939796706E-4</v>
      </c>
      <c r="AU4" s="3">
        <v>8.4034506745322979E-4</v>
      </c>
      <c r="AV4" s="3">
        <v>9.9657860965718381E-3</v>
      </c>
      <c r="AW4" s="3">
        <v>1.0905209461746779E-3</v>
      </c>
      <c r="AX4" s="3">
        <v>8.829922656576894E-4</v>
      </c>
      <c r="AY4" s="3">
        <v>9.9173014525000269E-4</v>
      </c>
      <c r="AZ4" s="3">
        <v>1.0046511186132534E-3</v>
      </c>
      <c r="BA4" s="3">
        <v>5.9752333617502096E-4</v>
      </c>
      <c r="BB4" s="3">
        <v>6.7409312719068915E-4</v>
      </c>
      <c r="BC4" s="3">
        <v>8.286003445798773E-4</v>
      </c>
      <c r="BD4" s="3">
        <v>5.8236615836326777E-4</v>
      </c>
      <c r="BE4" s="3">
        <v>6.6440507091147794E-4</v>
      </c>
      <c r="BF4" s="3">
        <v>-9.1677944594530381E-3</v>
      </c>
      <c r="BG4" s="3">
        <v>6.4501482878909222E-4</v>
      </c>
      <c r="BH4" s="3">
        <v>6.4926515919472294E-4</v>
      </c>
      <c r="BI4" s="3">
        <v>-5.4245802488972483E-4</v>
      </c>
      <c r="BJ4" s="3">
        <v>5.1305149387337323E-4</v>
      </c>
      <c r="BK4" s="3">
        <v>5.3897887872844663E-4</v>
      </c>
      <c r="BL4" s="3">
        <v>7.2756635898363342E-4</v>
      </c>
      <c r="BM4" s="3">
        <v>9.0436956020845116E-4</v>
      </c>
      <c r="BN4" s="3">
        <v>-1.8481714699758456E-5</v>
      </c>
      <c r="BO4" s="3">
        <v>9.1103257024793827E-4</v>
      </c>
      <c r="BP4" s="3">
        <v>9.4467498355066404E-4</v>
      </c>
      <c r="BQ4" s="3">
        <v>3.4821209174795698E-4</v>
      </c>
      <c r="BR4" s="3">
        <v>1.5585831097753022E-4</v>
      </c>
      <c r="BS4" s="3">
        <v>3.1340154101933138E-4</v>
      </c>
      <c r="BT4" s="3">
        <v>5.2779287495763327E-4</v>
      </c>
      <c r="BU4" s="3">
        <v>2.5797284974449219E-4</v>
      </c>
      <c r="BV4" s="3">
        <v>6.0624454377422587E-4</v>
      </c>
      <c r="BW4" s="3">
        <v>5.720677164093857E-4</v>
      </c>
      <c r="BX4" s="3">
        <v>9.4973331567671515E-4</v>
      </c>
      <c r="BY4" s="3">
        <v>-3.8116838886004256E-4</v>
      </c>
      <c r="BZ4" s="3">
        <v>9.3026317293465333E-4</v>
      </c>
      <c r="CA4" s="3">
        <v>7.2399127708266953E-4</v>
      </c>
      <c r="CB4" s="3">
        <v>8.9021805681577248E-4</v>
      </c>
      <c r="CC4" s="3">
        <v>8.9520538778398162E-4</v>
      </c>
      <c r="CD4" s="3">
        <v>8.7547319361092057E-4</v>
      </c>
      <c r="CE4" s="3">
        <v>-5.0167919915891201E-2</v>
      </c>
      <c r="CF4" s="3">
        <v>-1.9750924277205373E-2</v>
      </c>
      <c r="CG4" s="3">
        <v>7.328127067884882E-4</v>
      </c>
      <c r="CH4" s="3">
        <v>-4.0170760405910944E-4</v>
      </c>
      <c r="CI4" s="3">
        <v>8.0927761517801677E-4</v>
      </c>
      <c r="CJ4" s="3">
        <v>3.9856590943054826E-4</v>
      </c>
      <c r="CK4" s="3">
        <v>6.7706746839690801E-4</v>
      </c>
      <c r="CL4" s="3">
        <v>9.8911820566915942E-4</v>
      </c>
      <c r="CM4" s="3">
        <v>9.3564948441660079E-4</v>
      </c>
      <c r="CN4" s="3">
        <v>8.9639230741567211E-4</v>
      </c>
    </row>
    <row r="5" spans="1:92" x14ac:dyDescent="0.25">
      <c r="A5" s="4">
        <v>44835</v>
      </c>
      <c r="B5" s="3">
        <v>6.5717693262912213E-4</v>
      </c>
      <c r="C5" s="3">
        <v>5.8644406392316384E-4</v>
      </c>
      <c r="D5" s="3">
        <v>6.81042406938559E-4</v>
      </c>
      <c r="E5" s="3">
        <v>6.2640695372162547E-4</v>
      </c>
      <c r="F5" s="3">
        <v>8.2303522156013109E-4</v>
      </c>
      <c r="G5" s="3">
        <v>8.2214106079336879E-4</v>
      </c>
      <c r="H5" s="3">
        <v>7.037373590892404E-4</v>
      </c>
      <c r="I5" s="3">
        <v>6.2926519734851638E-4</v>
      </c>
      <c r="J5" s="3">
        <v>2.5389174663215108E-4</v>
      </c>
      <c r="K5" s="3">
        <v>5.5483552251578416E-4</v>
      </c>
      <c r="L5" s="3">
        <v>7.8342136135822749E-4</v>
      </c>
      <c r="M5" s="3">
        <v>7.9003260036802914E-4</v>
      </c>
      <c r="N5" s="3">
        <v>7.6494279010397292E-4</v>
      </c>
      <c r="O5" s="3">
        <v>7.7658747788178495E-4</v>
      </c>
      <c r="P5" s="3">
        <v>5.2808198966181052E-4</v>
      </c>
      <c r="Q5" s="3">
        <v>7.0762782883293518E-4</v>
      </c>
      <c r="R5" s="3">
        <v>7.8013313404112772E-4</v>
      </c>
      <c r="S5" s="3">
        <v>6.3412408296614764E-4</v>
      </c>
      <c r="T5" s="3">
        <v>4.7121471676114801E-4</v>
      </c>
      <c r="U5" s="3">
        <v>6.0331528943668999E-4</v>
      </c>
      <c r="V5" s="3">
        <v>6.2449103300177278E-4</v>
      </c>
      <c r="W5" s="3">
        <v>6.4593160868620103E-4</v>
      </c>
      <c r="X5" s="3">
        <v>5.1582913981973455E-4</v>
      </c>
      <c r="Y5" s="3">
        <v>9.2330959925535083E-4</v>
      </c>
      <c r="Z5" s="3">
        <v>6.8292272892400696E-4</v>
      </c>
      <c r="AA5" s="3">
        <v>-2.5127792476855149E-2</v>
      </c>
      <c r="AB5" s="3">
        <v>5.880315729498431E-4</v>
      </c>
      <c r="AC5" s="3">
        <v>5.6477737488020985E-3</v>
      </c>
      <c r="AD5" s="3">
        <v>-1.5533251091586209E-3</v>
      </c>
      <c r="AE5" s="3">
        <v>7.4104895400872728E-4</v>
      </c>
      <c r="AF5" s="3">
        <v>6.6567462409650169E-4</v>
      </c>
      <c r="AG5" s="3">
        <v>1.1210501545801055E-2</v>
      </c>
      <c r="AH5" s="3">
        <v>7.9546646314065939E-4</v>
      </c>
      <c r="AI5" s="3">
        <v>5.0245794162417923E-4</v>
      </c>
      <c r="AJ5" s="3">
        <v>7.9438088147387731E-4</v>
      </c>
      <c r="AK5" s="3">
        <v>9.123971780151674E-4</v>
      </c>
      <c r="AL5" s="3">
        <v>7.7184641881755667E-4</v>
      </c>
      <c r="AM5" s="3">
        <v>8.0191821271857755E-4</v>
      </c>
      <c r="AN5" s="3">
        <v>8.4678967573226238E-4</v>
      </c>
      <c r="AO5" s="3">
        <v>3.5320853180698109E-4</v>
      </c>
      <c r="AP5" s="3">
        <v>7.2969015752821775E-4</v>
      </c>
      <c r="AQ5" s="3">
        <v>8.3303204842422041E-4</v>
      </c>
      <c r="AR5" s="3">
        <v>5.7009253925022207E-4</v>
      </c>
      <c r="AS5" s="3">
        <v>1.0126521390381171E-3</v>
      </c>
      <c r="AT5" s="3">
        <v>8.9130996722230904E-4</v>
      </c>
      <c r="AU5" s="3">
        <v>8.3963948055743032E-4</v>
      </c>
      <c r="AV5" s="3">
        <v>4.0888849283873263E-3</v>
      </c>
      <c r="AW5" s="3">
        <v>1.0893330057144546E-3</v>
      </c>
      <c r="AX5" s="3">
        <v>8.822132781565184E-4</v>
      </c>
      <c r="AY5" s="3">
        <v>9.9074759099782028E-4</v>
      </c>
      <c r="AZ5" s="3">
        <v>1.0036428077440096E-3</v>
      </c>
      <c r="BA5" s="3">
        <v>5.9716651524643893E-4</v>
      </c>
      <c r="BB5" s="3">
        <v>6.7363903174899598E-4</v>
      </c>
      <c r="BC5" s="3">
        <v>8.2791433447715335E-4</v>
      </c>
      <c r="BD5" s="3">
        <v>5.8202720541578046E-4</v>
      </c>
      <c r="BE5" s="3">
        <v>6.6396392990974995E-4</v>
      </c>
      <c r="BF5" s="3">
        <v>-1.4458703655203742E-2</v>
      </c>
      <c r="BG5" s="3">
        <v>6.4459905284142138E-4</v>
      </c>
      <c r="BH5" s="3">
        <v>6.4884388746477839E-4</v>
      </c>
      <c r="BI5" s="3">
        <v>-5.4275244530921363E-4</v>
      </c>
      <c r="BJ5" s="3">
        <v>5.127884070152966E-4</v>
      </c>
      <c r="BK5" s="3">
        <v>5.3868853698491037E-4</v>
      </c>
      <c r="BL5" s="3">
        <v>7.2703739103618936E-4</v>
      </c>
      <c r="BM5" s="3">
        <v>9.0355241490813754E-4</v>
      </c>
      <c r="BN5" s="3">
        <v>-1.8482056279855996E-5</v>
      </c>
      <c r="BO5" s="3">
        <v>9.1020334535474312E-4</v>
      </c>
      <c r="BP5" s="3">
        <v>9.4378341496881291E-4</v>
      </c>
      <c r="BQ5" s="3">
        <v>3.4809088229370566E-4</v>
      </c>
      <c r="BR5" s="3">
        <v>1.5583402294971904E-4</v>
      </c>
      <c r="BS5" s="3">
        <v>3.133033512661143E-4</v>
      </c>
      <c r="BT5" s="3">
        <v>5.2751445658594243E-4</v>
      </c>
      <c r="BU5" s="3">
        <v>2.5790631691702259E-4</v>
      </c>
      <c r="BV5" s="3">
        <v>6.0587723400695737E-4</v>
      </c>
      <c r="BW5" s="3">
        <v>5.7174064204579267E-4</v>
      </c>
      <c r="BX5" s="3">
        <v>9.4883217814611953E-4</v>
      </c>
      <c r="BY5" s="3">
        <v>-3.8131373360150711E-4</v>
      </c>
      <c r="BZ5" s="3">
        <v>9.2939858765572758E-4</v>
      </c>
      <c r="CA5" s="3">
        <v>7.2346749292839796E-4</v>
      </c>
      <c r="CB5" s="3">
        <v>8.8942627348687076E-4</v>
      </c>
      <c r="CC5" s="3">
        <v>8.9440471186685855E-4</v>
      </c>
      <c r="CD5" s="3">
        <v>8.747074107202657E-4</v>
      </c>
      <c r="CE5" s="3">
        <v>5.7307643813810927E-3</v>
      </c>
      <c r="CF5" s="3">
        <v>-2.0148883346451263E-2</v>
      </c>
      <c r="CG5" s="3">
        <v>1.4059225233384876E-3</v>
      </c>
      <c r="CH5" s="3">
        <v>-4.0186903790750961E-4</v>
      </c>
      <c r="CI5" s="3">
        <v>8.0862321451147245E-4</v>
      </c>
      <c r="CJ5" s="3">
        <v>3.9840711793504013E-4</v>
      </c>
      <c r="CK5" s="3">
        <v>6.7660935821134416E-4</v>
      </c>
      <c r="CL5" s="3">
        <v>9.8814081759646122E-4</v>
      </c>
      <c r="CM5" s="3">
        <v>9.3477486279813782E-4</v>
      </c>
      <c r="CN5" s="3">
        <v>8.9558950787016478E-4</v>
      </c>
    </row>
    <row r="6" spans="1:92" x14ac:dyDescent="0.25">
      <c r="A6" s="4">
        <v>44866</v>
      </c>
      <c r="B6" s="3">
        <v>6.5674533474480157E-4</v>
      </c>
      <c r="C6" s="3">
        <v>5.861003488527583E-4</v>
      </c>
      <c r="D6" s="3">
        <v>6.805789038435428E-4</v>
      </c>
      <c r="E6" s="3">
        <v>6.2601481368895762E-4</v>
      </c>
      <c r="F6" s="3">
        <v>8.22358391638911E-4</v>
      </c>
      <c r="G6" s="3">
        <v>8.2146570011110143E-4</v>
      </c>
      <c r="H6" s="3">
        <v>7.0324246109687572E-4</v>
      </c>
      <c r="I6" s="3">
        <v>6.2886947167628549E-4</v>
      </c>
      <c r="J6" s="3">
        <v>2.5382730197476278E-4</v>
      </c>
      <c r="K6" s="3">
        <v>5.5452785076592903E-4</v>
      </c>
      <c r="L6" s="3">
        <v>7.828080927765324E-4</v>
      </c>
      <c r="M6" s="3">
        <v>7.8940894156942498E-4</v>
      </c>
      <c r="N6" s="3">
        <v>7.6435809988617542E-4</v>
      </c>
      <c r="O6" s="3">
        <v>7.7598485775842718E-4</v>
      </c>
      <c r="P6" s="3">
        <v>5.27803266263005E-4</v>
      </c>
      <c r="Q6" s="3">
        <v>7.0712744577394737E-4</v>
      </c>
      <c r="R6" s="3">
        <v>7.7952500075939568E-4</v>
      </c>
      <c r="S6" s="3">
        <v>6.3372222444169068E-4</v>
      </c>
      <c r="T6" s="3">
        <v>4.7099277803241968E-4</v>
      </c>
      <c r="U6" s="3">
        <v>6.0295151956646365E-4</v>
      </c>
      <c r="V6" s="3">
        <v>6.2410128734402548E-4</v>
      </c>
      <c r="W6" s="3">
        <v>6.4551465036988276E-4</v>
      </c>
      <c r="X6" s="3">
        <v>5.1556319729906264E-4</v>
      </c>
      <c r="Y6" s="3">
        <v>9.2245788503508841E-4</v>
      </c>
      <c r="Z6" s="3">
        <v>6.8245666375688074E-4</v>
      </c>
      <c r="AA6" s="3">
        <v>1.327907080596713E-3</v>
      </c>
      <c r="AB6" s="3">
        <v>5.8768599503000729E-4</v>
      </c>
      <c r="AC6" s="3">
        <v>6.037124640623448E-3</v>
      </c>
      <c r="AD6" s="3">
        <v>1.0665474750506831E-2</v>
      </c>
      <c r="AE6" s="3">
        <v>7.4050020710458853E-4</v>
      </c>
      <c r="AF6" s="3">
        <v>6.6523179617061778E-4</v>
      </c>
      <c r="AG6" s="3">
        <v>1.083593889326484E-2</v>
      </c>
      <c r="AH6" s="3">
        <v>7.9483419919146314E-4</v>
      </c>
      <c r="AI6" s="3">
        <v>5.0220560442992834E-4</v>
      </c>
      <c r="AJ6" s="3">
        <v>7.9375034137818545E-4</v>
      </c>
      <c r="AK6" s="3">
        <v>9.1156546825432727E-4</v>
      </c>
      <c r="AL6" s="3">
        <v>7.7125113139375756E-4</v>
      </c>
      <c r="AM6" s="3">
        <v>8.0127565517718047E-4</v>
      </c>
      <c r="AN6" s="3">
        <v>8.4607322965646325E-4</v>
      </c>
      <c r="AO6" s="3">
        <v>3.5308381958931712E-4</v>
      </c>
      <c r="AP6" s="3">
        <v>7.2915809804086074E-4</v>
      </c>
      <c r="AQ6" s="3">
        <v>8.3233868362553309E-4</v>
      </c>
      <c r="AR6" s="3">
        <v>5.6976771892469635E-4</v>
      </c>
      <c r="AS6" s="3">
        <v>1.0116277120717498E-3</v>
      </c>
      <c r="AT6" s="3">
        <v>8.9051624122027384E-4</v>
      </c>
      <c r="AU6" s="3">
        <v>8.3893507754462249E-4</v>
      </c>
      <c r="AV6" s="3">
        <v>-2.6677364377351021E-3</v>
      </c>
      <c r="AW6" s="3">
        <v>1.0881476505635312E-3</v>
      </c>
      <c r="AX6" s="3">
        <v>8.8143566390996853E-4</v>
      </c>
      <c r="AY6" s="3">
        <v>9.8976698174491062E-4</v>
      </c>
      <c r="AZ6" s="3">
        <v>1.0026365188129382E-3</v>
      </c>
      <c r="BA6" s="3">
        <v>5.9681012022672064E-4</v>
      </c>
      <c r="BB6" s="3">
        <v>6.7318554768847072E-4</v>
      </c>
      <c r="BC6" s="3">
        <v>8.2722945934987635E-4</v>
      </c>
      <c r="BD6" s="3">
        <v>5.8168864679841725E-4</v>
      </c>
      <c r="BE6" s="3">
        <v>6.635233743224056E-4</v>
      </c>
      <c r="BF6" s="3">
        <v>-1.3722675113819527E-2</v>
      </c>
      <c r="BG6" s="3">
        <v>6.4418381256592383E-4</v>
      </c>
      <c r="BH6" s="3">
        <v>6.4842316205981909E-4</v>
      </c>
      <c r="BI6" s="3">
        <v>-5.4304718549702535E-4</v>
      </c>
      <c r="BJ6" s="3">
        <v>5.1252558983438945E-4</v>
      </c>
      <c r="BK6" s="3">
        <v>5.3839850788039989E-4</v>
      </c>
      <c r="BL6" s="3">
        <v>7.2650919168881778E-4</v>
      </c>
      <c r="BM6" s="3">
        <v>9.0273674494212308E-4</v>
      </c>
      <c r="BN6" s="3">
        <v>-1.8482397872499057E-5</v>
      </c>
      <c r="BO6" s="3">
        <v>9.0937562861559407E-4</v>
      </c>
      <c r="BP6" s="3">
        <v>9.428935276949435E-4</v>
      </c>
      <c r="BQ6" s="3">
        <v>3.4796975719375567E-4</v>
      </c>
      <c r="BR6" s="3">
        <v>1.5580974249096435E-4</v>
      </c>
      <c r="BS6" s="3">
        <v>3.1320522302014098E-4</v>
      </c>
      <c r="BT6" s="3">
        <v>5.2723633179896368E-4</v>
      </c>
      <c r="BU6" s="3">
        <v>2.5783981839921921E-4</v>
      </c>
      <c r="BV6" s="3">
        <v>6.0551036905942546E-4</v>
      </c>
      <c r="BW6" s="3">
        <v>5.7141394147208757E-4</v>
      </c>
      <c r="BX6" s="3">
        <v>9.4793274905136116E-4</v>
      </c>
      <c r="BY6" s="3">
        <v>-3.8145918922916078E-4</v>
      </c>
      <c r="BZ6" s="3">
        <v>9.2853560797290235E-4</v>
      </c>
      <c r="CA6" s="3">
        <v>7.229444661080997E-4</v>
      </c>
      <c r="CB6" s="3">
        <v>8.8863589737209203E-4</v>
      </c>
      <c r="CC6" s="3">
        <v>8.9360546692662801E-4</v>
      </c>
      <c r="CD6" s="3">
        <v>8.739429663313647E-4</v>
      </c>
      <c r="CE6" s="3">
        <v>5.7424844605404868E-3</v>
      </c>
      <c r="CF6" s="3">
        <v>-2.056320904676312E-2</v>
      </c>
      <c r="CG6" s="3">
        <v>5.0775228619481805E-3</v>
      </c>
      <c r="CH6" s="3">
        <v>-4.0203060155852288E-4</v>
      </c>
      <c r="CI6" s="3">
        <v>8.0796987131703801E-4</v>
      </c>
      <c r="CJ6" s="3">
        <v>3.9824845291658306E-4</v>
      </c>
      <c r="CK6" s="3">
        <v>6.7615186753022805E-4</v>
      </c>
      <c r="CL6" s="3">
        <v>9.8716535921150594E-4</v>
      </c>
      <c r="CM6" s="3">
        <v>9.3390187480113518E-4</v>
      </c>
      <c r="CN6" s="3">
        <v>8.9478814499566184E-4</v>
      </c>
    </row>
    <row r="7" spans="1:92" x14ac:dyDescent="0.25">
      <c r="A7" s="4">
        <v>44896</v>
      </c>
      <c r="B7" s="3">
        <v>6.5631430338775054E-4</v>
      </c>
      <c r="C7" s="3">
        <v>5.8575703644936361E-4</v>
      </c>
      <c r="D7" s="3">
        <v>6.8011603122064557E-4</v>
      </c>
      <c r="E7" s="3">
        <v>6.2562316432046572E-4</v>
      </c>
      <c r="F7" s="3">
        <v>8.2168267399684858E-4</v>
      </c>
      <c r="G7" s="3">
        <v>8.2079144808955284E-4</v>
      </c>
      <c r="H7" s="3">
        <v>7.0274825868188451E-4</v>
      </c>
      <c r="I7" s="3">
        <v>6.2847424341083702E-4</v>
      </c>
      <c r="J7" s="3">
        <v>2.5376289002543295E-4</v>
      </c>
      <c r="K7" s="3">
        <v>5.5422052005216216E-4</v>
      </c>
      <c r="L7" s="3">
        <v>7.8219578358695863E-4</v>
      </c>
      <c r="M7" s="3">
        <v>7.8878626663758666E-4</v>
      </c>
      <c r="N7" s="3">
        <v>7.6377430281149294E-4</v>
      </c>
      <c r="O7" s="3">
        <v>7.7538317215775088E-4</v>
      </c>
      <c r="P7" s="3">
        <v>5.2752483693097041E-4</v>
      </c>
      <c r="Q7" s="3">
        <v>7.0662776988372755E-4</v>
      </c>
      <c r="R7" s="3">
        <v>7.7891781484917821E-4</v>
      </c>
      <c r="S7" s="3">
        <v>6.3332087492806721E-4</v>
      </c>
      <c r="T7" s="3">
        <v>4.7077104826875882E-4</v>
      </c>
      <c r="U7" s="3">
        <v>6.0258818810243753E-4</v>
      </c>
      <c r="V7" s="3">
        <v>6.2371202786448698E-4</v>
      </c>
      <c r="W7" s="3">
        <v>6.4509823001124289E-4</v>
      </c>
      <c r="X7" s="3">
        <v>5.152975288575945E-4</v>
      </c>
      <c r="Y7" s="3">
        <v>9.2160774070770834E-4</v>
      </c>
      <c r="Z7" s="3">
        <v>6.819912342943546E-4</v>
      </c>
      <c r="AA7" s="3">
        <v>1.5905978842373214E-2</v>
      </c>
      <c r="AB7" s="3">
        <v>5.8734082305389457E-4</v>
      </c>
      <c r="AC7" s="3">
        <v>-6.2913297402688029E-3</v>
      </c>
      <c r="AD7" s="3">
        <v>1.622913900101608E-3</v>
      </c>
      <c r="AE7" s="3">
        <v>7.3995227229373128E-4</v>
      </c>
      <c r="AF7" s="3">
        <v>6.6478955701954057E-4</v>
      </c>
      <c r="AG7" s="3">
        <v>1.2033864574348074E-2</v>
      </c>
      <c r="AH7" s="3">
        <v>7.9420293953402776E-4</v>
      </c>
      <c r="AI7" s="3">
        <v>5.019535205588177E-4</v>
      </c>
      <c r="AJ7" s="3">
        <v>7.9312080147109221E-4</v>
      </c>
      <c r="AK7" s="3">
        <v>9.1073527342833138E-4</v>
      </c>
      <c r="AL7" s="3">
        <v>7.7065676149445927E-4</v>
      </c>
      <c r="AM7" s="3">
        <v>8.0063412654296506E-4</v>
      </c>
      <c r="AN7" s="3">
        <v>8.453579948872747E-4</v>
      </c>
      <c r="AO7" s="3">
        <v>3.5295919540856424E-4</v>
      </c>
      <c r="AP7" s="3">
        <v>7.286268138988472E-4</v>
      </c>
      <c r="AQ7" s="3">
        <v>8.3164647209565956E-4</v>
      </c>
      <c r="AR7" s="3">
        <v>5.6944326853258787E-4</v>
      </c>
      <c r="AS7" s="3">
        <v>1.0106053556879768E-3</v>
      </c>
      <c r="AT7" s="3">
        <v>8.8972392761266228E-4</v>
      </c>
      <c r="AU7" s="3">
        <v>8.3823185543807632E-4</v>
      </c>
      <c r="AV7" s="3">
        <v>-1.0282152756807328E-2</v>
      </c>
      <c r="AW7" s="3">
        <v>1.0869648722915404E-3</v>
      </c>
      <c r="AX7" s="3">
        <v>8.8065941929005298E-4</v>
      </c>
      <c r="AY7" s="3">
        <v>9.8878831172188875E-4</v>
      </c>
      <c r="AZ7" s="3">
        <v>1.001632245745121E-3</v>
      </c>
      <c r="BA7" s="3">
        <v>5.9645415035358695E-4</v>
      </c>
      <c r="BB7" s="3">
        <v>6.7273267377521151E-4</v>
      </c>
      <c r="BC7" s="3">
        <v>8.2654571638363095E-4</v>
      </c>
      <c r="BD7" s="3">
        <v>5.8135048182306193E-4</v>
      </c>
      <c r="BE7" s="3">
        <v>6.6308340298570911E-4</v>
      </c>
      <c r="BF7" s="3">
        <v>1.3023440200566894E-2</v>
      </c>
      <c r="BG7" s="3">
        <v>6.4376910692831579E-4</v>
      </c>
      <c r="BH7" s="3">
        <v>6.4800298191691752E-4</v>
      </c>
      <c r="BI7" s="3">
        <v>-5.4334224597452074E-4</v>
      </c>
      <c r="BJ7" s="3">
        <v>5.1226304191676064E-4</v>
      </c>
      <c r="BK7" s="3">
        <v>5.381087909102078E-4</v>
      </c>
      <c r="BL7" s="3">
        <v>7.2598175926796849E-4</v>
      </c>
      <c r="BM7" s="3">
        <v>9.0192254631848989E-4</v>
      </c>
      <c r="BN7" s="3">
        <v>-1.848273947779866E-5</v>
      </c>
      <c r="BO7" s="3">
        <v>9.0854941591933525E-4</v>
      </c>
      <c r="BP7" s="3">
        <v>9.4200531697885559E-4</v>
      </c>
      <c r="BQ7" s="3">
        <v>3.4784871636039938E-4</v>
      </c>
      <c r="BR7" s="3">
        <v>1.5578546959704731E-4</v>
      </c>
      <c r="BS7" s="3">
        <v>3.1310715622345775E-4</v>
      </c>
      <c r="BT7" s="3">
        <v>5.2695850013240175E-4</v>
      </c>
      <c r="BU7" s="3">
        <v>2.5777335416421465E-4</v>
      </c>
      <c r="BV7" s="3">
        <v>6.0514394812405392E-4</v>
      </c>
      <c r="BW7" s="3">
        <v>5.7108761404767172E-4</v>
      </c>
      <c r="BX7" s="3">
        <v>9.4703502353787883E-4</v>
      </c>
      <c r="BY7" s="3">
        <v>-3.8160475587001308E-4</v>
      </c>
      <c r="BZ7" s="3">
        <v>9.2767422941841815E-4</v>
      </c>
      <c r="CA7" s="3">
        <v>7.2242219497997695E-4</v>
      </c>
      <c r="CB7" s="3">
        <v>8.8784692472354543E-4</v>
      </c>
      <c r="CC7" s="3">
        <v>8.9280764913057808E-4</v>
      </c>
      <c r="CD7" s="3">
        <v>8.73179856936801E-4</v>
      </c>
      <c r="CE7" s="3">
        <v>4.4117220596933571E-2</v>
      </c>
      <c r="CF7" s="3">
        <v>-2.0994932227071161E-2</v>
      </c>
      <c r="CG7" s="3">
        <v>1.1070212374043598E-2</v>
      </c>
      <c r="CH7" s="3">
        <v>-4.0219229516902377E-4</v>
      </c>
      <c r="CI7" s="3">
        <v>8.0731758303320689E-4</v>
      </c>
      <c r="CJ7" s="3">
        <v>3.9808991422440876E-4</v>
      </c>
      <c r="CK7" s="3">
        <v>6.7569499509767539E-4</v>
      </c>
      <c r="CL7" s="3">
        <v>9.8619182480441658E-4</v>
      </c>
      <c r="CM7" s="3">
        <v>9.3303051585325036E-4</v>
      </c>
      <c r="CN7" s="3">
        <v>8.939882149392453E-4</v>
      </c>
    </row>
    <row r="8" spans="1:92" x14ac:dyDescent="0.25">
      <c r="A8" s="4">
        <v>44927</v>
      </c>
      <c r="B8" s="3">
        <v>6.5588383744374923E-4</v>
      </c>
      <c r="C8" s="3">
        <v>5.854141260057677E-4</v>
      </c>
      <c r="D8" s="3">
        <v>6.7965378778378494E-4</v>
      </c>
      <c r="E8" s="3">
        <v>6.252320046953308E-4</v>
      </c>
      <c r="F8" s="3">
        <v>8.2100806589369135E-4</v>
      </c>
      <c r="G8" s="3">
        <v>8.2011830200090508E-4</v>
      </c>
      <c r="H8" s="3">
        <v>7.0225475037899443E-4</v>
      </c>
      <c r="I8" s="3">
        <v>6.280795116149207E-4</v>
      </c>
      <c r="J8" s="3">
        <v>2.536985107577383E-4</v>
      </c>
      <c r="K8" s="3">
        <v>5.5391352980738162E-4</v>
      </c>
      <c r="L8" s="3">
        <v>7.815844315401943E-4</v>
      </c>
      <c r="M8" s="3">
        <v>7.8816457324615286E-4</v>
      </c>
      <c r="N8" s="3">
        <v>7.6319139683422854E-4</v>
      </c>
      <c r="O8" s="3">
        <v>7.747824189081598E-4</v>
      </c>
      <c r="P8" s="3">
        <v>5.2724670120096739E-4</v>
      </c>
      <c r="Q8" s="3">
        <v>7.0612879966480691E-4</v>
      </c>
      <c r="R8" s="3">
        <v>7.7831157409846696E-4</v>
      </c>
      <c r="S8" s="3">
        <v>6.3292003345871706E-4</v>
      </c>
      <c r="T8" s="3">
        <v>4.7054952717462406E-4</v>
      </c>
      <c r="U8" s="3">
        <v>6.0222529425368876E-4</v>
      </c>
      <c r="V8" s="3">
        <v>6.2332325365410668E-4</v>
      </c>
      <c r="W8" s="3">
        <v>6.4468234657044654E-4</v>
      </c>
      <c r="X8" s="3">
        <v>5.1503213407144699E-4</v>
      </c>
      <c r="Y8" s="3">
        <v>9.2075916193690155E-4</v>
      </c>
      <c r="Z8" s="3">
        <v>6.815264392370235E-4</v>
      </c>
      <c r="AA8" s="3">
        <v>3.4505037132481764E-3</v>
      </c>
      <c r="AB8" s="3">
        <v>5.8699605630696539E-4</v>
      </c>
      <c r="AC8" s="3">
        <v>6.9305059803381752E-3</v>
      </c>
      <c r="AD8" s="3">
        <v>7.2191963277634663E-3</v>
      </c>
      <c r="AE8" s="3">
        <v>7.3940514777448563E-4</v>
      </c>
      <c r="AF8" s="3">
        <v>6.643479054697643E-4</v>
      </c>
      <c r="AG8" s="3">
        <v>1.0149477969191745E-2</v>
      </c>
      <c r="AH8" s="3">
        <v>7.9357268177737694E-4</v>
      </c>
      <c r="AI8" s="3">
        <v>5.0170168962937467E-4</v>
      </c>
      <c r="AJ8" s="3">
        <v>7.9249225937538803E-4</v>
      </c>
      <c r="AK8" s="3">
        <v>9.0990658940182101E-4</v>
      </c>
      <c r="AL8" s="3">
        <v>7.7006330700024606E-4</v>
      </c>
      <c r="AM8" s="3">
        <v>7.9999362434635124E-4</v>
      </c>
      <c r="AN8" s="3">
        <v>8.4464396835604028E-4</v>
      </c>
      <c r="AO8" s="3">
        <v>3.5283465917124168E-4</v>
      </c>
      <c r="AP8" s="3">
        <v>7.2809630340908704E-4</v>
      </c>
      <c r="AQ8" s="3">
        <v>8.3095541095978831E-4</v>
      </c>
      <c r="AR8" s="3">
        <v>5.6911918744217971E-4</v>
      </c>
      <c r="AS8" s="3">
        <v>1.0095850636155923E-3</v>
      </c>
      <c r="AT8" s="3">
        <v>8.8893302263226559E-4</v>
      </c>
      <c r="AU8" s="3">
        <v>8.3752981127038773E-4</v>
      </c>
      <c r="AV8" s="3">
        <v>-8.0211985418557896E-3</v>
      </c>
      <c r="AW8" s="3">
        <v>1.0857846625045298E-3</v>
      </c>
      <c r="AX8" s="3">
        <v>8.7988454068121946E-4</v>
      </c>
      <c r="AY8" s="3">
        <v>9.8781157518246232E-4</v>
      </c>
      <c r="AZ8" s="3">
        <v>1.0006299824885101E-3</v>
      </c>
      <c r="BA8" s="3">
        <v>5.9609860486675714E-4</v>
      </c>
      <c r="BB8" s="3">
        <v>6.7228040877820305E-4</v>
      </c>
      <c r="BC8" s="3">
        <v>8.2586310277377173E-4</v>
      </c>
      <c r="BD8" s="3">
        <v>5.8101270980448483E-4</v>
      </c>
      <c r="BE8" s="3">
        <v>6.6264401473725698E-4</v>
      </c>
      <c r="BF8" s="3">
        <v>3.0651417548732018E-2</v>
      </c>
      <c r="BG8" s="3">
        <v>6.433549348963119E-4</v>
      </c>
      <c r="BH8" s="3">
        <v>6.4758334597803113E-4</v>
      </c>
      <c r="BI8" s="3">
        <v>-5.4363762726383769E-4</v>
      </c>
      <c r="BJ8" s="3">
        <v>5.1200076284851903E-4</v>
      </c>
      <c r="BK8" s="3">
        <v>5.3781938557095899E-4</v>
      </c>
      <c r="BL8" s="3">
        <v>7.2545509210364401E-4</v>
      </c>
      <c r="BM8" s="3">
        <v>9.0110981505953092E-4</v>
      </c>
      <c r="BN8" s="3">
        <v>-1.8483081095865828E-5</v>
      </c>
      <c r="BO8" s="3">
        <v>9.0772470317035392E-4</v>
      </c>
      <c r="BP8" s="3">
        <v>9.4111877808567002E-4</v>
      </c>
      <c r="BQ8" s="3">
        <v>3.4772775970570713E-4</v>
      </c>
      <c r="BR8" s="3">
        <v>1.5576120426463724E-4</v>
      </c>
      <c r="BS8" s="3">
        <v>3.1300915081833303E-4</v>
      </c>
      <c r="BT8" s="3">
        <v>5.2668096112284957E-4</v>
      </c>
      <c r="BU8" s="3">
        <v>2.577069241860297E-4</v>
      </c>
      <c r="BV8" s="3">
        <v>6.0477797039526493E-4</v>
      </c>
      <c r="BW8" s="3">
        <v>5.7076165913350074E-4</v>
      </c>
      <c r="BX8" s="3">
        <v>9.4613899677087332E-4</v>
      </c>
      <c r="BY8" s="3">
        <v>-3.8175043365107353E-4</v>
      </c>
      <c r="BZ8" s="3">
        <v>9.2681444753983655E-4</v>
      </c>
      <c r="CA8" s="3">
        <v>7.2190067790800505E-4</v>
      </c>
      <c r="CB8" s="3">
        <v>8.8705935180577455E-4</v>
      </c>
      <c r="CC8" s="3">
        <v>8.9201125465931952E-4</v>
      </c>
      <c r="CD8" s="3">
        <v>8.7241807904359092E-4</v>
      </c>
      <c r="CE8" s="3">
        <v>-5.0170262539274701E-2</v>
      </c>
      <c r="CF8" s="3">
        <v>-2.1445172163236048E-2</v>
      </c>
      <c r="CG8" s="3">
        <v>-3.0412807828837374E-2</v>
      </c>
      <c r="CH8" s="3">
        <v>-4.023541188954427E-4</v>
      </c>
      <c r="CI8" s="3">
        <v>8.0666634710757634E-4</v>
      </c>
      <c r="CJ8" s="3">
        <v>3.9793150170686076E-4</v>
      </c>
      <c r="CK8" s="3">
        <v>6.7523873966068848E-4</v>
      </c>
      <c r="CL8" s="3">
        <v>9.8522020868907489E-4</v>
      </c>
      <c r="CM8" s="3">
        <v>9.3216078139835012E-4</v>
      </c>
      <c r="CN8" s="3">
        <v>8.9318971386131985E-4</v>
      </c>
    </row>
    <row r="9" spans="1:92" x14ac:dyDescent="0.25">
      <c r="A9" s="4">
        <v>44958</v>
      </c>
      <c r="B9" s="3">
        <v>6.5545393580124234E-4</v>
      </c>
      <c r="C9" s="3">
        <v>5.8507161681653486E-4</v>
      </c>
      <c r="D9" s="3">
        <v>6.7919217225154149E-4</v>
      </c>
      <c r="E9" s="3">
        <v>6.2484133389539842E-4</v>
      </c>
      <c r="F9" s="3">
        <v>8.2033456459962295E-4</v>
      </c>
      <c r="G9" s="3">
        <v>8.1944625912622193E-4</v>
      </c>
      <c r="H9" s="3">
        <v>7.0176193472670789E-4</v>
      </c>
      <c r="I9" s="3">
        <v>6.2768527535372876E-4</v>
      </c>
      <c r="J9" s="3">
        <v>2.5363416414836415E-4</v>
      </c>
      <c r="K9" s="3">
        <v>5.5360687946692799E-4</v>
      </c>
      <c r="L9" s="3">
        <v>7.8097403439336688E-4</v>
      </c>
      <c r="M9" s="3">
        <v>7.8754385907675584E-4</v>
      </c>
      <c r="N9" s="3">
        <v>7.6260937991667888E-4</v>
      </c>
      <c r="O9" s="3">
        <v>7.7418259584383087E-4</v>
      </c>
      <c r="P9" s="3">
        <v>5.2696885860847864E-4</v>
      </c>
      <c r="Q9" s="3">
        <v>7.0563053362304728E-4</v>
      </c>
      <c r="R9" s="3">
        <v>7.77706276302359E-4</v>
      </c>
      <c r="S9" s="3">
        <v>6.3251969906952255E-4</v>
      </c>
      <c r="T9" s="3">
        <v>4.7032821445558426E-4</v>
      </c>
      <c r="U9" s="3">
        <v>6.0186283722929446E-4</v>
      </c>
      <c r="V9" s="3">
        <v>6.2293496380561031E-4</v>
      </c>
      <c r="W9" s="3">
        <v>6.4426699900987927E-4</v>
      </c>
      <c r="X9" s="3">
        <v>5.1476701251851331E-4</v>
      </c>
      <c r="Y9" s="3">
        <v>9.1991214440168001E-4</v>
      </c>
      <c r="Z9" s="3">
        <v>6.8106227728814694E-4</v>
      </c>
      <c r="AA9" s="3">
        <v>1.8356188935015894E-3</v>
      </c>
      <c r="AB9" s="3">
        <v>5.8665169407601248E-4</v>
      </c>
      <c r="AC9" s="3">
        <v>3.9585626953317909E-3</v>
      </c>
      <c r="AD9" s="3">
        <v>7.2141751101642004E-3</v>
      </c>
      <c r="AE9" s="3">
        <v>7.3885883175095479E-4</v>
      </c>
      <c r="AF9" s="3">
        <v>6.6390684035111391E-4</v>
      </c>
      <c r="AG9" s="3">
        <v>-1.2112123864702173E-2</v>
      </c>
      <c r="AH9" s="3">
        <v>7.9294342353830594E-4</v>
      </c>
      <c r="AI9" s="3">
        <v>5.0145011126123684E-4</v>
      </c>
      <c r="AJ9" s="3">
        <v>7.9186471272008063E-4</v>
      </c>
      <c r="AK9" s="3">
        <v>9.0907941205453646E-4</v>
      </c>
      <c r="AL9" s="3">
        <v>7.6947076579769735E-4</v>
      </c>
      <c r="AM9" s="3">
        <v>7.9935414612575251E-4</v>
      </c>
      <c r="AN9" s="3">
        <v>8.4393114700276328E-4</v>
      </c>
      <c r="AO9" s="3">
        <v>3.5271021078409071E-4</v>
      </c>
      <c r="AP9" s="3">
        <v>7.2756656488270899E-4</v>
      </c>
      <c r="AQ9" s="3">
        <v>8.3026549735221167E-4</v>
      </c>
      <c r="AR9" s="3">
        <v>5.6879547502353134E-4</v>
      </c>
      <c r="AS9" s="3">
        <v>1.0085668296089256E-3</v>
      </c>
      <c r="AT9" s="3">
        <v>8.881435225263079E-4</v>
      </c>
      <c r="AU9" s="3">
        <v>8.3682894208458869E-4</v>
      </c>
      <c r="AV9" s="3">
        <v>1.8726250248787935E-2</v>
      </c>
      <c r="AW9" s="3">
        <v>1.0846070128451846E-3</v>
      </c>
      <c r="AX9" s="3">
        <v>8.7911102448123835E-4</v>
      </c>
      <c r="AY9" s="3">
        <v>9.8683676640143325E-4</v>
      </c>
      <c r="AZ9" s="3">
        <v>9.9962972301614883E-4</v>
      </c>
      <c r="BA9" s="3">
        <v>5.9574348300750479E-4</v>
      </c>
      <c r="BB9" s="3">
        <v>6.7182875147042687E-4</v>
      </c>
      <c r="BC9" s="3">
        <v>8.2518161572431303E-4</v>
      </c>
      <c r="BD9" s="3">
        <v>5.8067533005745631E-4</v>
      </c>
      <c r="BE9" s="3">
        <v>6.6220520841953068E-4</v>
      </c>
      <c r="BF9" s="3">
        <v>-1.2408817409618189E-3</v>
      </c>
      <c r="BG9" s="3">
        <v>6.4294129544095746E-4</v>
      </c>
      <c r="BH9" s="3">
        <v>6.4716425318556148E-4</v>
      </c>
      <c r="BI9" s="3">
        <v>-5.439333298887794E-4</v>
      </c>
      <c r="BJ9" s="3">
        <v>5.117387522168837E-4</v>
      </c>
      <c r="BK9" s="3">
        <v>5.3753029135994446E-4</v>
      </c>
      <c r="BL9" s="3">
        <v>7.2492918853250821E-4</v>
      </c>
      <c r="BM9" s="3">
        <v>9.0029854720219404E-4</v>
      </c>
      <c r="BN9" s="3">
        <v>-1.8483422726478516E-5</v>
      </c>
      <c r="BO9" s="3">
        <v>9.0690148628791434E-4</v>
      </c>
      <c r="BP9" s="3">
        <v>9.4023390630071368E-4</v>
      </c>
      <c r="BQ9" s="3">
        <v>3.4760688714152721E-4</v>
      </c>
      <c r="BR9" s="3">
        <v>1.5573694649040348E-4</v>
      </c>
      <c r="BS9" s="3">
        <v>3.1291120674725725E-4</v>
      </c>
      <c r="BT9" s="3">
        <v>5.2640371430889843E-4</v>
      </c>
      <c r="BU9" s="3">
        <v>2.5764052843801899E-4</v>
      </c>
      <c r="BV9" s="3">
        <v>6.0441243506947906E-4</v>
      </c>
      <c r="BW9" s="3">
        <v>5.7043607609230662E-4</v>
      </c>
      <c r="BX9" s="3">
        <v>9.4524466393264284E-4</v>
      </c>
      <c r="BY9" s="3">
        <v>-3.8189622269968471E-4</v>
      </c>
      <c r="BZ9" s="3">
        <v>9.2595625790226066E-4</v>
      </c>
      <c r="CA9" s="3">
        <v>7.2137991325926798E-4</v>
      </c>
      <c r="CB9" s="3">
        <v>8.8627317489797797E-4</v>
      </c>
      <c r="CC9" s="3">
        <v>8.9121627970745187E-4</v>
      </c>
      <c r="CD9" s="3">
        <v>8.7165762916896483E-4</v>
      </c>
      <c r="CE9" s="3">
        <v>5.7282877829181178E-3</v>
      </c>
      <c r="CF9" s="3">
        <v>-2.1915146247496242E-2</v>
      </c>
      <c r="CG9" s="3">
        <v>1.8962344045339474E-2</v>
      </c>
      <c r="CH9" s="3">
        <v>-4.0251607289532032E-4</v>
      </c>
      <c r="CI9" s="3">
        <v>8.0601616099529316E-4</v>
      </c>
      <c r="CJ9" s="3">
        <v>3.9777321521405895E-4</v>
      </c>
      <c r="CK9" s="3">
        <v>6.7478309997071051E-4</v>
      </c>
      <c r="CL9" s="3">
        <v>9.8425050520067892E-4</v>
      </c>
      <c r="CM9" s="3">
        <v>9.3129266689850887E-4</v>
      </c>
      <c r="CN9" s="3">
        <v>8.9239263793672308E-4</v>
      </c>
    </row>
    <row r="10" spans="1:92" x14ac:dyDescent="0.25">
      <c r="A10" s="4">
        <v>44986</v>
      </c>
      <c r="B10" s="3">
        <v>6.5502459735089502E-4</v>
      </c>
      <c r="C10" s="3">
        <v>5.8472950817778369E-4</v>
      </c>
      <c r="D10" s="3">
        <v>6.7873118334449423E-4</v>
      </c>
      <c r="E10" s="3">
        <v>6.2445115100540072E-4</v>
      </c>
      <c r="F10" s="3">
        <v>8.1966216739237652E-4</v>
      </c>
      <c r="G10" s="3">
        <v>8.187753167558931E-4</v>
      </c>
      <c r="H10" s="3">
        <v>7.0126981026774615E-4</v>
      </c>
      <c r="I10" s="3">
        <v>6.2729153369489588E-4</v>
      </c>
      <c r="J10" s="3">
        <v>2.5356985017110922E-4</v>
      </c>
      <c r="K10" s="3">
        <v>5.5330056846569775E-4</v>
      </c>
      <c r="L10" s="3">
        <v>7.8036458991137536E-4</v>
      </c>
      <c r="M10" s="3">
        <v>7.8692412181702309E-4</v>
      </c>
      <c r="N10" s="3">
        <v>7.6202825002535945E-4</v>
      </c>
      <c r="O10" s="3">
        <v>7.7358370080626848E-4</v>
      </c>
      <c r="P10" s="3">
        <v>5.2669130869076319E-4</v>
      </c>
      <c r="Q10" s="3">
        <v>7.0513297026875144E-4</v>
      </c>
      <c r="R10" s="3">
        <v>7.7710191926261274E-4</v>
      </c>
      <c r="S10" s="3">
        <v>6.3211987079925258E-4</v>
      </c>
      <c r="T10" s="3">
        <v>4.7010710981809645E-4</v>
      </c>
      <c r="U10" s="3">
        <v>6.0150081624166241E-4</v>
      </c>
      <c r="V10" s="3">
        <v>6.225471574146102E-4</v>
      </c>
      <c r="W10" s="3">
        <v>6.4385218629392504E-4</v>
      </c>
      <c r="X10" s="3">
        <v>5.1450216377690872E-4</v>
      </c>
      <c r="Y10" s="3">
        <v>9.1906668379770906E-4</v>
      </c>
      <c r="Z10" s="3">
        <v>6.8059874715542534E-4</v>
      </c>
      <c r="AA10" s="3">
        <v>-4.7256443421093142E-3</v>
      </c>
      <c r="AB10" s="3">
        <v>5.8630773564982697E-4</v>
      </c>
      <c r="AC10" s="3">
        <v>1.4748123606311836E-4</v>
      </c>
      <c r="AD10" s="3">
        <v>-4.5645631118578223E-3</v>
      </c>
      <c r="AE10" s="3">
        <v>7.3831332243190495E-4</v>
      </c>
      <c r="AF10" s="3">
        <v>6.6346636049585683E-4</v>
      </c>
      <c r="AG10" s="3">
        <v>-9.1972045686928849E-3</v>
      </c>
      <c r="AH10" s="3">
        <v>7.9231516244071543E-4</v>
      </c>
      <c r="AI10" s="3">
        <v>5.0119878507492999E-4</v>
      </c>
      <c r="AJ10" s="3">
        <v>7.9123815914239337E-4</v>
      </c>
      <c r="AK10" s="3">
        <v>9.0825373728109504E-4</v>
      </c>
      <c r="AL10" s="3">
        <v>7.68879135780276E-4</v>
      </c>
      <c r="AM10" s="3">
        <v>7.9871568942779803E-4</v>
      </c>
      <c r="AN10" s="3">
        <v>8.4321952777965947E-4</v>
      </c>
      <c r="AO10" s="3">
        <v>3.5258585015451871E-4</v>
      </c>
      <c r="AP10" s="3">
        <v>7.2703759663617085E-4</v>
      </c>
      <c r="AQ10" s="3">
        <v>8.2957672841721397E-4</v>
      </c>
      <c r="AR10" s="3">
        <v>5.6847213064803448E-4</v>
      </c>
      <c r="AS10" s="3">
        <v>1.007550647446509E-3</v>
      </c>
      <c r="AT10" s="3">
        <v>8.873554235546699E-4</v>
      </c>
      <c r="AU10" s="3">
        <v>8.3612924493281504E-4</v>
      </c>
      <c r="AV10" s="3">
        <v>1.2637018711820325E-2</v>
      </c>
      <c r="AW10" s="3">
        <v>1.0834319149923832E-3</v>
      </c>
      <c r="AX10" s="3">
        <v>8.7833886710009246E-4</v>
      </c>
      <c r="AY10" s="3">
        <v>9.8586387967869449E-4</v>
      </c>
      <c r="AZ10" s="3">
        <v>9.9863146132528335E-4</v>
      </c>
      <c r="BA10" s="3">
        <v>5.9538878401976802E-4</v>
      </c>
      <c r="BB10" s="3">
        <v>6.7137770062797308E-4</v>
      </c>
      <c r="BC10" s="3">
        <v>8.2450125244859507E-4</v>
      </c>
      <c r="BD10" s="3">
        <v>5.8033834189896716E-4</v>
      </c>
      <c r="BE10" s="3">
        <v>6.6176698287634395E-4</v>
      </c>
      <c r="BF10" s="3">
        <v>2.6628083626019095E-2</v>
      </c>
      <c r="BG10" s="3">
        <v>6.4252818753574026E-4</v>
      </c>
      <c r="BH10" s="3">
        <v>6.4674570248568486E-4</v>
      </c>
      <c r="BI10" s="3">
        <v>-5.4422935437370423E-4</v>
      </c>
      <c r="BJ10" s="3">
        <v>5.1147700961018394E-4</v>
      </c>
      <c r="BK10" s="3">
        <v>5.372415077757875E-4</v>
      </c>
      <c r="BL10" s="3">
        <v>7.2440404689455562E-4</v>
      </c>
      <c r="BM10" s="3">
        <v>8.9948873879763802E-4</v>
      </c>
      <c r="BN10" s="3">
        <v>-1.8483764369636724E-5</v>
      </c>
      <c r="BO10" s="3">
        <v>9.0607976120571365E-4</v>
      </c>
      <c r="BP10" s="3">
        <v>9.393506969257448E-4</v>
      </c>
      <c r="BQ10" s="3">
        <v>3.4748609858037405E-4</v>
      </c>
      <c r="BR10" s="3">
        <v>1.5571269627057127E-4</v>
      </c>
      <c r="BS10" s="3">
        <v>3.1281332395249883E-4</v>
      </c>
      <c r="BT10" s="3">
        <v>5.2612675922847352E-4</v>
      </c>
      <c r="BU10" s="3">
        <v>2.5757416689353718E-4</v>
      </c>
      <c r="BV10" s="3">
        <v>6.0404734134511529E-4</v>
      </c>
      <c r="BW10" s="3">
        <v>5.7011086428770952E-4</v>
      </c>
      <c r="BX10" s="3">
        <v>9.4435202022480347E-4</v>
      </c>
      <c r="BY10" s="3">
        <v>-3.8204212314341124E-4</v>
      </c>
      <c r="BZ10" s="3">
        <v>9.2509965608655875E-4</v>
      </c>
      <c r="CA10" s="3">
        <v>7.2085989940751105E-4</v>
      </c>
      <c r="CB10" s="3">
        <v>8.8548839029090054E-4</v>
      </c>
      <c r="CC10" s="3">
        <v>8.9042272048311943E-4</v>
      </c>
      <c r="CD10" s="3">
        <v>8.7089850384391987E-4</v>
      </c>
      <c r="CE10" s="3">
        <v>5.7400117150514518E-3</v>
      </c>
      <c r="CF10" s="3">
        <v>-2.2406180980532375E-2</v>
      </c>
      <c r="CG10" s="3">
        <v>4.1833322533380013E-5</v>
      </c>
      <c r="CH10" s="3">
        <v>-4.0267815732586421E-4</v>
      </c>
      <c r="CI10" s="3">
        <v>8.0536702215971978E-4</v>
      </c>
      <c r="CJ10" s="3">
        <v>3.9761505459523505E-4</v>
      </c>
      <c r="CK10" s="3">
        <v>6.7432807478207124E-4</v>
      </c>
      <c r="CL10" s="3">
        <v>9.8328270869818546E-4</v>
      </c>
      <c r="CM10" s="3">
        <v>9.3042616783112209E-4</v>
      </c>
      <c r="CN10" s="3">
        <v>8.9159698335250503E-4</v>
      </c>
    </row>
    <row r="11" spans="1:92" x14ac:dyDescent="0.25">
      <c r="A11" s="4">
        <v>45017</v>
      </c>
      <c r="B11" s="3">
        <v>6.545958209867031E-4</v>
      </c>
      <c r="C11" s="3">
        <v>5.843877993871871E-4</v>
      </c>
      <c r="D11" s="3">
        <v>6.7827081978832915E-4</v>
      </c>
      <c r="E11" s="3">
        <v>6.2406145511118005E-4</v>
      </c>
      <c r="F11" s="3">
        <v>8.1899087155945516E-4</v>
      </c>
      <c r="G11" s="3">
        <v>8.1810547218874596E-4</v>
      </c>
      <c r="H11" s="3">
        <v>7.007783755494934E-4</v>
      </c>
      <c r="I11" s="3">
        <v>6.2689828570761108E-4</v>
      </c>
      <c r="J11" s="3">
        <v>2.5350556880199271E-4</v>
      </c>
      <c r="K11" s="3">
        <v>5.5299459624125191E-4</v>
      </c>
      <c r="L11" s="3">
        <v>7.7975609586533601E-4</v>
      </c>
      <c r="M11" s="3">
        <v>7.8630535916279776E-4</v>
      </c>
      <c r="N11" s="3">
        <v>7.614480051343353E-4</v>
      </c>
      <c r="O11" s="3">
        <v>7.7298573164319428E-4</v>
      </c>
      <c r="P11" s="3">
        <v>5.2641405098530214E-4</v>
      </c>
      <c r="Q11" s="3">
        <v>7.0463610811710709E-4</v>
      </c>
      <c r="R11" s="3">
        <v>7.7649850078720384E-4</v>
      </c>
      <c r="S11" s="3">
        <v>6.3172054768800834E-4</v>
      </c>
      <c r="T11" s="3">
        <v>4.6988621296861766E-4</v>
      </c>
      <c r="U11" s="3">
        <v>6.0113923050364448E-4</v>
      </c>
      <c r="V11" s="3">
        <v>6.2215983357849503E-4</v>
      </c>
      <c r="W11" s="3">
        <v>6.4343790739074258E-4</v>
      </c>
      <c r="X11" s="3">
        <v>5.1423758742519254E-4</v>
      </c>
      <c r="Y11" s="3">
        <v>9.1822277583619716E-4</v>
      </c>
      <c r="Z11" s="3">
        <v>6.8013584754988976E-4</v>
      </c>
      <c r="AA11" s="3">
        <v>1.0215829687894473E-2</v>
      </c>
      <c r="AB11" s="3">
        <v>5.8596418031808817E-4</v>
      </c>
      <c r="AC11" s="3">
        <v>-4.997982326892858E-3</v>
      </c>
      <c r="AD11" s="3">
        <v>-8.5690602039856234E-3</v>
      </c>
      <c r="AE11" s="3">
        <v>7.3776861803231952E-4</v>
      </c>
      <c r="AF11" s="3">
        <v>6.6302646474047933E-4</v>
      </c>
      <c r="AG11" s="3">
        <v>-2.760610270912478E-2</v>
      </c>
      <c r="AH11" s="3">
        <v>7.9168789611672175E-4</v>
      </c>
      <c r="AI11" s="3">
        <v>5.0094771069075783E-4</v>
      </c>
      <c r="AJ11" s="3">
        <v>7.9061259628687708E-4</v>
      </c>
      <c r="AK11" s="3">
        <v>9.0742956099099104E-4</v>
      </c>
      <c r="AL11" s="3">
        <v>7.6828841484788413E-4</v>
      </c>
      <c r="AM11" s="3">
        <v>7.9807825180666647E-4</v>
      </c>
      <c r="AN11" s="3">
        <v>8.4250910764782638E-4</v>
      </c>
      <c r="AO11" s="3">
        <v>3.5246157718971105E-4</v>
      </c>
      <c r="AP11" s="3">
        <v>7.2650939699014927E-4</v>
      </c>
      <c r="AQ11" s="3">
        <v>8.2888910130818338E-4</v>
      </c>
      <c r="AR11" s="3">
        <v>5.6814915368819108E-4</v>
      </c>
      <c r="AS11" s="3">
        <v>1.00653651093352E-3</v>
      </c>
      <c r="AT11" s="3">
        <v>8.8656872199099901E-4</v>
      </c>
      <c r="AU11" s="3">
        <v>8.3543071687830484E-4</v>
      </c>
      <c r="AV11" s="3">
        <v>6.9646408487673561E-3</v>
      </c>
      <c r="AW11" s="3">
        <v>1.0822593606605313E-3</v>
      </c>
      <c r="AX11" s="3">
        <v>8.7756806495997708E-4</v>
      </c>
      <c r="AY11" s="3">
        <v>9.848929093336789E-4</v>
      </c>
      <c r="AZ11" s="3">
        <v>9.9763519143603041E-4</v>
      </c>
      <c r="BA11" s="3">
        <v>5.9503450714792905E-4</v>
      </c>
      <c r="BB11" s="3">
        <v>6.7092725503026251E-4</v>
      </c>
      <c r="BC11" s="3">
        <v>8.2382201016950596E-4</v>
      </c>
      <c r="BD11" s="3">
        <v>5.8000174464845067E-4</v>
      </c>
      <c r="BE11" s="3">
        <v>6.6132933695661755E-4</v>
      </c>
      <c r="BF11" s="3">
        <v>1.3700493272496006E-2</v>
      </c>
      <c r="BG11" s="3">
        <v>6.4211561015659058E-4</v>
      </c>
      <c r="BH11" s="3">
        <v>6.463276928281303E-4</v>
      </c>
      <c r="BI11" s="3">
        <v>-5.4452570124452482E-4</v>
      </c>
      <c r="BJ11" s="3">
        <v>5.112155346174152E-4</v>
      </c>
      <c r="BK11" s="3">
        <v>5.3695303431799957E-4</v>
      </c>
      <c r="BL11" s="3">
        <v>7.2387966553555394E-4</v>
      </c>
      <c r="BM11" s="3">
        <v>8.9868038591056632E-4</v>
      </c>
      <c r="BN11" s="3">
        <v>-1.8484106025451474E-5</v>
      </c>
      <c r="BO11" s="3">
        <v>9.0525952387254804E-4</v>
      </c>
      <c r="BP11" s="3">
        <v>9.3846914527984104E-4</v>
      </c>
      <c r="BQ11" s="3">
        <v>3.4736539393498411E-4</v>
      </c>
      <c r="BR11" s="3">
        <v>1.556884536015879E-4</v>
      </c>
      <c r="BS11" s="3">
        <v>3.1271550237677026E-4</v>
      </c>
      <c r="BT11" s="3">
        <v>5.258500954219425E-4</v>
      </c>
      <c r="BU11" s="3">
        <v>2.5750783952616096E-4</v>
      </c>
      <c r="BV11" s="3">
        <v>6.036826884221469E-4</v>
      </c>
      <c r="BW11" s="3">
        <v>5.6978602308577209E-4</v>
      </c>
      <c r="BX11" s="3">
        <v>9.4346106086584669E-4</v>
      </c>
      <c r="BY11" s="3">
        <v>-3.8218813510992877E-4</v>
      </c>
      <c r="BZ11" s="3">
        <v>9.2424463768980836E-4</v>
      </c>
      <c r="CA11" s="3">
        <v>7.2034063473003229E-4</v>
      </c>
      <c r="CB11" s="3">
        <v>8.8470499428972005E-4</v>
      </c>
      <c r="CC11" s="3">
        <v>8.896305732080112E-4</v>
      </c>
      <c r="CD11" s="3">
        <v>8.7014069961033336E-4</v>
      </c>
      <c r="CE11" s="3">
        <v>4.4114657522768441E-2</v>
      </c>
      <c r="CF11" s="3">
        <v>-2.2919724475146452E-2</v>
      </c>
      <c r="CG11" s="3">
        <v>5.8811063571952982E-3</v>
      </c>
      <c r="CH11" s="3">
        <v>-4.0284037234461501E-4</v>
      </c>
      <c r="CI11" s="3">
        <v>8.0471892807310041E-4</v>
      </c>
      <c r="CJ11" s="3">
        <v>3.97457019700731E-4</v>
      </c>
      <c r="CK11" s="3">
        <v>6.7387366285220907E-4</v>
      </c>
      <c r="CL11" s="3">
        <v>9.823168135607574E-4</v>
      </c>
      <c r="CM11" s="3">
        <v>9.2956127969179292E-4</v>
      </c>
      <c r="CN11" s="3">
        <v>8.9080274631103684E-4</v>
      </c>
    </row>
    <row r="12" spans="1:92" x14ac:dyDescent="0.25">
      <c r="A12" s="4">
        <v>45047</v>
      </c>
      <c r="B12" s="3">
        <v>6.5416760560599307E-4</v>
      </c>
      <c r="C12" s="3">
        <v>5.8404648974441642E-4</v>
      </c>
      <c r="D12" s="3">
        <v>6.7781108031139681E-4</v>
      </c>
      <c r="E12" s="3">
        <v>6.2367224530257559E-4</v>
      </c>
      <c r="F12" s="3">
        <v>8.1832067439724376E-4</v>
      </c>
      <c r="G12" s="3">
        <v>8.1743672273271173E-4</v>
      </c>
      <c r="H12" s="3">
        <v>7.0028762912222042E-4</v>
      </c>
      <c r="I12" s="3">
        <v>6.265055304646161E-4</v>
      </c>
      <c r="J12" s="3">
        <v>2.5344132001614561E-4</v>
      </c>
      <c r="K12" s="3">
        <v>5.5268896223159558E-4</v>
      </c>
      <c r="L12" s="3">
        <v>7.7914855003391459E-4</v>
      </c>
      <c r="M12" s="3">
        <v>7.856875688165843E-4</v>
      </c>
      <c r="N12" s="3">
        <v>7.6086864322411074E-4</v>
      </c>
      <c r="O12" s="3">
        <v>7.7238868620943535E-4</v>
      </c>
      <c r="P12" s="3">
        <v>5.2613708503090884E-4</v>
      </c>
      <c r="Q12" s="3">
        <v>7.0413994568618854E-4</v>
      </c>
      <c r="R12" s="3">
        <v>7.7589601869187952E-4</v>
      </c>
      <c r="S12" s="3">
        <v>6.3132172877988779E-4</v>
      </c>
      <c r="T12" s="3">
        <v>4.6966552361427105E-4</v>
      </c>
      <c r="U12" s="3">
        <v>6.0077807923142323E-4</v>
      </c>
      <c r="V12" s="3">
        <v>6.2177299139798414E-4</v>
      </c>
      <c r="W12" s="3">
        <v>6.4302416126982287E-4</v>
      </c>
      <c r="X12" s="3">
        <v>5.1397328304436662E-4</v>
      </c>
      <c r="Y12" s="3">
        <v>9.1738041624389588E-4</v>
      </c>
      <c r="Z12" s="3">
        <v>6.796735771852358E-4</v>
      </c>
      <c r="AA12" s="3">
        <v>2.6861098861768573E-2</v>
      </c>
      <c r="AB12" s="3">
        <v>5.8562102737269583E-4</v>
      </c>
      <c r="AC12" s="3">
        <v>1.8912261787868978E-3</v>
      </c>
      <c r="AD12" s="3">
        <v>9.1139514049132231E-4</v>
      </c>
      <c r="AE12" s="3">
        <v>7.3722471677206691E-4</v>
      </c>
      <c r="AF12" s="3">
        <v>6.6258715192346607E-4</v>
      </c>
      <c r="AG12" s="3">
        <v>-1.1494352378860206E-3</v>
      </c>
      <c r="AH12" s="3">
        <v>7.9106162220532461E-4</v>
      </c>
      <c r="AI12" s="3">
        <v>5.006968877310225E-4</v>
      </c>
      <c r="AJ12" s="3">
        <v>7.8998802180607619E-4</v>
      </c>
      <c r="AK12" s="3">
        <v>9.0660687910859572E-4</v>
      </c>
      <c r="AL12" s="3">
        <v>7.676986009066411E-4</v>
      </c>
      <c r="AM12" s="3">
        <v>7.9744183082453013E-4</v>
      </c>
      <c r="AN12" s="3">
        <v>8.4179988357901969E-4</v>
      </c>
      <c r="AO12" s="3">
        <v>3.5233739179707513E-4</v>
      </c>
      <c r="AP12" s="3">
        <v>7.2598196427109407E-4</v>
      </c>
      <c r="AQ12" s="3">
        <v>8.2820261318827804E-4</v>
      </c>
      <c r="AR12" s="3">
        <v>5.6782654351805739E-4</v>
      </c>
      <c r="AS12" s="3">
        <v>1.0055244138980068E-3</v>
      </c>
      <c r="AT12" s="3">
        <v>8.8578341412137718E-4</v>
      </c>
      <c r="AU12" s="3">
        <v>8.3473335499317791E-4</v>
      </c>
      <c r="AV12" s="3">
        <v>-4.4003290609959667E-3</v>
      </c>
      <c r="AW12" s="3">
        <v>1.0810893416008938E-3</v>
      </c>
      <c r="AX12" s="3">
        <v>8.7679861449663221E-4</v>
      </c>
      <c r="AY12" s="3">
        <v>9.8392384971113245E-4</v>
      </c>
      <c r="AZ12" s="3">
        <v>9.9664090739381983E-4</v>
      </c>
      <c r="BA12" s="3">
        <v>5.946806516394787E-4</v>
      </c>
      <c r="BB12" s="3">
        <v>6.7047741345982459E-4</v>
      </c>
      <c r="BC12" s="3">
        <v>8.2314388611837153E-4</v>
      </c>
      <c r="BD12" s="3">
        <v>5.7966553762534012E-4</v>
      </c>
      <c r="BE12" s="3">
        <v>6.6089226951016045E-4</v>
      </c>
      <c r="BF12" s="3">
        <v>-8.946051993562798E-3</v>
      </c>
      <c r="BG12" s="3">
        <v>6.4170356228210323E-4</v>
      </c>
      <c r="BH12" s="3">
        <v>6.4591022316373703E-4</v>
      </c>
      <c r="BI12" s="3">
        <v>-5.4482237102815301E-4</v>
      </c>
      <c r="BJ12" s="3">
        <v>5.10954326828017E-4</v>
      </c>
      <c r="BK12" s="3">
        <v>5.3666487048742439E-4</v>
      </c>
      <c r="BL12" s="3">
        <v>7.2335604280526766E-4</v>
      </c>
      <c r="BM12" s="3">
        <v>8.9787348462078143E-4</v>
      </c>
      <c r="BN12" s="3">
        <v>-1.848444769403379E-5</v>
      </c>
      <c r="BO12" s="3">
        <v>9.0444077025142455E-4</v>
      </c>
      <c r="BP12" s="3">
        <v>9.3758924670117594E-4</v>
      </c>
      <c r="BQ12" s="3">
        <v>3.4724477311742774E-4</v>
      </c>
      <c r="BR12" s="3">
        <v>1.5566421848012268E-4</v>
      </c>
      <c r="BS12" s="3">
        <v>3.1261774196256198E-4</v>
      </c>
      <c r="BT12" s="3">
        <v>5.2557372242989508E-4</v>
      </c>
      <c r="BU12" s="3">
        <v>2.5744154630991112E-4</v>
      </c>
      <c r="BV12" s="3">
        <v>6.0331847550276763E-4</v>
      </c>
      <c r="BW12" s="3">
        <v>5.6946155185277902E-4</v>
      </c>
      <c r="BX12" s="3">
        <v>9.4257178109358186E-4</v>
      </c>
      <c r="BY12" s="3">
        <v>-3.8233425872724602E-4</v>
      </c>
      <c r="BZ12" s="3">
        <v>9.2339119832662853E-4</v>
      </c>
      <c r="CA12" s="3">
        <v>7.1982211760901471E-4</v>
      </c>
      <c r="CB12" s="3">
        <v>8.8392298321182672E-4</v>
      </c>
      <c r="CC12" s="3">
        <v>8.8883983411669476E-4</v>
      </c>
      <c r="CD12" s="3">
        <v>8.6938421302318325E-4</v>
      </c>
      <c r="CE12" s="3">
        <v>-5.0172590509933279E-2</v>
      </c>
      <c r="CF12" s="3">
        <v>-2.345736071975757E-2</v>
      </c>
      <c r="CG12" s="3">
        <v>-7.4470370101076266E-4</v>
      </c>
      <c r="CH12" s="3">
        <v>-4.030027181097795E-4</v>
      </c>
      <c r="CI12" s="3">
        <v>8.0407187621478471E-4</v>
      </c>
      <c r="CJ12" s="3">
        <v>3.9729911038044463E-4</v>
      </c>
      <c r="CK12" s="3">
        <v>6.7341986294255918E-4</v>
      </c>
      <c r="CL12" s="3">
        <v>9.8135281419153841E-4</v>
      </c>
      <c r="CM12" s="3">
        <v>9.2869799799255581E-4</v>
      </c>
      <c r="CN12" s="3">
        <v>8.9000992302734616E-4</v>
      </c>
    </row>
    <row r="13" spans="1:92" x14ac:dyDescent="0.25">
      <c r="A13" s="4">
        <v>45078</v>
      </c>
      <c r="B13" s="3">
        <v>6.5373995010808983E-4</v>
      </c>
      <c r="C13" s="3">
        <v>5.8370557855025318E-4</v>
      </c>
      <c r="D13" s="3">
        <v>6.7735196364515637E-4</v>
      </c>
      <c r="E13" s="3">
        <v>6.2328352066964854E-4</v>
      </c>
      <c r="F13" s="3">
        <v>8.1765157321012083E-4</v>
      </c>
      <c r="G13" s="3">
        <v>8.1676906570438135E-4</v>
      </c>
      <c r="H13" s="3">
        <v>6.9979756954130501E-4</v>
      </c>
      <c r="I13" s="3">
        <v>6.2611326703998493E-4</v>
      </c>
      <c r="J13" s="3">
        <v>2.5337710378847689E-4</v>
      </c>
      <c r="K13" s="3">
        <v>5.5238366587651022E-4</v>
      </c>
      <c r="L13" s="3">
        <v>7.7854195020221617E-4</v>
      </c>
      <c r="M13" s="3">
        <v>7.8507074848910285E-4</v>
      </c>
      <c r="N13" s="3">
        <v>7.6029016227963098E-4</v>
      </c>
      <c r="O13" s="3">
        <v>7.7179256236625804E-4</v>
      </c>
      <c r="P13" s="3">
        <v>5.2586041036750686E-4</v>
      </c>
      <c r="Q13" s="3">
        <v>7.0364448149939918E-4</v>
      </c>
      <c r="R13" s="3">
        <v>7.752944707988263E-4</v>
      </c>
      <c r="S13" s="3">
        <v>6.309234131198771E-4</v>
      </c>
      <c r="T13" s="3">
        <v>4.6944504146306798E-4</v>
      </c>
      <c r="U13" s="3">
        <v>6.0041736164229143E-4</v>
      </c>
      <c r="V13" s="3">
        <v>6.2138662997424099E-4</v>
      </c>
      <c r="W13" s="3">
        <v>6.4261094690487575E-4</v>
      </c>
      <c r="X13" s="3">
        <v>5.1370925021432257E-4</v>
      </c>
      <c r="Y13" s="3">
        <v>9.1653960076354402E-4</v>
      </c>
      <c r="Z13" s="3">
        <v>6.7921193478004405E-4</v>
      </c>
      <c r="AA13" s="3">
        <v>-1.2645393613523903E-2</v>
      </c>
      <c r="AB13" s="3">
        <v>5.8527827610754812E-4</v>
      </c>
      <c r="AC13" s="3">
        <v>-8.2365523551490849E-3</v>
      </c>
      <c r="AD13" s="3">
        <v>-1.3088835918292019E-2</v>
      </c>
      <c r="AE13" s="3">
        <v>7.3668161687545641E-4</v>
      </c>
      <c r="AF13" s="3">
        <v>6.6214842088707648E-4</v>
      </c>
      <c r="AG13" s="3">
        <v>1.2640318404975925E-2</v>
      </c>
      <c r="AH13" s="3">
        <v>7.904363383532953E-4</v>
      </c>
      <c r="AI13" s="3">
        <v>5.0044631581824817E-4</v>
      </c>
      <c r="AJ13" s="3">
        <v>7.8936443335897444E-4</v>
      </c>
      <c r="AK13" s="3">
        <v>9.0578568757337941E-4</v>
      </c>
      <c r="AL13" s="3">
        <v>7.6710969186954969E-4</v>
      </c>
      <c r="AM13" s="3">
        <v>7.9680642405088875E-4</v>
      </c>
      <c r="AN13" s="3">
        <v>8.4109185255543117E-4</v>
      </c>
      <c r="AO13" s="3">
        <v>3.5221329388357425E-4</v>
      </c>
      <c r="AP13" s="3">
        <v>7.2545529680967391E-4</v>
      </c>
      <c r="AQ13" s="3">
        <v>8.2751726123042602E-4</v>
      </c>
      <c r="AR13" s="3">
        <v>5.6750429951302195E-4</v>
      </c>
      <c r="AS13" s="3">
        <v>1.004514350194885E-3</v>
      </c>
      <c r="AT13" s="3">
        <v>8.8499949624631924E-4</v>
      </c>
      <c r="AU13" s="3">
        <v>8.3403715635954612E-4</v>
      </c>
      <c r="AV13" s="3">
        <v>-3.3749650182524071E-4</v>
      </c>
      <c r="AW13" s="3">
        <v>1.0799218495995966E-3</v>
      </c>
      <c r="AX13" s="3">
        <v>8.7603051215734418E-4</v>
      </c>
      <c r="AY13" s="3">
        <v>9.8295669517511897E-4</v>
      </c>
      <c r="AZ13" s="3">
        <v>9.956486032662859E-4</v>
      </c>
      <c r="BA13" s="3">
        <v>5.9432721674301803E-4</v>
      </c>
      <c r="BB13" s="3">
        <v>6.7002817470207532E-4</v>
      </c>
      <c r="BC13" s="3">
        <v>8.2246687753673164E-4</v>
      </c>
      <c r="BD13" s="3">
        <v>5.793297201515113E-4</v>
      </c>
      <c r="BE13" s="3">
        <v>6.6045577939122246E-4</v>
      </c>
      <c r="BF13" s="3">
        <v>3.8621211491720597E-3</v>
      </c>
      <c r="BG13" s="3">
        <v>6.4129204289375963E-4</v>
      </c>
      <c r="BH13" s="3">
        <v>6.454932924473411E-4</v>
      </c>
      <c r="BI13" s="3">
        <v>-5.4511936425272189E-4</v>
      </c>
      <c r="BJ13" s="3">
        <v>5.1069338583276114E-4</v>
      </c>
      <c r="BK13" s="3">
        <v>5.3637701578557184E-4</v>
      </c>
      <c r="BL13" s="3">
        <v>7.2283317705856831E-4</v>
      </c>
      <c r="BM13" s="3">
        <v>8.9706803102185262E-4</v>
      </c>
      <c r="BN13" s="3">
        <v>-1.8484789375161625E-5</v>
      </c>
      <c r="BO13" s="3">
        <v>9.0362349632044925E-4</v>
      </c>
      <c r="BP13" s="3">
        <v>9.3671099654324408E-4</v>
      </c>
      <c r="BQ13" s="3">
        <v>3.4712423604088549E-4</v>
      </c>
      <c r="BR13" s="3">
        <v>1.5563999090262293E-4</v>
      </c>
      <c r="BS13" s="3">
        <v>3.1252004265258648E-4</v>
      </c>
      <c r="BT13" s="3">
        <v>5.2529763979403121E-4</v>
      </c>
      <c r="BU13" s="3">
        <v>2.5737528721792025E-4</v>
      </c>
      <c r="BV13" s="3">
        <v>6.0295470179139166E-4</v>
      </c>
      <c r="BW13" s="3">
        <v>5.6913744995745752E-4</v>
      </c>
      <c r="BX13" s="3">
        <v>9.4168417616224964E-4</v>
      </c>
      <c r="BY13" s="3">
        <v>-3.8248049412348273E-4</v>
      </c>
      <c r="BZ13" s="3">
        <v>9.2253933362584917E-4</v>
      </c>
      <c r="CA13" s="3">
        <v>7.1930434643130425E-4</v>
      </c>
      <c r="CB13" s="3">
        <v>8.8314235338793345E-4</v>
      </c>
      <c r="CC13" s="3">
        <v>8.8805049945817061E-4</v>
      </c>
      <c r="CD13" s="3">
        <v>8.6862904064832769E-4</v>
      </c>
      <c r="CE13" s="3">
        <v>5.7258266630708654E-3</v>
      </c>
      <c r="CF13" s="3">
        <v>-2.4020825897624443E-2</v>
      </c>
      <c r="CG13" s="3">
        <v>3.2783015644506364E-3</v>
      </c>
      <c r="CH13" s="3">
        <v>-4.0316519477900936E-4</v>
      </c>
      <c r="CI13" s="3">
        <v>8.0342586407278205E-4</v>
      </c>
      <c r="CJ13" s="3">
        <v>3.9714132648471789E-4</v>
      </c>
      <c r="CK13" s="3">
        <v>6.7296667381722131E-4</v>
      </c>
      <c r="CL13" s="3">
        <v>9.8039070501387826E-4</v>
      </c>
      <c r="CM13" s="3">
        <v>9.2783631826121038E-4</v>
      </c>
      <c r="CN13" s="3">
        <v>8.8921850973000538E-4</v>
      </c>
    </row>
    <row r="14" spans="1:92" x14ac:dyDescent="0.25">
      <c r="A14" s="4">
        <v>45108</v>
      </c>
      <c r="B14" s="3">
        <v>6.5331285339587097E-4</v>
      </c>
      <c r="C14" s="3">
        <v>5.8336506510725528E-4</v>
      </c>
      <c r="D14" s="3">
        <v>6.7689346852506382E-4</v>
      </c>
      <c r="E14" s="3">
        <v>6.2289528030645691E-4</v>
      </c>
      <c r="F14" s="3">
        <v>8.1698356531290095E-4</v>
      </c>
      <c r="G14" s="3">
        <v>8.1610249842922755E-4</v>
      </c>
      <c r="H14" s="3">
        <v>6.9930819536589972E-4</v>
      </c>
      <c r="I14" s="3">
        <v>6.257214945109002E-4</v>
      </c>
      <c r="J14" s="3">
        <v>2.5331292009456163E-4</v>
      </c>
      <c r="K14" s="3">
        <v>5.5207870661688752E-4</v>
      </c>
      <c r="L14" s="3">
        <v>7.7793629416267329E-4</v>
      </c>
      <c r="M14" s="3">
        <v>7.8445489589684669E-4</v>
      </c>
      <c r="N14" s="3">
        <v>7.5971256029405687E-4</v>
      </c>
      <c r="O14" s="3">
        <v>7.7119735798114597E-4</v>
      </c>
      <c r="P14" s="3">
        <v>5.2558402653568592E-4</v>
      </c>
      <c r="Q14" s="3">
        <v>7.03149714083251E-4</v>
      </c>
      <c r="R14" s="3">
        <v>7.7469385493644793E-4</v>
      </c>
      <c r="S14" s="3">
        <v>6.3052559975651512E-4</v>
      </c>
      <c r="T14" s="3">
        <v>4.6922476622324183E-4</v>
      </c>
      <c r="U14" s="3">
        <v>6.0005707695531818E-4</v>
      </c>
      <c r="V14" s="3">
        <v>6.2100074841198172E-4</v>
      </c>
      <c r="W14" s="3">
        <v>6.4219826327049923E-4</v>
      </c>
      <c r="X14" s="3">
        <v>5.1344548851761651E-4</v>
      </c>
      <c r="Y14" s="3">
        <v>9.1570032515275734E-4</v>
      </c>
      <c r="Z14" s="3">
        <v>6.7875091905489349E-4</v>
      </c>
      <c r="AA14" s="3">
        <v>-5.9699529287846942E-2</v>
      </c>
      <c r="AB14" s="3">
        <v>5.8493592581698728E-4</v>
      </c>
      <c r="AC14" s="3">
        <v>9.9994849992390833E-4</v>
      </c>
      <c r="AD14" s="3">
        <v>-3.08486111829398E-3</v>
      </c>
      <c r="AE14" s="3">
        <v>7.361393165736807E-4</v>
      </c>
      <c r="AF14" s="3">
        <v>6.6171027047645659E-4</v>
      </c>
      <c r="AG14" s="3">
        <v>1.0397053513451215E-2</v>
      </c>
      <c r="AH14" s="3">
        <v>7.8981204221473256E-4</v>
      </c>
      <c r="AI14" s="3">
        <v>5.0019599457562514E-4</v>
      </c>
      <c r="AJ14" s="3">
        <v>7.8874182861232711E-4</v>
      </c>
      <c r="AK14" s="3">
        <v>9.0496598233880121E-4</v>
      </c>
      <c r="AL14" s="3">
        <v>7.6652168565538581E-4</v>
      </c>
      <c r="AM14" s="3">
        <v>7.9617202906345774E-4</v>
      </c>
      <c r="AN14" s="3">
        <v>8.4038501156924461E-4</v>
      </c>
      <c r="AO14" s="3">
        <v>3.5208928335728196E-4</v>
      </c>
      <c r="AP14" s="3">
        <v>7.2492939294188652E-4</v>
      </c>
      <c r="AQ14" s="3">
        <v>8.2683304261532697E-4</v>
      </c>
      <c r="AR14" s="3">
        <v>5.6718242105069372E-4</v>
      </c>
      <c r="AS14" s="3">
        <v>1.0035063137021627E-3</v>
      </c>
      <c r="AT14" s="3">
        <v>8.8421696467788635E-4</v>
      </c>
      <c r="AU14" s="3">
        <v>8.3334211806906922E-4</v>
      </c>
      <c r="AV14" s="3">
        <v>-2.9828601660736309E-3</v>
      </c>
      <c r="AW14" s="3">
        <v>1.0787568764782929E-3</v>
      </c>
      <c r="AX14" s="3">
        <v>8.7526375440227788E-4</v>
      </c>
      <c r="AY14" s="3">
        <v>9.8199144011479333E-4</v>
      </c>
      <c r="AZ14" s="3">
        <v>9.9465827314593191E-4</v>
      </c>
      <c r="BA14" s="3">
        <v>5.9397420170892445E-4</v>
      </c>
      <c r="BB14" s="3">
        <v>6.6957953754687161E-4</v>
      </c>
      <c r="BC14" s="3">
        <v>8.2179098167411979E-4</v>
      </c>
      <c r="BD14" s="3">
        <v>5.7899429155061632E-4</v>
      </c>
      <c r="BE14" s="3">
        <v>6.6001986545649594E-4</v>
      </c>
      <c r="BF14" s="3">
        <v>2.1343423470554512E-4</v>
      </c>
      <c r="BG14" s="3">
        <v>6.4088105097548365E-4</v>
      </c>
      <c r="BH14" s="3">
        <v>6.4507689963533288E-4</v>
      </c>
      <c r="BI14" s="3">
        <v>-5.4541668144736377E-4</v>
      </c>
      <c r="BJ14" s="3">
        <v>5.1043271122330758E-4</v>
      </c>
      <c r="BK14" s="3">
        <v>5.3608946971572813E-4</v>
      </c>
      <c r="BL14" s="3">
        <v>7.2231106665543443E-4</v>
      </c>
      <c r="BM14" s="3">
        <v>8.9626402122111593E-4</v>
      </c>
      <c r="BN14" s="3">
        <v>-1.8485131068946004E-5</v>
      </c>
      <c r="BO14" s="3">
        <v>9.0280769807193906E-4</v>
      </c>
      <c r="BP14" s="3">
        <v>9.3583439017907999E-4</v>
      </c>
      <c r="BQ14" s="3">
        <v>3.4700378261787179E-4</v>
      </c>
      <c r="BR14" s="3">
        <v>1.5561577086531386E-4</v>
      </c>
      <c r="BS14" s="3">
        <v>3.1242240438933422E-4</v>
      </c>
      <c r="BT14" s="3">
        <v>5.25021847056939E-4</v>
      </c>
      <c r="BU14" s="3">
        <v>2.5730906222420913E-4</v>
      </c>
      <c r="BV14" s="3">
        <v>6.0259136649354339E-4</v>
      </c>
      <c r="BW14" s="3">
        <v>5.6881371676920089E-4</v>
      </c>
      <c r="BX14" s="3">
        <v>9.4079824134540857E-4</v>
      </c>
      <c r="BY14" s="3">
        <v>-3.8262684142686965E-4</v>
      </c>
      <c r="BZ14" s="3">
        <v>9.2168903923384171E-4</v>
      </c>
      <c r="CA14" s="3">
        <v>7.1878731958796571E-4</v>
      </c>
      <c r="CB14" s="3">
        <v>8.8236310116251992E-4</v>
      </c>
      <c r="CC14" s="3">
        <v>8.8726256549365168E-4</v>
      </c>
      <c r="CD14" s="3">
        <v>8.6787517906405931E-4</v>
      </c>
      <c r="CE14" s="3">
        <v>5.7375544120326083E-3</v>
      </c>
      <c r="CF14" s="3">
        <v>-2.4612027115964663E-2</v>
      </c>
      <c r="CG14" s="3">
        <v>-1.0540070440055671E-2</v>
      </c>
      <c r="CH14" s="3">
        <v>-4.0332780251106648E-4</v>
      </c>
      <c r="CI14" s="3">
        <v>8.0278088914353951E-4</v>
      </c>
      <c r="CJ14" s="3">
        <v>3.9698366786433681E-4</v>
      </c>
      <c r="CK14" s="3">
        <v>6.7251409424429198E-4</v>
      </c>
      <c r="CL14" s="3">
        <v>9.7943048047488546E-4</v>
      </c>
      <c r="CM14" s="3">
        <v>9.269762360433198E-4</v>
      </c>
      <c r="CN14" s="3">
        <v>8.8842850266090956E-4</v>
      </c>
    </row>
    <row r="15" spans="1:92" x14ac:dyDescent="0.25">
      <c r="A15" s="4">
        <v>45139</v>
      </c>
      <c r="B15" s="3">
        <v>6.5288631437487865E-4</v>
      </c>
      <c r="C15" s="3">
        <v>5.8302494872020105E-4</v>
      </c>
      <c r="D15" s="3">
        <v>6.7643559368968376E-4</v>
      </c>
      <c r="E15" s="3">
        <v>6.2250752330816894E-4</v>
      </c>
      <c r="F15" s="3">
        <v>8.163166480272821E-4</v>
      </c>
      <c r="G15" s="3">
        <v>8.1543701824138282E-4</v>
      </c>
      <c r="H15" s="3">
        <v>6.9881950515893188E-4</v>
      </c>
      <c r="I15" s="3">
        <v>6.2533021195609884E-4</v>
      </c>
      <c r="J15" s="3">
        <v>2.5324876890908676E-4</v>
      </c>
      <c r="K15" s="3">
        <v>5.5177408389428528E-4</v>
      </c>
      <c r="L15" s="3">
        <v>7.7733157971415778E-4</v>
      </c>
      <c r="M15" s="3">
        <v>7.8384000876408066E-4</v>
      </c>
      <c r="N15" s="3">
        <v>7.5913583526499018E-4</v>
      </c>
      <c r="O15" s="3">
        <v>7.7060307092891023E-4</v>
      </c>
      <c r="P15" s="3">
        <v>5.2530793307714596E-4</v>
      </c>
      <c r="Q15" s="3">
        <v>7.0265564196958508E-4</v>
      </c>
      <c r="R15" s="3">
        <v>7.7409416894047567E-4</v>
      </c>
      <c r="S15" s="3">
        <v>6.3012828773989504E-4</v>
      </c>
      <c r="T15" s="3">
        <v>4.6900469760369212E-4</v>
      </c>
      <c r="U15" s="3">
        <v>5.9969722439179307E-4</v>
      </c>
      <c r="V15" s="3">
        <v>6.2061534581747679E-4</v>
      </c>
      <c r="W15" s="3">
        <v>6.4178610934595426E-4</v>
      </c>
      <c r="X15" s="3">
        <v>5.1318199753591642E-4</v>
      </c>
      <c r="Y15" s="3">
        <v>9.1486258518624908E-4</v>
      </c>
      <c r="Z15" s="3">
        <v>6.7829052873524809E-4</v>
      </c>
      <c r="AA15" s="3">
        <v>0.10181278326382581</v>
      </c>
      <c r="AB15" s="3">
        <v>5.8459397579868622E-4</v>
      </c>
      <c r="AC15" s="3">
        <v>5.6442129990648127E-3</v>
      </c>
      <c r="AD15" s="3">
        <v>9.3730836871985801E-3</v>
      </c>
      <c r="AE15" s="3">
        <v>7.3559781410148517E-4</v>
      </c>
      <c r="AF15" s="3">
        <v>6.6127269953963896E-4</v>
      </c>
      <c r="AG15" s="3">
        <v>1.4277469680231469E-2</v>
      </c>
      <c r="AH15" s="3">
        <v>7.8918873145128465E-4</v>
      </c>
      <c r="AI15" s="3">
        <v>4.9994592362700985E-4</v>
      </c>
      <c r="AJ15" s="3">
        <v>7.8812020524043902E-4</v>
      </c>
      <c r="AK15" s="3">
        <v>9.0414775937341929E-4</v>
      </c>
      <c r="AL15" s="3">
        <v>7.6593458018980876E-4</v>
      </c>
      <c r="AM15" s="3">
        <v>7.9553864344772407E-4</v>
      </c>
      <c r="AN15" s="3">
        <v>8.3967935762263579E-4</v>
      </c>
      <c r="AO15" s="3">
        <v>3.5196536012604973E-4</v>
      </c>
      <c r="AP15" s="3">
        <v>7.2440425100794847E-4</v>
      </c>
      <c r="AQ15" s="3">
        <v>8.2614995453478279E-4</v>
      </c>
      <c r="AR15" s="3">
        <v>5.6686090750868168E-4</v>
      </c>
      <c r="AS15" s="3">
        <v>1.0025002983233833E-3</v>
      </c>
      <c r="AT15" s="3">
        <v>8.8343581574235053E-4</v>
      </c>
      <c r="AU15" s="3">
        <v>8.3264823722339898E-4</v>
      </c>
      <c r="AV15" s="3">
        <v>-1.9417450801260117E-3</v>
      </c>
      <c r="AW15" s="3">
        <v>1.0775944140939409E-3</v>
      </c>
      <c r="AX15" s="3">
        <v>8.7449833770403274E-4</v>
      </c>
      <c r="AY15" s="3">
        <v>9.8102807893840627E-4</v>
      </c>
      <c r="AZ15" s="3">
        <v>9.936699111479097E-4</v>
      </c>
      <c r="BA15" s="3">
        <v>5.9362160578935175E-4</v>
      </c>
      <c r="BB15" s="3">
        <v>6.6913150078606876E-4</v>
      </c>
      <c r="BC15" s="3">
        <v>8.2111619578939532E-4</v>
      </c>
      <c r="BD15" s="3">
        <v>5.7865925114763961E-4</v>
      </c>
      <c r="BE15" s="3">
        <v>6.595845265662259E-4</v>
      </c>
      <c r="BF15" s="3">
        <v>-1.4716109719214998E-3</v>
      </c>
      <c r="BG15" s="3">
        <v>6.4047058551341962E-4</v>
      </c>
      <c r="BH15" s="3">
        <v>6.4466104368809951E-4</v>
      </c>
      <c r="BI15" s="3">
        <v>-5.4571432314243218E-4</v>
      </c>
      <c r="BJ15" s="3">
        <v>5.1017230259176038E-4</v>
      </c>
      <c r="BK15" s="3">
        <v>5.3580223178140152E-4</v>
      </c>
      <c r="BL15" s="3">
        <v>7.2178970996006342E-4</v>
      </c>
      <c r="BM15" s="3">
        <v>8.9546145134011823E-4</v>
      </c>
      <c r="BN15" s="3">
        <v>-1.848547277516488E-5</v>
      </c>
      <c r="BO15" s="3">
        <v>9.0199337151242176E-4</v>
      </c>
      <c r="BP15" s="3">
        <v>9.349594229977054E-4</v>
      </c>
      <c r="BQ15" s="3">
        <v>3.468834127615672E-4</v>
      </c>
      <c r="BR15" s="3">
        <v>1.5559155836508687E-4</v>
      </c>
      <c r="BS15" s="3">
        <v>3.1232482711596177E-4</v>
      </c>
      <c r="BT15" s="3">
        <v>5.2474634376231677E-4</v>
      </c>
      <c r="BU15" s="3">
        <v>2.5724287130213241E-4</v>
      </c>
      <c r="BV15" s="3">
        <v>6.0222846881763381E-4</v>
      </c>
      <c r="BW15" s="3">
        <v>5.6849035165917883E-4</v>
      </c>
      <c r="BX15" s="3">
        <v>9.3991397193371462E-4</v>
      </c>
      <c r="BY15" s="3">
        <v>-3.827733007659706E-4</v>
      </c>
      <c r="BZ15" s="3">
        <v>9.2084031081229867E-4</v>
      </c>
      <c r="CA15" s="3">
        <v>7.1827103547561499E-4</v>
      </c>
      <c r="CB15" s="3">
        <v>8.8158522289139007E-4</v>
      </c>
      <c r="CC15" s="3">
        <v>8.8647602849833973E-4</v>
      </c>
      <c r="CD15" s="3">
        <v>8.6712262486088321E-4</v>
      </c>
      <c r="CE15" s="3">
        <v>4.4112110442696251E-2</v>
      </c>
      <c r="CF15" s="3">
        <v>-2.5233063970628855E-2</v>
      </c>
      <c r="CG15" s="3">
        <v>-2.8575142361170203E-3</v>
      </c>
      <c r="CH15" s="3">
        <v>-4.034905414644907E-4</v>
      </c>
      <c r="CI15" s="3">
        <v>8.0213694893016552E-4</v>
      </c>
      <c r="CJ15" s="3">
        <v>3.9682613436986536E-4</v>
      </c>
      <c r="CK15" s="3">
        <v>6.7206212299431023E-4</v>
      </c>
      <c r="CL15" s="3">
        <v>9.7847213504120845E-4</v>
      </c>
      <c r="CM15" s="3">
        <v>9.2611774690021242E-4</v>
      </c>
      <c r="CN15" s="3">
        <v>8.8763989807549848E-4</v>
      </c>
    </row>
    <row r="16" spans="1:92" x14ac:dyDescent="0.25">
      <c r="A16" s="4">
        <v>45170</v>
      </c>
      <c r="B16" s="3">
        <v>6.5246033195331954E-4</v>
      </c>
      <c r="C16" s="3">
        <v>5.8268522869453498E-4</v>
      </c>
      <c r="D16" s="3">
        <v>6.7597833788157757E-4</v>
      </c>
      <c r="E16" s="3">
        <v>6.2212024877283945E-4</v>
      </c>
      <c r="F16" s="3">
        <v>8.1565081868495426E-4</v>
      </c>
      <c r="G16" s="3">
        <v>8.1477262248363935E-4</v>
      </c>
      <c r="H16" s="3">
        <v>6.9833149748732559E-4</v>
      </c>
      <c r="I16" s="3">
        <v>6.2493941845698231E-4</v>
      </c>
      <c r="J16" s="3">
        <v>2.531846502082935E-4</v>
      </c>
      <c r="K16" s="3">
        <v>5.5146979715225974E-4</v>
      </c>
      <c r="L16" s="3">
        <v>7.7672780466286895E-4</v>
      </c>
      <c r="M16" s="3">
        <v>7.8322608482306322E-4</v>
      </c>
      <c r="N16" s="3">
        <v>7.5855998519691603E-4</v>
      </c>
      <c r="O16" s="3">
        <v>7.7000969909013506E-4</v>
      </c>
      <c r="P16" s="3">
        <v>5.2503212953425304E-4</v>
      </c>
      <c r="Q16" s="3">
        <v>7.0216226369335111E-4</v>
      </c>
      <c r="R16" s="3">
        <v>7.7349541065352412E-4</v>
      </c>
      <c r="S16" s="3">
        <v>6.2973147612321867E-4</v>
      </c>
      <c r="T16" s="3">
        <v>4.6878483531376247E-4</v>
      </c>
      <c r="U16" s="3">
        <v>5.9933780317478202E-4</v>
      </c>
      <c r="V16" s="3">
        <v>6.2023042130032735E-4</v>
      </c>
      <c r="W16" s="3">
        <v>6.4137448411094589E-4</v>
      </c>
      <c r="X16" s="3">
        <v>5.129187768535548E-4</v>
      </c>
      <c r="Y16" s="3">
        <v>9.140263766524992E-4</v>
      </c>
      <c r="Z16" s="3">
        <v>6.7783076254879226E-4</v>
      </c>
      <c r="AA16" s="3">
        <v>-4.086333960203592E-2</v>
      </c>
      <c r="AB16" s="3">
        <v>5.8425242535031785E-4</v>
      </c>
      <c r="AC16" s="3">
        <v>6.0335667477591226E-3</v>
      </c>
      <c r="AD16" s="3">
        <v>-1.5564320344698679E-3</v>
      </c>
      <c r="AE16" s="3">
        <v>7.350571077000545E-4</v>
      </c>
      <c r="AF16" s="3">
        <v>6.6083570692776483E-4</v>
      </c>
      <c r="AG16" s="3">
        <v>-3.8393372618292787E-3</v>
      </c>
      <c r="AH16" s="3">
        <v>7.8856640373126119E-4</v>
      </c>
      <c r="AI16" s="3">
        <v>4.9969610259759101E-4</v>
      </c>
      <c r="AJ16" s="3">
        <v>7.874995609247204E-4</v>
      </c>
      <c r="AK16" s="3">
        <v>9.0333101466066879E-4</v>
      </c>
      <c r="AL16" s="3">
        <v>7.6534837340491713E-4</v>
      </c>
      <c r="AM16" s="3">
        <v>7.9490626479605808E-4</v>
      </c>
      <c r="AN16" s="3">
        <v>8.3897488772777251E-4</v>
      </c>
      <c r="AO16" s="3">
        <v>3.5184152409728497E-4</v>
      </c>
      <c r="AP16" s="3">
        <v>7.2387986935318338E-4</v>
      </c>
      <c r="AQ16" s="3">
        <v>8.2546799418903305E-4</v>
      </c>
      <c r="AR16" s="3">
        <v>5.6653975826725933E-4</v>
      </c>
      <c r="AS16" s="3">
        <v>1.0014962979858488E-3</v>
      </c>
      <c r="AT16" s="3">
        <v>8.8265604577864032E-4</v>
      </c>
      <c r="AU16" s="3">
        <v>8.3195551093395714E-4</v>
      </c>
      <c r="AV16" s="3">
        <v>4.3231800464902381E-3</v>
      </c>
      <c r="AW16" s="3">
        <v>1.0764344543390258E-3</v>
      </c>
      <c r="AX16" s="3">
        <v>8.7373425854719855E-4</v>
      </c>
      <c r="AY16" s="3">
        <v>9.8006660607885543E-4</v>
      </c>
      <c r="AZ16" s="3">
        <v>9.9268351141157396E-4</v>
      </c>
      <c r="BA16" s="3">
        <v>5.9326942823889617E-4</v>
      </c>
      <c r="BB16" s="3">
        <v>6.6868406321529683E-4</v>
      </c>
      <c r="BC16" s="3">
        <v>8.204425171509655E-4</v>
      </c>
      <c r="BD16" s="3">
        <v>5.7832459826845373E-4</v>
      </c>
      <c r="BE16" s="3">
        <v>6.5914976158243377E-4</v>
      </c>
      <c r="BF16" s="3">
        <v>1.3376593248703106E-2</v>
      </c>
      <c r="BG16" s="3">
        <v>6.4006064549704256E-4</v>
      </c>
      <c r="BH16" s="3">
        <v>6.4424572356758247E-4</v>
      </c>
      <c r="BI16" s="3">
        <v>-5.4601228986961292E-4</v>
      </c>
      <c r="BJ16" s="3">
        <v>5.099121595311118E-4</v>
      </c>
      <c r="BK16" s="3">
        <v>5.3551530148765458E-4</v>
      </c>
      <c r="BL16" s="3">
        <v>7.2126910534198174E-4</v>
      </c>
      <c r="BM16" s="3">
        <v>8.9466031751350705E-4</v>
      </c>
      <c r="BN16" s="3">
        <v>-1.8485814494262343E-5</v>
      </c>
      <c r="BO16" s="3">
        <v>9.0118051266352417E-4</v>
      </c>
      <c r="BP16" s="3">
        <v>9.3408609040546153E-4</v>
      </c>
      <c r="BQ16" s="3">
        <v>3.4676312638493023E-4</v>
      </c>
      <c r="BR16" s="3">
        <v>1.5556735339816719E-4</v>
      </c>
      <c r="BS16" s="3">
        <v>3.1222731077495958E-4</v>
      </c>
      <c r="BT16" s="3">
        <v>5.2447112945475105E-4</v>
      </c>
      <c r="BU16" s="3">
        <v>2.5717671442571088E-4</v>
      </c>
      <c r="BV16" s="3">
        <v>6.0186600797318413E-4</v>
      </c>
      <c r="BW16" s="3">
        <v>5.6816735400033735E-4</v>
      </c>
      <c r="BX16" s="3">
        <v>9.3903136323514325E-4</v>
      </c>
      <c r="BY16" s="3">
        <v>-3.829198722692384E-4</v>
      </c>
      <c r="BZ16" s="3">
        <v>9.1999314403956589E-4</v>
      </c>
      <c r="CA16" s="3">
        <v>7.1775549249486481E-4</v>
      </c>
      <c r="CB16" s="3">
        <v>8.8080871494389257E-4</v>
      </c>
      <c r="CC16" s="3">
        <v>8.8569088476053714E-4</v>
      </c>
      <c r="CD16" s="3">
        <v>8.6637137464018465E-4</v>
      </c>
      <c r="CE16" s="3">
        <v>-5.0174903964913309E-2</v>
      </c>
      <c r="CF16" s="3">
        <v>-2.5886253460148612E-2</v>
      </c>
      <c r="CG16" s="3">
        <v>7.3271408449060438E-4</v>
      </c>
      <c r="CH16" s="3">
        <v>-4.0365341179815495E-4</v>
      </c>
      <c r="CI16" s="3">
        <v>8.0149404094576049E-4</v>
      </c>
      <c r="CJ16" s="3">
        <v>3.966687258527557E-4</v>
      </c>
      <c r="CK16" s="3">
        <v>6.7161075884181187E-4</v>
      </c>
      <c r="CL16" s="3">
        <v>9.7751566320347649E-4</v>
      </c>
      <c r="CM16" s="3">
        <v>9.252608464096479E-4</v>
      </c>
      <c r="CN16" s="3">
        <v>8.8685269224209051E-4</v>
      </c>
    </row>
    <row r="17" spans="1:92" x14ac:dyDescent="0.25">
      <c r="A17" s="4">
        <v>45200</v>
      </c>
      <c r="B17" s="3">
        <v>6.5203490504295303E-4</v>
      </c>
      <c r="C17" s="3">
        <v>5.8234590433814404E-4</v>
      </c>
      <c r="D17" s="3">
        <v>6.7552169984552712E-4</v>
      </c>
      <c r="E17" s="3">
        <v>6.2173345580074368E-4</v>
      </c>
      <c r="F17" s="3">
        <v>8.1498607462604511E-4</v>
      </c>
      <c r="G17" s="3">
        <v>8.1410930850722707E-4</v>
      </c>
      <c r="H17" s="3">
        <v>6.9784417092244588E-4</v>
      </c>
      <c r="I17" s="3">
        <v>6.2454911309761663E-4</v>
      </c>
      <c r="J17" s="3">
        <v>2.5312056396686877E-4</v>
      </c>
      <c r="K17" s="3">
        <v>5.5116584583481121E-4</v>
      </c>
      <c r="L17" s="3">
        <v>7.7612496682100129E-4</v>
      </c>
      <c r="M17" s="3">
        <v>7.8261312181182596E-4</v>
      </c>
      <c r="N17" s="3">
        <v>7.5798500810053682E-4</v>
      </c>
      <c r="O17" s="3">
        <v>7.6941724035251013E-4</v>
      </c>
      <c r="P17" s="3">
        <v>5.2475661545092755E-4</v>
      </c>
      <c r="Q17" s="3">
        <v>7.0166957779416173E-4</v>
      </c>
      <c r="R17" s="3">
        <v>7.7289757792420311E-4</v>
      </c>
      <c r="S17" s="3">
        <v>6.2933516396146416E-4</v>
      </c>
      <c r="T17" s="3">
        <v>4.6856517906324058E-4</v>
      </c>
      <c r="U17" s="3">
        <v>5.9897881252890528E-4</v>
      </c>
      <c r="V17" s="3">
        <v>6.1984597397080066E-4</v>
      </c>
      <c r="W17" s="3">
        <v>6.4096338654962004E-4</v>
      </c>
      <c r="X17" s="3">
        <v>5.1265582605419802E-4</v>
      </c>
      <c r="Y17" s="3">
        <v>9.1319169535597489E-4</v>
      </c>
      <c r="Z17" s="3">
        <v>6.7737161922765132E-4</v>
      </c>
      <c r="AA17" s="3">
        <v>-2.5135627441174035E-2</v>
      </c>
      <c r="AB17" s="3">
        <v>5.8391127377244167E-4</v>
      </c>
      <c r="AC17" s="3">
        <v>-6.2948398569253605E-3</v>
      </c>
      <c r="AD17" s="3">
        <v>1.0662333145996294E-2</v>
      </c>
      <c r="AE17" s="3">
        <v>7.3451719561434814E-4</v>
      </c>
      <c r="AF17" s="3">
        <v>6.6039929149508403E-4</v>
      </c>
      <c r="AG17" s="3">
        <v>-7.6193338567531743E-4</v>
      </c>
      <c r="AH17" s="3">
        <v>7.8794505673140947E-4</v>
      </c>
      <c r="AI17" s="3">
        <v>4.9944653111255732E-4</v>
      </c>
      <c r="AJ17" s="3">
        <v>7.8687989335435304E-4</v>
      </c>
      <c r="AK17" s="3">
        <v>9.025157441977516E-4</v>
      </c>
      <c r="AL17" s="3">
        <v>7.6476306323813859E-4</v>
      </c>
      <c r="AM17" s="3">
        <v>7.9427489070926782E-4</v>
      </c>
      <c r="AN17" s="3">
        <v>8.3827159890725866E-4</v>
      </c>
      <c r="AO17" s="3">
        <v>3.5171777517906122E-4</v>
      </c>
      <c r="AP17" s="3">
        <v>7.2335624632824391E-4</v>
      </c>
      <c r="AQ17" s="3">
        <v>8.2478715878742115E-4</v>
      </c>
      <c r="AR17" s="3">
        <v>5.6621897270714427E-4</v>
      </c>
      <c r="AS17" s="3">
        <v>1.0004943066417304E-3</v>
      </c>
      <c r="AT17" s="3">
        <v>8.8187765113811878E-4</v>
      </c>
      <c r="AU17" s="3">
        <v>8.3126393632104723E-4</v>
      </c>
      <c r="AV17" s="3">
        <v>9.9899315254101673E-3</v>
      </c>
      <c r="AW17" s="3">
        <v>1.075276989139784E-3</v>
      </c>
      <c r="AX17" s="3">
        <v>8.7297151342924373E-4</v>
      </c>
      <c r="AY17" s="3">
        <v>9.7910701598857841E-4</v>
      </c>
      <c r="AZ17" s="3">
        <v>9.916990680982618E-4</v>
      </c>
      <c r="BA17" s="3">
        <v>5.9291766831282011E-4</v>
      </c>
      <c r="BB17" s="3">
        <v>6.6823722363329452E-4</v>
      </c>
      <c r="BC17" s="3">
        <v>8.1976994303545325E-4</v>
      </c>
      <c r="BD17" s="3">
        <v>5.7799033224181784E-4</v>
      </c>
      <c r="BE17" s="3">
        <v>6.5871556937224796E-4</v>
      </c>
      <c r="BF17" s="3">
        <v>1.8178628267938146E-2</v>
      </c>
      <c r="BG17" s="3">
        <v>6.3965122991782586E-4</v>
      </c>
      <c r="BH17" s="3">
        <v>6.4383093823860982E-4</v>
      </c>
      <c r="BI17" s="3">
        <v>-5.4631058216159101E-4</v>
      </c>
      <c r="BJ17" s="3">
        <v>5.0965228163568632E-4</v>
      </c>
      <c r="BK17" s="3">
        <v>5.3522867834066012E-4</v>
      </c>
      <c r="BL17" s="3">
        <v>7.2074925117426858E-4</v>
      </c>
      <c r="BM17" s="3">
        <v>8.9386061589102894E-4</v>
      </c>
      <c r="BN17" s="3">
        <v>-1.8486156226016348E-5</v>
      </c>
      <c r="BO17" s="3">
        <v>9.0036911756041782E-4</v>
      </c>
      <c r="BP17" s="3">
        <v>9.3321438782645316E-4</v>
      </c>
      <c r="BQ17" s="3">
        <v>3.4664292340114145E-4</v>
      </c>
      <c r="BR17" s="3">
        <v>1.5554315596122414E-4</v>
      </c>
      <c r="BS17" s="3">
        <v>3.1212985530970627E-4</v>
      </c>
      <c r="BT17" s="3">
        <v>5.2419620367971653E-4</v>
      </c>
      <c r="BU17" s="3">
        <v>2.5711059156852123E-4</v>
      </c>
      <c r="BV17" s="3">
        <v>6.0150398317215803E-4</v>
      </c>
      <c r="BW17" s="3">
        <v>5.6784472316651069E-4</v>
      </c>
      <c r="BX17" s="3">
        <v>9.3815041057632165E-4</v>
      </c>
      <c r="BY17" s="3">
        <v>-3.8306655606612505E-4</v>
      </c>
      <c r="BZ17" s="3">
        <v>9.1914753460953236E-4</v>
      </c>
      <c r="CA17" s="3">
        <v>7.1724068905099081E-4</v>
      </c>
      <c r="CB17" s="3">
        <v>8.8003357370292079E-4</v>
      </c>
      <c r="CC17" s="3">
        <v>8.8490713058098081E-4</v>
      </c>
      <c r="CD17" s="3">
        <v>8.6562142501644956E-4</v>
      </c>
      <c r="CE17" s="3">
        <v>5.7233808771794958E-3</v>
      </c>
      <c r="CF17" s="3">
        <v>-2.6574158872204601E-2</v>
      </c>
      <c r="CG17" s="3">
        <v>1.4058238525900268E-3</v>
      </c>
      <c r="CH17" s="3">
        <v>-4.038164136712652E-4</v>
      </c>
      <c r="CI17" s="3">
        <v>8.0085216270942006E-4</v>
      </c>
      <c r="CJ17" s="3">
        <v>3.9651144216423795E-4</v>
      </c>
      <c r="CK17" s="3">
        <v>6.7116000056466341E-4</v>
      </c>
      <c r="CL17" s="3">
        <v>9.7656105947163674E-4</v>
      </c>
      <c r="CM17" s="3">
        <v>9.244055301664833E-4</v>
      </c>
      <c r="CN17" s="3">
        <v>8.8606688144277079E-4</v>
      </c>
    </row>
    <row r="18" spans="1:92" x14ac:dyDescent="0.25">
      <c r="A18" s="4">
        <v>45231</v>
      </c>
      <c r="B18" s="3">
        <v>6.5161003255731487E-4</v>
      </c>
      <c r="C18" s="3">
        <v>5.820069749600254E-4</v>
      </c>
      <c r="D18" s="3">
        <v>6.7506567833097719E-4</v>
      </c>
      <c r="E18" s="3">
        <v>6.2134714349371123E-4</v>
      </c>
      <c r="F18" s="3">
        <v>8.1432241319889798E-4</v>
      </c>
      <c r="G18" s="3">
        <v>8.134470736724797E-4</v>
      </c>
      <c r="H18" s="3">
        <v>6.9735752403943252E-4</v>
      </c>
      <c r="I18" s="3">
        <v>6.241592949636221E-4</v>
      </c>
      <c r="J18" s="3">
        <v>2.5305651016016562E-4</v>
      </c>
      <c r="K18" s="3">
        <v>5.5086222938838247E-4</v>
      </c>
      <c r="L18" s="3">
        <v>7.7552306400896498E-4</v>
      </c>
      <c r="M18" s="3">
        <v>7.8200111747595002E-4</v>
      </c>
      <c r="N18" s="3">
        <v>7.5741090199188399E-4</v>
      </c>
      <c r="O18" s="3">
        <v>7.6882569260972033E-4</v>
      </c>
      <c r="P18" s="3">
        <v>5.2448139037175601E-4</v>
      </c>
      <c r="Q18" s="3">
        <v>7.0117758281584841E-4</v>
      </c>
      <c r="R18" s="3">
        <v>7.7230066860800584E-4</v>
      </c>
      <c r="S18" s="3">
        <v>6.2893935031227421E-4</v>
      </c>
      <c r="T18" s="3">
        <v>4.6834572856324641E-4</v>
      </c>
      <c r="U18" s="3">
        <v>5.9862025168144761E-4</v>
      </c>
      <c r="V18" s="3">
        <v>6.1946200294205056E-4</v>
      </c>
      <c r="W18" s="3">
        <v>6.4055281564767697E-4</v>
      </c>
      <c r="X18" s="3">
        <v>5.1239314472351083E-4</v>
      </c>
      <c r="Y18" s="3">
        <v>9.1235853711668646E-4</v>
      </c>
      <c r="Z18" s="3">
        <v>6.7691309750683715E-4</v>
      </c>
      <c r="AA18" s="3">
        <v>1.3198726500094349E-3</v>
      </c>
      <c r="AB18" s="3">
        <v>5.8357052036672741E-4</v>
      </c>
      <c r="AC18" s="3">
        <v>6.9269533837994501E-3</v>
      </c>
      <c r="AD18" s="3">
        <v>1.6198037115242592E-3</v>
      </c>
      <c r="AE18" s="3">
        <v>7.3397807609620891E-4</v>
      </c>
      <c r="AF18" s="3">
        <v>6.5996345209895502E-4</v>
      </c>
      <c r="AG18" s="3">
        <v>1.6157385990592799E-2</v>
      </c>
      <c r="AH18" s="3">
        <v>7.8732468813536016E-4</v>
      </c>
      <c r="AI18" s="3">
        <v>4.9919720879820773E-4</v>
      </c>
      <c r="AJ18" s="3">
        <v>7.8626120022495805E-4</v>
      </c>
      <c r="AK18" s="3">
        <v>9.0170194399652459E-4</v>
      </c>
      <c r="AL18" s="3">
        <v>7.641786476348944E-4</v>
      </c>
      <c r="AM18" s="3">
        <v>7.936445187959329E-4</v>
      </c>
      <c r="AN18" s="3">
        <v>8.3756948819302401E-4</v>
      </c>
      <c r="AO18" s="3">
        <v>3.5159411328011814E-4</v>
      </c>
      <c r="AP18" s="3">
        <v>7.228333802875575E-4</v>
      </c>
      <c r="AQ18" s="3">
        <v>8.2410744554883841E-4</v>
      </c>
      <c r="AR18" s="3">
        <v>5.658985502114966E-4</v>
      </c>
      <c r="AS18" s="3">
        <v>9.9949431826673596E-4</v>
      </c>
      <c r="AT18" s="3">
        <v>8.8110062818591572E-4</v>
      </c>
      <c r="AU18" s="3">
        <v>8.305735105151868E-4</v>
      </c>
      <c r="AV18" s="3">
        <v>-4.3515036464849555E-3</v>
      </c>
      <c r="AW18" s="3">
        <v>1.0741220104584226E-3</v>
      </c>
      <c r="AX18" s="3">
        <v>8.7221009885918299E-4</v>
      </c>
      <c r="AY18" s="3">
        <v>9.7814930314332749E-4</v>
      </c>
      <c r="AZ18" s="3">
        <v>9.9071657539373525E-4</v>
      </c>
      <c r="BA18" s="3">
        <v>5.9256632526882846E-4</v>
      </c>
      <c r="BB18" s="3">
        <v>6.6779098084235322E-4</v>
      </c>
      <c r="BC18" s="3">
        <v>8.1909847072858533E-4</v>
      </c>
      <c r="BD18" s="3">
        <v>5.7765645239715724E-4</v>
      </c>
      <c r="BE18" s="3">
        <v>6.5828194880324098E-4</v>
      </c>
      <c r="BF18" s="3">
        <v>-1.2299098523670504E-2</v>
      </c>
      <c r="BG18" s="3">
        <v>6.3924233777035155E-4</v>
      </c>
      <c r="BH18" s="3">
        <v>6.4341668666978435E-4</v>
      </c>
      <c r="BI18" s="3">
        <v>-5.4660920055216167E-4</v>
      </c>
      <c r="BJ18" s="3">
        <v>5.0939266849980847E-4</v>
      </c>
      <c r="BK18" s="3">
        <v>5.3494236184725708E-4</v>
      </c>
      <c r="BL18" s="3">
        <v>7.2023014583599831E-4</v>
      </c>
      <c r="BM18" s="3">
        <v>8.9306234263553108E-4</v>
      </c>
      <c r="BN18" s="3">
        <v>-1.8486497970204852E-5</v>
      </c>
      <c r="BO18" s="3">
        <v>8.9955918225337328E-4</v>
      </c>
      <c r="BP18" s="3">
        <v>9.3234431070143842E-4</v>
      </c>
      <c r="BQ18" s="3">
        <v>3.4652280372315936E-4</v>
      </c>
      <c r="BR18" s="3">
        <v>1.5551896605026094E-4</v>
      </c>
      <c r="BS18" s="3">
        <v>3.1203246066291435E-4</v>
      </c>
      <c r="BT18" s="3">
        <v>5.2392156598379813E-4</v>
      </c>
      <c r="BU18" s="3">
        <v>2.5704450270414014E-4</v>
      </c>
      <c r="BV18" s="3">
        <v>6.0114239362785149E-4</v>
      </c>
      <c r="BW18" s="3">
        <v>5.675224585333094E-4</v>
      </c>
      <c r="BX18" s="3">
        <v>9.3727110930008628E-4</v>
      </c>
      <c r="BY18" s="3">
        <v>-3.8321335228519438E-4</v>
      </c>
      <c r="BZ18" s="3">
        <v>9.1830347823140812E-4</v>
      </c>
      <c r="CA18" s="3">
        <v>7.1672662355348749E-4</v>
      </c>
      <c r="CB18" s="3">
        <v>8.7925979556247036E-4</v>
      </c>
      <c r="CC18" s="3">
        <v>8.8412476227461845E-4</v>
      </c>
      <c r="CD18" s="3">
        <v>8.6487277261437789E-4</v>
      </c>
      <c r="CE18" s="3">
        <v>5.7351124072750892E-3</v>
      </c>
      <c r="CF18" s="3">
        <v>-2.7299623401630946E-2</v>
      </c>
      <c r="CG18" s="3">
        <v>5.0774238473740851E-3</v>
      </c>
      <c r="CH18" s="3">
        <v>-4.0397954724336049E-4</v>
      </c>
      <c r="CI18" s="3">
        <v>8.0021131174978777E-4</v>
      </c>
      <c r="CJ18" s="3">
        <v>3.9635428315576426E-4</v>
      </c>
      <c r="CK18" s="3">
        <v>6.7070984694339586E-4</v>
      </c>
      <c r="CL18" s="3">
        <v>9.7560831837872897E-4</v>
      </c>
      <c r="CM18" s="3">
        <v>9.235517937808968E-4</v>
      </c>
      <c r="CN18" s="3">
        <v>8.8528246197250304E-4</v>
      </c>
    </row>
    <row r="19" spans="1:92" x14ac:dyDescent="0.25">
      <c r="A19" s="4">
        <v>45261</v>
      </c>
      <c r="B19" s="3">
        <v>6.5118571341327147E-4</v>
      </c>
      <c r="C19" s="3">
        <v>5.8166843987095262E-4</v>
      </c>
      <c r="D19" s="3">
        <v>6.746102720900371E-4</v>
      </c>
      <c r="E19" s="3">
        <v>6.2096131095712437E-4</v>
      </c>
      <c r="F19" s="3">
        <v>8.1365983176140411E-4</v>
      </c>
      <c r="G19" s="3">
        <v>8.1278591534816869E-4</v>
      </c>
      <c r="H19" s="3">
        <v>6.9687155541675594E-4</v>
      </c>
      <c r="I19" s="3">
        <v>6.2376996314306155E-4</v>
      </c>
      <c r="J19" s="3">
        <v>2.5299248876420322E-4</v>
      </c>
      <c r="K19" s="3">
        <v>5.505589472591943E-4</v>
      </c>
      <c r="L19" s="3">
        <v>7.7492209405205514E-4</v>
      </c>
      <c r="M19" s="3">
        <v>7.81390069568344E-4</v>
      </c>
      <c r="N19" s="3">
        <v>7.5683766489320625E-4</v>
      </c>
      <c r="O19" s="3">
        <v>7.6823505376233392E-4</v>
      </c>
      <c r="P19" s="3">
        <v>5.2420645384199105E-4</v>
      </c>
      <c r="Q19" s="3">
        <v>7.0068627730557331E-4</v>
      </c>
      <c r="R19" s="3">
        <v>7.7170468056708685E-4</v>
      </c>
      <c r="S19" s="3">
        <v>6.2854403423573402E-4</v>
      </c>
      <c r="T19" s="3">
        <v>4.6812648352423381E-4</v>
      </c>
      <c r="U19" s="3">
        <v>5.9826211986080402E-4</v>
      </c>
      <c r="V19" s="3">
        <v>6.1907850733011749E-4</v>
      </c>
      <c r="W19" s="3">
        <v>6.4014277039370349E-4</v>
      </c>
      <c r="X19" s="3">
        <v>5.1213073244693597E-4</v>
      </c>
      <c r="Y19" s="3">
        <v>9.1152689776974327E-4</v>
      </c>
      <c r="Z19" s="3">
        <v>6.7645519612447025E-4</v>
      </c>
      <c r="AA19" s="3">
        <v>1.5897840755356718E-2</v>
      </c>
      <c r="AB19" s="3">
        <v>5.8323016443617703E-4</v>
      </c>
      <c r="AC19" s="3">
        <v>3.9550247884077017E-3</v>
      </c>
      <c r="AD19" s="3">
        <v>7.2160720826497382E-3</v>
      </c>
      <c r="AE19" s="3">
        <v>7.3343974740169848E-4</v>
      </c>
      <c r="AF19" s="3">
        <v>6.5952818759940079E-4</v>
      </c>
      <c r="AG19" s="3">
        <v>-5.1828284614295894E-3</v>
      </c>
      <c r="AH19" s="3">
        <v>7.8670529563384939E-4</v>
      </c>
      <c r="AI19" s="3">
        <v>4.9894813528172932E-4</v>
      </c>
      <c r="AJ19" s="3">
        <v>7.856434792401501E-4</v>
      </c>
      <c r="AK19" s="3">
        <v>9.0088961008394364E-4</v>
      </c>
      <c r="AL19" s="3">
        <v>7.6359512454526879E-4</v>
      </c>
      <c r="AM19" s="3">
        <v>7.9301514667151629E-4</v>
      </c>
      <c r="AN19" s="3">
        <v>8.3686855262787851E-4</v>
      </c>
      <c r="AO19" s="3">
        <v>3.5147053830764108E-4</v>
      </c>
      <c r="AP19" s="3">
        <v>7.2231126959088066E-4</v>
      </c>
      <c r="AQ19" s="3">
        <v>8.2342885170105795E-4</v>
      </c>
      <c r="AR19" s="3">
        <v>5.6557849016392048E-4</v>
      </c>
      <c r="AS19" s="3">
        <v>9.9849632686122014E-4</v>
      </c>
      <c r="AT19" s="3">
        <v>8.8032497329870729E-4</v>
      </c>
      <c r="AU19" s="3">
        <v>8.2988423065644135E-4</v>
      </c>
      <c r="AV19" s="3">
        <v>1.8621100703109184E-2</v>
      </c>
      <c r="AW19" s="3">
        <v>1.0729695102908998E-3</v>
      </c>
      <c r="AX19" s="3">
        <v>8.714500113586876E-4</v>
      </c>
      <c r="AY19" s="3">
        <v>9.7719346203928303E-4</v>
      </c>
      <c r="AZ19" s="3">
        <v>9.8973602750596079E-4</v>
      </c>
      <c r="BA19" s="3">
        <v>5.9221539836640247E-4</v>
      </c>
      <c r="BB19" s="3">
        <v>6.6734533364742887E-4</v>
      </c>
      <c r="BC19" s="3">
        <v>8.1842809752563639E-4</v>
      </c>
      <c r="BD19" s="3">
        <v>5.7732295806500744E-4</v>
      </c>
      <c r="BE19" s="3">
        <v>6.5784889874831443E-4</v>
      </c>
      <c r="BF19" s="3">
        <v>-3.4733317331604452E-3</v>
      </c>
      <c r="BG19" s="3">
        <v>6.3883396805120007E-4</v>
      </c>
      <c r="BH19" s="3">
        <v>6.4300296783059707E-4</v>
      </c>
      <c r="BI19" s="3">
        <v>-5.469081455764524E-4</v>
      </c>
      <c r="BJ19" s="3">
        <v>5.0913331971957909E-4</v>
      </c>
      <c r="BK19" s="3">
        <v>5.3465635151583868E-4</v>
      </c>
      <c r="BL19" s="3">
        <v>7.1971178771002009E-4</v>
      </c>
      <c r="BM19" s="3">
        <v>8.9226549392318333E-4</v>
      </c>
      <c r="BN19" s="3">
        <v>-1.8486839727049897E-5</v>
      </c>
      <c r="BO19" s="3">
        <v>8.9875070280620584E-4</v>
      </c>
      <c r="BP19" s="3">
        <v>9.3147585448782877E-4</v>
      </c>
      <c r="BQ19" s="3">
        <v>3.4640276726527475E-4</v>
      </c>
      <c r="BR19" s="3">
        <v>1.55494783662391E-4</v>
      </c>
      <c r="BS19" s="3">
        <v>3.1193512677774038E-4</v>
      </c>
      <c r="BT19" s="3">
        <v>5.2364721591446894E-4</v>
      </c>
      <c r="BU19" s="3">
        <v>2.569784478070325E-4</v>
      </c>
      <c r="BV19" s="3">
        <v>6.0078123855600296E-4</v>
      </c>
      <c r="BW19" s="3">
        <v>5.6720055947723225E-4</v>
      </c>
      <c r="BX19" s="3">
        <v>9.3639345476814739E-4</v>
      </c>
      <c r="BY19" s="3">
        <v>-3.8336026105589838E-4</v>
      </c>
      <c r="BZ19" s="3">
        <v>9.1746097063105658E-4</v>
      </c>
      <c r="CA19" s="3">
        <v>7.1621329441740045E-4</v>
      </c>
      <c r="CB19" s="3">
        <v>8.7848737693119183E-4</v>
      </c>
      <c r="CC19" s="3">
        <v>8.8334377616861026E-4</v>
      </c>
      <c r="CD19" s="3">
        <v>8.6412541407177024E-4</v>
      </c>
      <c r="CE19" s="3">
        <v>4.4109579207474381E-2</v>
      </c>
      <c r="CF19" s="3">
        <v>-2.8065809429518862E-2</v>
      </c>
      <c r="CG19" s="3">
        <v>1.1070112787150643E-2</v>
      </c>
      <c r="CH19" s="3">
        <v>-4.0414281267375785E-4</v>
      </c>
      <c r="CI19" s="3">
        <v>7.995714856026126E-4</v>
      </c>
      <c r="CJ19" s="3">
        <v>3.961972486792309E-4</v>
      </c>
      <c r="CK19" s="3">
        <v>6.7026029676231502E-4</v>
      </c>
      <c r="CL19" s="3">
        <v>9.7465743447799902E-4</v>
      </c>
      <c r="CM19" s="3">
        <v>9.226996328797199E-4</v>
      </c>
      <c r="CN19" s="3">
        <v>8.8449943013935162E-4</v>
      </c>
    </row>
    <row r="20" spans="1:92" x14ac:dyDescent="0.25">
      <c r="A20" s="4">
        <v>45292</v>
      </c>
      <c r="B20" s="3">
        <v>6.5076194653079789E-4</v>
      </c>
      <c r="C20" s="3">
        <v>5.8133029838325356E-4</v>
      </c>
      <c r="D20" s="3">
        <v>6.7415547987859092E-4</v>
      </c>
      <c r="E20" s="3">
        <v>6.2057595729725357E-4</v>
      </c>
      <c r="F20" s="3">
        <v>8.1299832767878222E-4</v>
      </c>
      <c r="G20" s="3">
        <v>8.1212583091150314E-4</v>
      </c>
      <c r="H20" s="3">
        <v>6.9638626363799361E-4</v>
      </c>
      <c r="I20" s="3">
        <v>6.2338111672688434E-4</v>
      </c>
      <c r="J20" s="3">
        <v>2.529284997532244E-4</v>
      </c>
      <c r="K20" s="3">
        <v>5.5025599889568788E-4</v>
      </c>
      <c r="L20" s="3">
        <v>7.7432205478400462E-4</v>
      </c>
      <c r="M20" s="3">
        <v>7.8077997584879988E-4</v>
      </c>
      <c r="N20" s="3">
        <v>7.5626529483363569E-4</v>
      </c>
      <c r="O20" s="3">
        <v>7.6764532171735844E-4</v>
      </c>
      <c r="P20" s="3">
        <v>5.239318054082176E-4</v>
      </c>
      <c r="Q20" s="3">
        <v>7.0019565981538356E-4</v>
      </c>
      <c r="R20" s="3">
        <v>7.7110961167070613E-4</v>
      </c>
      <c r="S20" s="3">
        <v>6.281492147941492E-4</v>
      </c>
      <c r="T20" s="3">
        <v>4.6790744365798886E-4</v>
      </c>
      <c r="U20" s="3">
        <v>5.9790441629714586E-4</v>
      </c>
      <c r="V20" s="3">
        <v>6.18695486251708E-4</v>
      </c>
      <c r="W20" s="3">
        <v>6.3973324977895096E-4</v>
      </c>
      <c r="X20" s="3">
        <v>5.118685888116925E-4</v>
      </c>
      <c r="Y20" s="3">
        <v>9.1069677316513165E-4</v>
      </c>
      <c r="Z20" s="3">
        <v>6.7599791382333407E-4</v>
      </c>
      <c r="AA20" s="3">
        <v>3.4424785222340049E-3</v>
      </c>
      <c r="AB20" s="3">
        <v>5.8289020528601299E-4</v>
      </c>
      <c r="AC20" s="3">
        <v>1.4396093998403359E-4</v>
      </c>
      <c r="AD20" s="3">
        <v>7.2110541960783703E-3</v>
      </c>
      <c r="AE20" s="3">
        <v>7.3290220779131943E-4</v>
      </c>
      <c r="AF20" s="3">
        <v>6.5909349685999707E-4</v>
      </c>
      <c r="AG20" s="3">
        <v>-7.5215650578492887E-3</v>
      </c>
      <c r="AH20" s="3">
        <v>7.8608687692494073E-4</v>
      </c>
      <c r="AI20" s="3">
        <v>4.9869931019097535E-4</v>
      </c>
      <c r="AJ20" s="3">
        <v>7.8502672811020524E-4</v>
      </c>
      <c r="AK20" s="3">
        <v>9.0007873850006526E-4</v>
      </c>
      <c r="AL20" s="3">
        <v>7.6301249192645137E-4</v>
      </c>
      <c r="AM20" s="3">
        <v>7.9238677195925256E-4</v>
      </c>
      <c r="AN20" s="3">
        <v>8.3616878926329186E-4</v>
      </c>
      <c r="AO20" s="3">
        <v>3.513470501708138E-4</v>
      </c>
      <c r="AP20" s="3">
        <v>7.2178991260263281E-4</v>
      </c>
      <c r="AQ20" s="3">
        <v>8.2275137448162283E-4</v>
      </c>
      <c r="AR20" s="3">
        <v>5.6525879194979645E-4</v>
      </c>
      <c r="AS20" s="3">
        <v>9.9750032644929654E-4</v>
      </c>
      <c r="AT20" s="3">
        <v>8.7955068286738047E-4</v>
      </c>
      <c r="AU20" s="3">
        <v>8.2919609389398019E-4</v>
      </c>
      <c r="AV20" s="3">
        <v>2.9750762436155931E-3</v>
      </c>
      <c r="AW20" s="3">
        <v>1.0718194806675907E-3</v>
      </c>
      <c r="AX20" s="3">
        <v>8.7069124746119719E-4</v>
      </c>
      <c r="AY20" s="3">
        <v>9.7623948719527398E-4</v>
      </c>
      <c r="AZ20" s="3">
        <v>9.8875741866621958E-4</v>
      </c>
      <c r="BA20" s="3">
        <v>5.9186488686679972E-4</v>
      </c>
      <c r="BB20" s="3">
        <v>6.6690028085680808E-4</v>
      </c>
      <c r="BC20" s="3">
        <v>8.1775882072965267E-4</v>
      </c>
      <c r="BD20" s="3">
        <v>5.7698984857901259E-4</v>
      </c>
      <c r="BE20" s="3">
        <v>6.574164180814801E-4</v>
      </c>
      <c r="BF20" s="3">
        <v>1.4341480942229534E-2</v>
      </c>
      <c r="BG20" s="3">
        <v>6.3842611975983843E-4</v>
      </c>
      <c r="BH20" s="3">
        <v>6.4258978069475781E-4</v>
      </c>
      <c r="BI20" s="3">
        <v>-5.4720741777047888E-4</v>
      </c>
      <c r="BJ20" s="3">
        <v>5.0887423489109906E-4</v>
      </c>
      <c r="BK20" s="3">
        <v>5.3437064685546432E-4</v>
      </c>
      <c r="BL20" s="3">
        <v>7.1919417518451212E-4</v>
      </c>
      <c r="BM20" s="3">
        <v>8.9147006594458844E-4</v>
      </c>
      <c r="BN20" s="3">
        <v>-1.848718149677353E-5</v>
      </c>
      <c r="BO20" s="3">
        <v>8.9794367529694163E-4</v>
      </c>
      <c r="BP20" s="3">
        <v>9.3060901466079926E-4</v>
      </c>
      <c r="BQ20" s="3">
        <v>3.4628281394022409E-4</v>
      </c>
      <c r="BR20" s="3">
        <v>1.5547060879361752E-4</v>
      </c>
      <c r="BS20" s="3">
        <v>3.1183785359734095E-4</v>
      </c>
      <c r="BT20" s="3">
        <v>5.233731530198682E-4</v>
      </c>
      <c r="BU20" s="3">
        <v>2.5691242685033089E-4</v>
      </c>
      <c r="BV20" s="3">
        <v>6.0042051717412726E-4</v>
      </c>
      <c r="BW20" s="3">
        <v>5.6687902537677637E-4</v>
      </c>
      <c r="BX20" s="3">
        <v>9.3551744235820244E-4</v>
      </c>
      <c r="BY20" s="3">
        <v>-3.8350728250791111E-4</v>
      </c>
      <c r="BZ20" s="3">
        <v>9.1662000754921813E-4</v>
      </c>
      <c r="CA20" s="3">
        <v>7.1570070006110598E-4</v>
      </c>
      <c r="CB20" s="3">
        <v>8.7771631422861596E-4</v>
      </c>
      <c r="CC20" s="3">
        <v>8.8256416860299503E-4</v>
      </c>
      <c r="CD20" s="3">
        <v>8.6337934603664124E-4</v>
      </c>
      <c r="CE20" s="3">
        <v>-5.0177203039558638E-2</v>
      </c>
      <c r="CF20" s="3">
        <v>-2.8876244607719093E-2</v>
      </c>
      <c r="CG20" s="3">
        <v>-3.0412903312495354E-2</v>
      </c>
      <c r="CH20" s="3">
        <v>-4.0430621012266243E-4</v>
      </c>
      <c r="CI20" s="3">
        <v>7.9893268181119304E-4</v>
      </c>
      <c r="CJ20" s="3">
        <v>3.9604033858697818E-4</v>
      </c>
      <c r="CK20" s="3">
        <v>6.6981134880883531E-4</v>
      </c>
      <c r="CL20" s="3">
        <v>9.7370840234445311E-4</v>
      </c>
      <c r="CM20" s="3">
        <v>9.218490431062154E-4</v>
      </c>
      <c r="CN20" s="3">
        <v>8.837177822644815E-4</v>
      </c>
    </row>
    <row r="21" spans="1:92" x14ac:dyDescent="0.25">
      <c r="A21" s="4">
        <v>45323</v>
      </c>
      <c r="B21" s="3">
        <v>6.5033873083253368E-4</v>
      </c>
      <c r="C21" s="3">
        <v>5.8099254981081039E-4</v>
      </c>
      <c r="D21" s="3">
        <v>6.7370130045496524E-4</v>
      </c>
      <c r="E21" s="3">
        <v>6.2019108162281178E-4</v>
      </c>
      <c r="F21" s="3">
        <v>8.1233789832602099E-4</v>
      </c>
      <c r="G21" s="3">
        <v>8.1146681774768581E-4</v>
      </c>
      <c r="H21" s="3">
        <v>6.9590164729005366E-4</v>
      </c>
      <c r="I21" s="3">
        <v>6.229927548075942E-4</v>
      </c>
      <c r="J21" s="3">
        <v>2.5286454310369244E-4</v>
      </c>
      <c r="K21" s="3">
        <v>5.4995338374741465E-4</v>
      </c>
      <c r="L21" s="3">
        <v>7.7372294404409736E-4</v>
      </c>
      <c r="M21" s="3">
        <v>7.8017083408377097E-4</v>
      </c>
      <c r="N21" s="3">
        <v>7.5569378984674529E-4</v>
      </c>
      <c r="O21" s="3">
        <v>7.6705649438801871E-4</v>
      </c>
      <c r="P21" s="3">
        <v>5.2365744461790875E-4</v>
      </c>
      <c r="Q21" s="3">
        <v>6.9970572890087901E-4</v>
      </c>
      <c r="R21" s="3">
        <v>7.7051545979367475E-4</v>
      </c>
      <c r="S21" s="3">
        <v>6.2775489105226789E-4</v>
      </c>
      <c r="T21" s="3">
        <v>4.6768860867674178E-4</v>
      </c>
      <c r="U21" s="3">
        <v>5.9754714022308697E-4</v>
      </c>
      <c r="V21" s="3">
        <v>6.1831293882752547E-4</v>
      </c>
      <c r="W21" s="3">
        <v>6.393242527968912E-4</v>
      </c>
      <c r="X21" s="3">
        <v>5.1160671340522157E-4</v>
      </c>
      <c r="Y21" s="3">
        <v>9.0986815916860309E-4</v>
      </c>
      <c r="Z21" s="3">
        <v>6.7554124934798843E-4</v>
      </c>
      <c r="AA21" s="3">
        <v>1.827619683836712E-3</v>
      </c>
      <c r="AB21" s="3">
        <v>5.8255064222234587E-4</v>
      </c>
      <c r="AC21" s="3">
        <v>-5.0014803602361768E-3</v>
      </c>
      <c r="AD21" s="3">
        <v>-4.5676442573427956E-3</v>
      </c>
      <c r="AE21" s="3">
        <v>7.3236545553223564E-4</v>
      </c>
      <c r="AF21" s="3">
        <v>6.586593787469841E-4</v>
      </c>
      <c r="AG21" s="3">
        <v>-2.5372508321958587E-2</v>
      </c>
      <c r="AH21" s="3">
        <v>7.8546942971402522E-4</v>
      </c>
      <c r="AI21" s="3">
        <v>4.9845073315402111E-4</v>
      </c>
      <c r="AJ21" s="3">
        <v>7.8441094455272697E-4</v>
      </c>
      <c r="AK21" s="3">
        <v>8.9926932530026704E-4</v>
      </c>
      <c r="AL21" s="3">
        <v>7.62430747741627E-4</v>
      </c>
      <c r="AM21" s="3">
        <v>7.917593922901478E-4</v>
      </c>
      <c r="AN21" s="3">
        <v>8.3547019516183596E-4</v>
      </c>
      <c r="AO21" s="3">
        <v>3.5122364877770984E-4</v>
      </c>
      <c r="AP21" s="3">
        <v>7.2126930769211839E-4</v>
      </c>
      <c r="AQ21" s="3">
        <v>8.2207501113629178E-4</v>
      </c>
      <c r="AR21" s="3">
        <v>5.6493945495583731E-4</v>
      </c>
      <c r="AS21" s="3">
        <v>9.9650631107861543E-4</v>
      </c>
      <c r="AT21" s="3">
        <v>8.7877775329436858E-4</v>
      </c>
      <c r="AU21" s="3">
        <v>8.2850909738674261E-4</v>
      </c>
      <c r="AV21" s="3">
        <v>3.9758242891652085E-3</v>
      </c>
      <c r="AW21" s="3">
        <v>1.0706719136530651E-3</v>
      </c>
      <c r="AX21" s="3">
        <v>8.6993380371236384E-4</v>
      </c>
      <c r="AY21" s="3">
        <v>9.7528737314989122E-4</v>
      </c>
      <c r="AZ21" s="3">
        <v>9.8778074312844133E-4</v>
      </c>
      <c r="BA21" s="3">
        <v>5.9151479003238805E-4</v>
      </c>
      <c r="BB21" s="3">
        <v>6.6645582128255221E-4</v>
      </c>
      <c r="BC21" s="3">
        <v>8.1709063765345036E-4</v>
      </c>
      <c r="BD21" s="3">
        <v>5.7665712327259477E-4</v>
      </c>
      <c r="BE21" s="3">
        <v>6.5698450568119071E-4</v>
      </c>
      <c r="BF21" s="3">
        <v>-9.2036140335652883E-3</v>
      </c>
      <c r="BG21" s="3">
        <v>6.3801879189817612E-4</v>
      </c>
      <c r="BH21" s="3">
        <v>6.4217712423730866E-4</v>
      </c>
      <c r="BI21" s="3">
        <v>-5.4750701767181109E-4</v>
      </c>
      <c r="BJ21" s="3">
        <v>5.0861541361157947E-4</v>
      </c>
      <c r="BK21" s="3">
        <v>5.3408524737630358E-4</v>
      </c>
      <c r="BL21" s="3">
        <v>7.1867730665187146E-4</v>
      </c>
      <c r="BM21" s="3">
        <v>8.9067605490322777E-4</v>
      </c>
      <c r="BN21" s="3">
        <v>-1.8487523278931661E-5</v>
      </c>
      <c r="BO21" s="3">
        <v>8.9713809581781767E-4</v>
      </c>
      <c r="BP21" s="3">
        <v>9.2974378671151214E-4</v>
      </c>
      <c r="BQ21" s="3">
        <v>3.4616294366185407E-4</v>
      </c>
      <c r="BR21" s="3">
        <v>1.5544644144060982E-4</v>
      </c>
      <c r="BS21" s="3">
        <v>3.1174064106509469E-4</v>
      </c>
      <c r="BT21" s="3">
        <v>5.2309937684968943E-4</v>
      </c>
      <c r="BU21" s="3">
        <v>2.568464398080561E-4</v>
      </c>
      <c r="BV21" s="3">
        <v>6.000602287012935E-4</v>
      </c>
      <c r="BW21" s="3">
        <v>5.6655785561177119E-4</v>
      </c>
      <c r="BX21" s="3">
        <v>9.346430674663786E-4</v>
      </c>
      <c r="BY21" s="3">
        <v>-3.8365441677068457E-4</v>
      </c>
      <c r="BZ21" s="3">
        <v>9.1578058474262036E-4</v>
      </c>
      <c r="CA21" s="3">
        <v>7.1518883890830942E-4</v>
      </c>
      <c r="CB21" s="3">
        <v>8.769466038878182E-4</v>
      </c>
      <c r="CC21" s="3">
        <v>8.8178593593157828E-4</v>
      </c>
      <c r="CD21" s="3">
        <v>8.6263456517010617E-4</v>
      </c>
      <c r="CE21" s="3">
        <v>5.7209502823836189E-3</v>
      </c>
      <c r="CF21" s="3">
        <v>-2.9734876165247059E-2</v>
      </c>
      <c r="CG21" s="3">
        <v>1.8962243717460581E-2</v>
      </c>
      <c r="CH21" s="3">
        <v>-4.0446973975027944E-4</v>
      </c>
      <c r="CI21" s="3">
        <v>7.9829489792770936E-4</v>
      </c>
      <c r="CJ21" s="3">
        <v>3.9588355273045828E-4</v>
      </c>
      <c r="CK21" s="3">
        <v>6.6936300187392384E-4</v>
      </c>
      <c r="CL21" s="3">
        <v>9.7276121657463577E-4</v>
      </c>
      <c r="CM21" s="3">
        <v>9.2100002011874516E-4</v>
      </c>
      <c r="CN21" s="3">
        <v>8.8293751468238035E-4</v>
      </c>
    </row>
    <row r="22" spans="1:92" x14ac:dyDescent="0.25">
      <c r="A22" s="4">
        <v>45352</v>
      </c>
      <c r="B22" s="3">
        <v>6.4991606524333889E-4</v>
      </c>
      <c r="C22" s="3">
        <v>5.8065519346950367E-4</v>
      </c>
      <c r="D22" s="3">
        <v>6.7324773258192749E-4</v>
      </c>
      <c r="E22" s="3">
        <v>6.1980668304584263E-4</v>
      </c>
      <c r="F22" s="3">
        <v>8.1167854108588067E-4</v>
      </c>
      <c r="G22" s="3">
        <v>8.1080887325146733E-4</v>
      </c>
      <c r="H22" s="3">
        <v>6.9541770496361899E-4</v>
      </c>
      <c r="I22" s="3">
        <v>6.2260487648035934E-4</v>
      </c>
      <c r="J22" s="3">
        <v>2.5280061879096039E-4</v>
      </c>
      <c r="K22" s="3">
        <v>5.4965110126414807E-4</v>
      </c>
      <c r="L22" s="3">
        <v>7.7312475967894478E-4</v>
      </c>
      <c r="M22" s="3">
        <v>7.7956264204703807E-4</v>
      </c>
      <c r="N22" s="3">
        <v>7.5512314797343549E-4</v>
      </c>
      <c r="O22" s="3">
        <v>7.6646856969375676E-4</v>
      </c>
      <c r="P22" s="3">
        <v>5.2338337101920374E-4</v>
      </c>
      <c r="Q22" s="3">
        <v>6.9921648312187834E-4</v>
      </c>
      <c r="R22" s="3">
        <v>7.6992222281813127E-4</v>
      </c>
      <c r="S22" s="3">
        <v>6.2736106207705866E-4</v>
      </c>
      <c r="T22" s="3">
        <v>4.6746997829294479E-4</v>
      </c>
      <c r="U22" s="3">
        <v>5.9719029087279552E-4</v>
      </c>
      <c r="V22" s="3">
        <v>6.1793086417893939E-4</v>
      </c>
      <c r="W22" s="3">
        <v>6.3891577844432668E-4</v>
      </c>
      <c r="X22" s="3">
        <v>5.1134510581607451E-4</v>
      </c>
      <c r="Y22" s="3">
        <v>9.0904105166034199E-4</v>
      </c>
      <c r="Z22" s="3">
        <v>6.75085201447434E-4</v>
      </c>
      <c r="AA22" s="3">
        <v>-4.7335782141657567E-3</v>
      </c>
      <c r="AB22" s="3">
        <v>5.8221147455395084E-4</v>
      </c>
      <c r="AC22" s="3">
        <v>1.8877080988819461E-3</v>
      </c>
      <c r="AD22" s="3">
        <v>-8.5721257013289254E-3</v>
      </c>
      <c r="AE22" s="3">
        <v>7.3182948889516375E-4</v>
      </c>
      <c r="AF22" s="3">
        <v>6.5822583212904462E-4</v>
      </c>
      <c r="AG22" s="3">
        <v>-2.399877905113168E-2</v>
      </c>
      <c r="AH22" s="3">
        <v>7.8485295171359937E-4</v>
      </c>
      <c r="AI22" s="3">
        <v>4.9820240380071823E-4</v>
      </c>
      <c r="AJ22" s="3">
        <v>7.8379612629309037E-4</v>
      </c>
      <c r="AK22" s="3">
        <v>8.9846136655324926E-4</v>
      </c>
      <c r="AL22" s="3">
        <v>7.618498899604198E-4</v>
      </c>
      <c r="AM22" s="3">
        <v>7.9113300530275765E-4</v>
      </c>
      <c r="AN22" s="3">
        <v>8.3477276739496453E-4</v>
      </c>
      <c r="AO22" s="3">
        <v>3.5110033403751295E-4</v>
      </c>
      <c r="AP22" s="3">
        <v>7.207494532330827E-4</v>
      </c>
      <c r="AQ22" s="3">
        <v>8.2139975892037143E-4</v>
      </c>
      <c r="AR22" s="3">
        <v>5.6462047857053221E-4</v>
      </c>
      <c r="AS22" s="3">
        <v>9.9551427482102994E-4</v>
      </c>
      <c r="AT22" s="3">
        <v>8.780061809954276E-4</v>
      </c>
      <c r="AU22" s="3">
        <v>8.2782323830277171E-4</v>
      </c>
      <c r="AV22" s="3">
        <v>7.9290987277003122E-3</v>
      </c>
      <c r="AW22" s="3">
        <v>1.0695268013460879E-3</v>
      </c>
      <c r="AX22" s="3">
        <v>8.6917767667005208E-4</v>
      </c>
      <c r="AY22" s="3">
        <v>9.7433711446526239E-4</v>
      </c>
      <c r="AZ22" s="3">
        <v>9.8680599516920431E-4</v>
      </c>
      <c r="BA22" s="3">
        <v>5.9116510712797776E-4</v>
      </c>
      <c r="BB22" s="3">
        <v>6.6601195373894306E-4</v>
      </c>
      <c r="BC22" s="3">
        <v>8.1642354561783925E-4</v>
      </c>
      <c r="BD22" s="3">
        <v>5.7632478148228472E-4</v>
      </c>
      <c r="BE22" s="3">
        <v>6.5655316042745326E-4</v>
      </c>
      <c r="BF22" s="3">
        <v>6.7653681953117051E-4</v>
      </c>
      <c r="BG22" s="3">
        <v>6.3761198347078718E-4</v>
      </c>
      <c r="BH22" s="3">
        <v>6.4176499743662241E-4</v>
      </c>
      <c r="BI22" s="3">
        <v>-5.4780694581901823E-4</v>
      </c>
      <c r="BJ22" s="3">
        <v>5.0835685547911957E-4</v>
      </c>
      <c r="BK22" s="3">
        <v>5.3380015258985836E-4</v>
      </c>
      <c r="BL22" s="3">
        <v>7.1816118050893607E-4</v>
      </c>
      <c r="BM22" s="3">
        <v>8.8988345701634941E-4</v>
      </c>
      <c r="BN22" s="3">
        <v>-1.8487865073635312E-5</v>
      </c>
      <c r="BO22" s="3">
        <v>8.963339604752818E-4</v>
      </c>
      <c r="BP22" s="3">
        <v>9.2888016614844915E-4</v>
      </c>
      <c r="BQ22" s="3">
        <v>3.4604315634445548E-4</v>
      </c>
      <c r="BR22" s="3">
        <v>1.5542228160025928E-4</v>
      </c>
      <c r="BS22" s="3">
        <v>3.1164348912393613E-4</v>
      </c>
      <c r="BT22" s="3">
        <v>5.2282588695407028E-4</v>
      </c>
      <c r="BU22" s="3">
        <v>2.5678048665445097E-4</v>
      </c>
      <c r="BV22" s="3">
        <v>5.9970037235879126E-4</v>
      </c>
      <c r="BW22" s="3">
        <v>5.6623704956337839E-4</v>
      </c>
      <c r="BX22" s="3">
        <v>9.3377032550479022E-4</v>
      </c>
      <c r="BY22" s="3">
        <v>-3.8380166397422588E-4</v>
      </c>
      <c r="BZ22" s="3">
        <v>9.1494269798375605E-4</v>
      </c>
      <c r="CA22" s="3">
        <v>7.1467770938715702E-4</v>
      </c>
      <c r="CB22" s="3">
        <v>8.7617824235364239E-4</v>
      </c>
      <c r="CC22" s="3">
        <v>8.8100907452037802E-4</v>
      </c>
      <c r="CD22" s="3">
        <v>8.6189106814327232E-4</v>
      </c>
      <c r="CE22" s="3">
        <v>5.7326855583603731E-3</v>
      </c>
      <c r="CF22" s="3">
        <v>-3.0646135200373736E-2</v>
      </c>
      <c r="CG22" s="3">
        <v>4.1734875419141559E-5</v>
      </c>
      <c r="CH22" s="3">
        <v>-4.0463340171692508E-4</v>
      </c>
      <c r="CI22" s="3">
        <v>7.9765813151078113E-4</v>
      </c>
      <c r="CJ22" s="3">
        <v>3.9572689096312175E-4</v>
      </c>
      <c r="CK22" s="3">
        <v>6.6891525475076818E-4</v>
      </c>
      <c r="CL22" s="3">
        <v>9.7181587178485351E-4</v>
      </c>
      <c r="CM22" s="3">
        <v>9.2015255959321252E-4</v>
      </c>
      <c r="CN22" s="3">
        <v>8.821586237393042E-4</v>
      </c>
    </row>
    <row r="23" spans="1:92" x14ac:dyDescent="0.25">
      <c r="A23" s="4">
        <v>45383</v>
      </c>
      <c r="B23" s="3">
        <v>6.4949394869207033E-4</v>
      </c>
      <c r="C23" s="3">
        <v>5.8031822867610217E-4</v>
      </c>
      <c r="D23" s="3">
        <v>6.7279477502513174E-4</v>
      </c>
      <c r="E23" s="3">
        <v>6.1942276067905588E-4</v>
      </c>
      <c r="F23" s="3">
        <v>8.1102025334955918E-4</v>
      </c>
      <c r="G23" s="3">
        <v>8.1015199482536993E-4</v>
      </c>
      <c r="H23" s="3">
        <v>6.9493443525359133E-4</v>
      </c>
      <c r="I23" s="3">
        <v>6.2221748084256845E-4</v>
      </c>
      <c r="J23" s="3">
        <v>2.5273672678993719E-4</v>
      </c>
      <c r="K23" s="3">
        <v>5.4934915089854819E-4</v>
      </c>
      <c r="L23" s="3">
        <v>7.7252749954159761E-4</v>
      </c>
      <c r="M23" s="3">
        <v>7.7895539751926535E-4</v>
      </c>
      <c r="N23" s="3">
        <v>7.5455336725926969E-4</v>
      </c>
      <c r="O23" s="3">
        <v>7.6588154556112009E-4</v>
      </c>
      <c r="P23" s="3">
        <v>5.2310958416157405E-4</v>
      </c>
      <c r="Q23" s="3">
        <v>6.9872792104197501E-4</v>
      </c>
      <c r="R23" s="3">
        <v>7.6932989863243151E-4</v>
      </c>
      <c r="S23" s="3">
        <v>6.2696772693793257E-4</v>
      </c>
      <c r="T23" s="3">
        <v>4.672515522199383E-4</v>
      </c>
      <c r="U23" s="3">
        <v>5.9683386748177192E-4</v>
      </c>
      <c r="V23" s="3">
        <v>6.1754926143020583E-4</v>
      </c>
      <c r="W23" s="3">
        <v>6.3850782571961417E-4</v>
      </c>
      <c r="X23" s="3">
        <v>5.1108376563413493E-4</v>
      </c>
      <c r="Y23" s="3">
        <v>9.082154465356318E-4</v>
      </c>
      <c r="Z23" s="3">
        <v>6.7462976887422421E-4</v>
      </c>
      <c r="AA23" s="3">
        <v>1.0207789820388946E-2</v>
      </c>
      <c r="AB23" s="3">
        <v>5.8187270159026916E-4</v>
      </c>
      <c r="AC23" s="3">
        <v>-8.2400307483314617E-3</v>
      </c>
      <c r="AD23" s="3">
        <v>9.0830360866234194E-4</v>
      </c>
      <c r="AE23" s="3">
        <v>7.3129430615703761E-4</v>
      </c>
      <c r="AF23" s="3">
        <v>6.5779285587930225E-4</v>
      </c>
      <c r="AG23" s="3">
        <v>-6.4756770474099223E-3</v>
      </c>
      <c r="AH23" s="3">
        <v>7.842374406434871E-4</v>
      </c>
      <c r="AI23" s="3">
        <v>4.9795432176069632E-4</v>
      </c>
      <c r="AJ23" s="3">
        <v>7.8318227106288774E-4</v>
      </c>
      <c r="AK23" s="3">
        <v>8.9765485834258918E-4</v>
      </c>
      <c r="AL23" s="3">
        <v>7.6126991655822707E-4</v>
      </c>
      <c r="AM23" s="3">
        <v>7.9050760864252112E-4</v>
      </c>
      <c r="AN23" s="3">
        <v>8.3407650304434533E-4</v>
      </c>
      <c r="AO23" s="3">
        <v>3.5097710585829667E-4</v>
      </c>
      <c r="AP23" s="3">
        <v>7.2023034760371196E-4</v>
      </c>
      <c r="AQ23" s="3">
        <v>8.207256150980502E-4</v>
      </c>
      <c r="AR23" s="3">
        <v>5.6430186218303646E-4</v>
      </c>
      <c r="AS23" s="3">
        <v>9.9452421177148587E-4</v>
      </c>
      <c r="AT23" s="3">
        <v>8.7723596239808188E-4</v>
      </c>
      <c r="AU23" s="3">
        <v>8.2713851381965853E-4</v>
      </c>
      <c r="AV23" s="3">
        <v>-1.0126802479827335E-3</v>
      </c>
      <c r="AW23" s="3">
        <v>1.0683841358785084E-3</v>
      </c>
      <c r="AX23" s="3">
        <v>8.6842286290367277E-4</v>
      </c>
      <c r="AY23" s="3">
        <v>9.7338870572238889E-4</v>
      </c>
      <c r="AZ23" s="3">
        <v>9.8583316908773533E-4</v>
      </c>
      <c r="BA23" s="3">
        <v>5.9081583742037758E-4</v>
      </c>
      <c r="BB23" s="3">
        <v>6.6556867704381517E-4</v>
      </c>
      <c r="BC23" s="3">
        <v>8.1575754195317707E-4</v>
      </c>
      <c r="BD23" s="3">
        <v>5.7599282254461315E-4</v>
      </c>
      <c r="BE23" s="3">
        <v>6.5612238120471567E-4</v>
      </c>
      <c r="BF23" s="3">
        <v>9.5172572501236452E-3</v>
      </c>
      <c r="BG23" s="3">
        <v>6.3720569348468814E-4</v>
      </c>
      <c r="BH23" s="3">
        <v>6.4135339927418045E-4</v>
      </c>
      <c r="BI23" s="3">
        <v>-5.4810720275177971E-4</v>
      </c>
      <c r="BJ23" s="3">
        <v>5.0809856009292886E-4</v>
      </c>
      <c r="BK23" s="3">
        <v>5.3351536200807459E-4</v>
      </c>
      <c r="BL23" s="3">
        <v>7.1764579515742888E-4</v>
      </c>
      <c r="BM23" s="3">
        <v>8.8909226851474621E-4</v>
      </c>
      <c r="BN23" s="3">
        <v>-1.848820688121755E-5</v>
      </c>
      <c r="BO23" s="3">
        <v>8.9553126538954864E-4</v>
      </c>
      <c r="BP23" s="3">
        <v>9.2801814849652331E-4</v>
      </c>
      <c r="BQ23" s="3">
        <v>3.4592345190120888E-4</v>
      </c>
      <c r="BR23" s="3">
        <v>1.5539812926834706E-4</v>
      </c>
      <c r="BS23" s="3">
        <v>3.1154639771746595E-4</v>
      </c>
      <c r="BT23" s="3">
        <v>5.2255268288403656E-4</v>
      </c>
      <c r="BU23" s="3">
        <v>2.5671456736287013E-4</v>
      </c>
      <c r="BV23" s="3">
        <v>5.9934094736946442E-4</v>
      </c>
      <c r="BW23" s="3">
        <v>5.6591660661364784E-4</v>
      </c>
      <c r="BX23" s="3">
        <v>9.3289921190420344E-4</v>
      </c>
      <c r="BY23" s="3">
        <v>-3.8394902424865318E-4</v>
      </c>
      <c r="BZ23" s="3">
        <v>9.141063430597729E-4</v>
      </c>
      <c r="CA23" s="3">
        <v>7.1416730993001387E-4</v>
      </c>
      <c r="CB23" s="3">
        <v>8.7541122608425503E-4</v>
      </c>
      <c r="CC23" s="3">
        <v>8.8023358074784674E-4</v>
      </c>
      <c r="CD23" s="3">
        <v>8.6114885163968147E-4</v>
      </c>
      <c r="CE23" s="3">
        <v>4.4107063669708957E-2</v>
      </c>
      <c r="CF23" s="3">
        <v>-3.161501316829074E-2</v>
      </c>
      <c r="CG23" s="3">
        <v>5.8810073531807561E-3</v>
      </c>
      <c r="CH23" s="3">
        <v>-4.0479719618358168E-4</v>
      </c>
      <c r="CI23" s="3">
        <v>7.970223801283538E-4</v>
      </c>
      <c r="CJ23" s="3">
        <v>3.9557035313708688E-4</v>
      </c>
      <c r="CK23" s="3">
        <v>6.6846810623721886E-4</v>
      </c>
      <c r="CL23" s="3">
        <v>9.7087236261339527E-4</v>
      </c>
      <c r="CM23" s="3">
        <v>9.1930665721928762E-4</v>
      </c>
      <c r="CN23" s="3">
        <v>8.8138110579594198E-4</v>
      </c>
    </row>
    <row r="24" spans="1:92" x14ac:dyDescent="0.25">
      <c r="A24" s="4">
        <v>45413</v>
      </c>
      <c r="B24" s="3">
        <v>6.490723801089171E-4</v>
      </c>
      <c r="C24" s="3">
        <v>5.7998165474959507E-4</v>
      </c>
      <c r="D24" s="3">
        <v>6.7234242655378473E-4</v>
      </c>
      <c r="E24" s="3">
        <v>6.1903931363849196E-4</v>
      </c>
      <c r="F24" s="3">
        <v>8.103630325178024E-4</v>
      </c>
      <c r="G24" s="3">
        <v>8.0949617988057554E-4</v>
      </c>
      <c r="H24" s="3">
        <v>6.9445183675864719E-4</v>
      </c>
      <c r="I24" s="3">
        <v>6.2183056699383066E-4</v>
      </c>
      <c r="J24" s="3">
        <v>2.5267286707664205E-4</v>
      </c>
      <c r="K24" s="3">
        <v>5.4904753210283097E-4</v>
      </c>
      <c r="L24" s="3">
        <v>7.7193116149154584E-4</v>
      </c>
      <c r="M24" s="3">
        <v>7.7834909828822241E-4</v>
      </c>
      <c r="N24" s="3">
        <v>7.5398444575669465E-4</v>
      </c>
      <c r="O24" s="3">
        <v>7.6529541992198524E-4</v>
      </c>
      <c r="P24" s="3">
        <v>5.2283608359537936E-4</v>
      </c>
      <c r="Q24" s="3">
        <v>6.9824004122986949E-4</v>
      </c>
      <c r="R24" s="3">
        <v>7.687384851315926E-4</v>
      </c>
      <c r="S24" s="3">
        <v>6.2657488470674316E-4</v>
      </c>
      <c r="T24" s="3">
        <v>4.6703333017150683E-4</v>
      </c>
      <c r="U24" s="3">
        <v>5.9647786928818114E-4</v>
      </c>
      <c r="V24" s="3">
        <v>6.1716812970735724E-4</v>
      </c>
      <c r="W24" s="3">
        <v>6.3810039362488524E-4</v>
      </c>
      <c r="X24" s="3">
        <v>5.1082269244862033E-4</v>
      </c>
      <c r="Y24" s="3">
        <v>9.0739133970485497E-4</v>
      </c>
      <c r="Z24" s="3">
        <v>6.7417495038313291E-4</v>
      </c>
      <c r="AA24" s="3">
        <v>2.6852939816479848E-2</v>
      </c>
      <c r="AB24" s="3">
        <v>5.8153432264296256E-4</v>
      </c>
      <c r="AC24" s="3">
        <v>9.9644186639968879E-4</v>
      </c>
      <c r="AD24" s="3">
        <v>-1.3091880979359538E-2</v>
      </c>
      <c r="AE24" s="3">
        <v>7.307599055987879E-4</v>
      </c>
      <c r="AF24" s="3">
        <v>6.573604488722129E-4</v>
      </c>
      <c r="AG24" s="3">
        <v>1.4032339113652315E-2</v>
      </c>
      <c r="AH24" s="3">
        <v>7.8362289423061782E-4</v>
      </c>
      <c r="AI24" s="3">
        <v>4.9770648666447315E-4</v>
      </c>
      <c r="AJ24" s="3">
        <v>7.8256937660126091E-4</v>
      </c>
      <c r="AK24" s="3">
        <v>8.9684979676540877E-4</v>
      </c>
      <c r="AL24" s="3">
        <v>7.6069082551688538E-4</v>
      </c>
      <c r="AM24" s="3">
        <v>7.8988319996309286E-4</v>
      </c>
      <c r="AN24" s="3">
        <v>8.3338139920119403E-4</v>
      </c>
      <c r="AO24" s="3">
        <v>3.5085396414924475E-4</v>
      </c>
      <c r="AP24" s="3">
        <v>7.1971198918774348E-4</v>
      </c>
      <c r="AQ24" s="3">
        <v>8.200525769423983E-4</v>
      </c>
      <c r="AR24" s="3">
        <v>5.6398360518450374E-4</v>
      </c>
      <c r="AS24" s="3">
        <v>9.9353611604890979E-4</v>
      </c>
      <c r="AT24" s="3">
        <v>8.764670939434005E-4</v>
      </c>
      <c r="AU24" s="3">
        <v>8.26454921124542E-4</v>
      </c>
      <c r="AV24" s="3">
        <v>8.7334181300653402E-3</v>
      </c>
      <c r="AW24" s="3">
        <v>1.0672439094165931E-3</v>
      </c>
      <c r="AX24" s="3">
        <v>8.676693589948492E-4</v>
      </c>
      <c r="AY24" s="3">
        <v>9.7244214152469866E-4</v>
      </c>
      <c r="AZ24" s="3">
        <v>9.8486225920546566E-4</v>
      </c>
      <c r="BA24" s="3">
        <v>5.9046698017706234E-4</v>
      </c>
      <c r="BB24" s="3">
        <v>6.6512599001877781E-4</v>
      </c>
      <c r="BC24" s="3">
        <v>8.1509262399781512E-4</v>
      </c>
      <c r="BD24" s="3">
        <v>5.7566124579877531E-4</v>
      </c>
      <c r="BE24" s="3">
        <v>6.5569216689875809E-4</v>
      </c>
      <c r="BF24" s="3">
        <v>1.6168082107261394E-2</v>
      </c>
      <c r="BG24" s="3">
        <v>6.3679992094933802E-4</v>
      </c>
      <c r="BH24" s="3">
        <v>6.409423287325744E-4</v>
      </c>
      <c r="BI24" s="3">
        <v>-5.4840778901088516E-4</v>
      </c>
      <c r="BJ24" s="3">
        <v>5.0784052705243887E-4</v>
      </c>
      <c r="BK24" s="3">
        <v>5.332308751446746E-4</v>
      </c>
      <c r="BL24" s="3">
        <v>7.1713114900373576E-4</v>
      </c>
      <c r="BM24" s="3">
        <v>8.8830248564275571E-4</v>
      </c>
      <c r="BN24" s="3">
        <v>-1.8488548701345309E-5</v>
      </c>
      <c r="BO24" s="3">
        <v>8.9473000669437752E-4</v>
      </c>
      <c r="BP24" s="3">
        <v>9.2715772929707896E-4</v>
      </c>
      <c r="BQ24" s="3">
        <v>3.4580383024662709E-4</v>
      </c>
      <c r="BR24" s="3">
        <v>1.5537398444176453E-4</v>
      </c>
      <c r="BS24" s="3">
        <v>3.1144936678928481E-4</v>
      </c>
      <c r="BT24" s="3">
        <v>5.2227976419216837E-4</v>
      </c>
      <c r="BU24" s="3">
        <v>2.5664868190755641E-4</v>
      </c>
      <c r="BV24" s="3">
        <v>5.9898195295815526E-4</v>
      </c>
      <c r="BW24" s="3">
        <v>5.6559652614684985E-4</v>
      </c>
      <c r="BX24" s="3">
        <v>9.3202972211114954E-4</v>
      </c>
      <c r="BY24" s="3">
        <v>-3.8409649772419563E-4</v>
      </c>
      <c r="BZ24" s="3">
        <v>9.1327151577447196E-4</v>
      </c>
      <c r="CA24" s="3">
        <v>7.1365763897390799E-4</v>
      </c>
      <c r="CB24" s="3">
        <v>8.7464555154936896E-4</v>
      </c>
      <c r="CC24" s="3">
        <v>8.7945945100620371E-4</v>
      </c>
      <c r="CD24" s="3">
        <v>8.6040791235419967E-4</v>
      </c>
      <c r="CE24" s="3">
        <v>-5.0179487867534789E-2</v>
      </c>
      <c r="CF24" s="3">
        <v>-3.2647153351402447E-2</v>
      </c>
      <c r="CG24" s="3">
        <v>-7.4480203506654963E-4</v>
      </c>
      <c r="CH24" s="3">
        <v>-4.0496112331078749E-4</v>
      </c>
      <c r="CI24" s="3">
        <v>7.9638764135503415E-4</v>
      </c>
      <c r="CJ24" s="3">
        <v>3.954139391055822E-4</v>
      </c>
      <c r="CK24" s="3">
        <v>6.6802155513334682E-4</v>
      </c>
      <c r="CL24" s="3">
        <v>9.6993068371875601E-4</v>
      </c>
      <c r="CM24" s="3">
        <v>9.184623087046262E-4</v>
      </c>
      <c r="CN24" s="3">
        <v>8.8060495722497301E-4</v>
      </c>
    </row>
    <row r="25" spans="1:92" x14ac:dyDescent="0.25">
      <c r="A25" s="4">
        <v>45444</v>
      </c>
      <c r="B25" s="3">
        <v>6.4865135842762101E-4</v>
      </c>
      <c r="C25" s="3">
        <v>5.7964547101008179E-4</v>
      </c>
      <c r="D25" s="3">
        <v>6.7189068593931367E-4</v>
      </c>
      <c r="E25" s="3">
        <v>6.1865634104174561E-4</v>
      </c>
      <c r="F25" s="3">
        <v>8.0970687599823954E-4</v>
      </c>
      <c r="G25" s="3">
        <v>8.0884142583625973E-4</v>
      </c>
      <c r="H25" s="3">
        <v>6.9396990808145986E-4</v>
      </c>
      <c r="I25" s="3">
        <v>6.2144413403575349E-4</v>
      </c>
      <c r="J25" s="3">
        <v>2.5260903962620596E-4</v>
      </c>
      <c r="K25" s="3">
        <v>5.4874624433187691E-4</v>
      </c>
      <c r="L25" s="3">
        <v>7.7133574339494082E-4</v>
      </c>
      <c r="M25" s="3">
        <v>7.7774374214767406E-4</v>
      </c>
      <c r="N25" s="3">
        <v>7.5341638152415236E-4</v>
      </c>
      <c r="O25" s="3">
        <v>7.6471019071555624E-4</v>
      </c>
      <c r="P25" s="3">
        <v>5.2256286887164549E-4</v>
      </c>
      <c r="Q25" s="3">
        <v>6.9775284225648271E-4</v>
      </c>
      <c r="R25" s="3">
        <v>7.6814798021684894E-4</v>
      </c>
      <c r="S25" s="3">
        <v>6.261825344573424E-4</v>
      </c>
      <c r="T25" s="3">
        <v>4.6681531186187897E-4</v>
      </c>
      <c r="U25" s="3">
        <v>5.9612229553152041E-4</v>
      </c>
      <c r="V25" s="3">
        <v>6.1678746813931262E-4</v>
      </c>
      <c r="W25" s="3">
        <v>6.3769348116338165E-4</v>
      </c>
      <c r="X25" s="3">
        <v>5.1056188585163476E-4</v>
      </c>
      <c r="Y25" s="3">
        <v>9.0656872709282688E-4</v>
      </c>
      <c r="Z25" s="3">
        <v>6.7372074473359689E-4</v>
      </c>
      <c r="AA25" s="3">
        <v>-1.2653226003337736E-2</v>
      </c>
      <c r="AB25" s="3">
        <v>5.81196337024803E-4</v>
      </c>
      <c r="AC25" s="3">
        <v>5.6406942626099354E-3</v>
      </c>
      <c r="AD25" s="3">
        <v>-3.0879337905279636E-3</v>
      </c>
      <c r="AE25" s="3">
        <v>7.3022628550734048E-4</v>
      </c>
      <c r="AF25" s="3">
        <v>6.5692860998622926E-4</v>
      </c>
      <c r="AG25" s="3">
        <v>1.7873620384424749E-2</v>
      </c>
      <c r="AH25" s="3">
        <v>7.8300931020858222E-4</v>
      </c>
      <c r="AI25" s="3">
        <v>4.9745889814412081E-4</v>
      </c>
      <c r="AJ25" s="3">
        <v>7.8195744065423511E-4</v>
      </c>
      <c r="AK25" s="3">
        <v>8.9604617793281882E-4</v>
      </c>
      <c r="AL25" s="3">
        <v>7.6011261482467063E-4</v>
      </c>
      <c r="AM25" s="3">
        <v>7.8925977692478888E-4</v>
      </c>
      <c r="AN25" s="3">
        <v>8.3268745296649627E-4</v>
      </c>
      <c r="AO25" s="3">
        <v>3.5073090881976299E-4</v>
      </c>
      <c r="AP25" s="3">
        <v>7.191943763724673E-4</v>
      </c>
      <c r="AQ25" s="3">
        <v>8.1938064173558978E-4</v>
      </c>
      <c r="AR25" s="3">
        <v>5.6366570696675389E-4</v>
      </c>
      <c r="AS25" s="3">
        <v>9.9254998179487686E-4</v>
      </c>
      <c r="AT25" s="3">
        <v>8.7569957208422089E-4</v>
      </c>
      <c r="AU25" s="3">
        <v>8.2577245741344285E-4</v>
      </c>
      <c r="AV25" s="3">
        <v>4.5878101262353255E-4</v>
      </c>
      <c r="AW25" s="3">
        <v>1.0661061141594708E-3</v>
      </c>
      <c r="AX25" s="3">
        <v>8.6691716153697307E-4</v>
      </c>
      <c r="AY25" s="3">
        <v>9.7149741649671384E-4</v>
      </c>
      <c r="AZ25" s="3">
        <v>9.8389325986691922E-4</v>
      </c>
      <c r="BA25" s="3">
        <v>5.9011853466794939E-4</v>
      </c>
      <c r="BB25" s="3">
        <v>6.6468389148743867E-4</v>
      </c>
      <c r="BC25" s="3">
        <v>8.1442878909876448E-4</v>
      </c>
      <c r="BD25" s="3">
        <v>5.7533005058529874E-4</v>
      </c>
      <c r="BE25" s="3">
        <v>6.5526251639957955E-4</v>
      </c>
      <c r="BF25" s="3">
        <v>4.2805369360837897E-2</v>
      </c>
      <c r="BG25" s="3">
        <v>6.3639466487708241E-4</v>
      </c>
      <c r="BH25" s="3">
        <v>6.4053178479905881E-4</v>
      </c>
      <c r="BI25" s="3">
        <v>-5.4870870513878955E-4</v>
      </c>
      <c r="BJ25" s="3">
        <v>5.0758275595796931E-4</v>
      </c>
      <c r="BK25" s="3">
        <v>5.3294669151404683E-4</v>
      </c>
      <c r="BL25" s="3">
        <v>7.1661724045890551E-4</v>
      </c>
      <c r="BM25" s="3">
        <v>8.8751410465737202E-4</v>
      </c>
      <c r="BN25" s="3">
        <v>-1.8488890534129609E-5</v>
      </c>
      <c r="BO25" s="3">
        <v>8.9393018053796069E-4</v>
      </c>
      <c r="BP25" s="3">
        <v>9.2629890410877991E-4</v>
      </c>
      <c r="BQ25" s="3">
        <v>3.456842912945568E-4</v>
      </c>
      <c r="BR25" s="3">
        <v>1.5534984711718103E-4</v>
      </c>
      <c r="BS25" s="3">
        <v>3.1135239628254929E-4</v>
      </c>
      <c r="BT25" s="3">
        <v>5.2200713043104585E-4</v>
      </c>
      <c r="BU25" s="3">
        <v>2.565828302620865E-4</v>
      </c>
      <c r="BV25" s="3">
        <v>5.9862338835192652E-4</v>
      </c>
      <c r="BW25" s="3">
        <v>5.6527680754814291E-4</v>
      </c>
      <c r="BX25" s="3">
        <v>9.3116185158903519E-4</v>
      </c>
      <c r="BY25" s="3">
        <v>-3.8424408453130443E-4</v>
      </c>
      <c r="BZ25" s="3">
        <v>9.1243821194542107E-4</v>
      </c>
      <c r="CA25" s="3">
        <v>7.1314869496008626E-4</v>
      </c>
      <c r="CB25" s="3">
        <v>8.7388121523224171E-4</v>
      </c>
      <c r="CC25" s="3">
        <v>8.7868668169965858E-4</v>
      </c>
      <c r="CD25" s="3">
        <v>8.5966824699212907E-4</v>
      </c>
      <c r="CE25" s="3">
        <v>5.7185347375892093E-3</v>
      </c>
      <c r="CF25" s="3">
        <v>-3.3748960851781029E-2</v>
      </c>
      <c r="CG25" s="3">
        <v>3.2782028523805629E-3</v>
      </c>
      <c r="CH25" s="3">
        <v>-4.0512518326007996E-4</v>
      </c>
      <c r="CI25" s="3">
        <v>7.9575391277320051E-4</v>
      </c>
      <c r="CJ25" s="3">
        <v>3.9525764872161417E-4</v>
      </c>
      <c r="CK25" s="3">
        <v>6.6757560024277574E-4</v>
      </c>
      <c r="CL25" s="3">
        <v>9.6899082978096907E-4</v>
      </c>
      <c r="CM25" s="3">
        <v>9.1761950977109485E-4</v>
      </c>
      <c r="CN25" s="3">
        <v>8.7983017441195521E-4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9910E-115B-4F71-9F30-660D4D7E64AD}">
  <dimension ref="A1:DE157"/>
  <sheetViews>
    <sheetView topLeftCell="A52" workbookViewId="0">
      <selection activeCell="C103" sqref="C103"/>
    </sheetView>
  </sheetViews>
  <sheetFormatPr defaultRowHeight="15.75" x14ac:dyDescent="0.25"/>
  <cols>
    <col min="1" max="1" width="16" customWidth="1"/>
    <col min="2" max="2" width="7.625" customWidth="1"/>
    <col min="3" max="3" width="9.375" customWidth="1"/>
    <col min="4" max="4" width="10.125" bestFit="1" customWidth="1"/>
    <col min="8" max="9" width="9.625" bestFit="1" customWidth="1"/>
  </cols>
  <sheetData>
    <row r="1" spans="1:109" x14ac:dyDescent="0.25">
      <c r="D1" t="str">
        <f>'Hist Weights'!B1</f>
        <v xml:space="preserve"> Bread</v>
      </c>
      <c r="E1" t="str">
        <f>'Hist Weights'!C1</f>
        <v xml:space="preserve"> Cereals</v>
      </c>
      <c r="F1" t="str">
        <f>'Hist Weights'!D1</f>
        <v xml:space="preserve"> Biscuits and cakes</v>
      </c>
      <c r="G1" t="str">
        <f>'Hist Weights'!E1</f>
        <v xml:space="preserve"> Beef</v>
      </c>
      <c r="H1" t="str">
        <f>'Hist Weights'!F1</f>
        <v xml:space="preserve"> Lamb </v>
      </c>
      <c r="I1" t="str">
        <f>'Hist Weights'!G1</f>
        <v xml:space="preserve"> of which  home-killed lamb</v>
      </c>
      <c r="J1" t="str">
        <f>'Hist Weights'!H1</f>
        <v xml:space="preserve"> Pork</v>
      </c>
      <c r="K1" t="str">
        <f>'Hist Weights'!I1</f>
        <v xml:space="preserve"> Bacon</v>
      </c>
      <c r="L1" t="str">
        <f>'Hist Weights'!J1</f>
        <v xml:space="preserve"> Poultry</v>
      </c>
      <c r="M1" t="str">
        <f>'Hist Weights'!K1</f>
        <v xml:space="preserve"> Other meat</v>
      </c>
      <c r="N1" t="str">
        <f>'Hist Weights'!L1</f>
        <v xml:space="preserve"> Fish</v>
      </c>
      <c r="O1" t="str">
        <f>'Hist Weights'!M1</f>
        <v xml:space="preserve"> of which  fresh fish</v>
      </c>
      <c r="P1" t="str">
        <f>'Hist Weights'!N1</f>
        <v xml:space="preserve"> processed fish</v>
      </c>
      <c r="Q1" t="str">
        <f>'Hist Weights'!O1</f>
        <v xml:space="preserve"> Butter</v>
      </c>
      <c r="R1" t="str">
        <f>'Hist Weights'!P1</f>
        <v xml:space="preserve"> Oils and fats</v>
      </c>
      <c r="S1" t="str">
        <f>'Hist Weights'!Q1</f>
        <v xml:space="preserve"> Cheese</v>
      </c>
      <c r="T1" t="str">
        <f>'Hist Weights'!R1</f>
        <v xml:space="preserve"> Eggs</v>
      </c>
      <c r="U1" t="str">
        <f>'Hist Weights'!S1</f>
        <v xml:space="preserve"> Milk, fresh</v>
      </c>
      <c r="V1" t="str">
        <f>'Hist Weights'!T1</f>
        <v xml:space="preserve"> Milk products</v>
      </c>
      <c r="W1" t="str">
        <f>'Hist Weights'!U1</f>
        <v xml:space="preserve"> Tea</v>
      </c>
      <c r="X1" t="str">
        <f>'Hist Weights'!V1</f>
        <v xml:space="preserve"> Coffee and other hot drinks</v>
      </c>
      <c r="Y1" t="str">
        <f>'Hist Weights'!W1</f>
        <v xml:space="preserve"> Soft drinks</v>
      </c>
      <c r="Z1" t="str">
        <f>'Hist Weights'!X1</f>
        <v xml:space="preserve"> Sugar and preserves</v>
      </c>
      <c r="AA1" t="str">
        <f>'Hist Weights'!Y1</f>
        <v xml:space="preserve"> Sweets and chocolates</v>
      </c>
      <c r="AB1" t="str">
        <f>'Hist Weights'!Z1</f>
        <v xml:space="preserve"> Potatoes</v>
      </c>
      <c r="AC1" t="str">
        <f>'Hist Weights'!AA1</f>
        <v xml:space="preserve"> of which  unprocessed potatoes</v>
      </c>
      <c r="AD1" t="str">
        <f>'Hist Weights'!AB1</f>
        <v xml:space="preserve"> potato products</v>
      </c>
      <c r="AE1" t="str">
        <f>'Hist Weights'!AC1</f>
        <v xml:space="preserve"> Vegetables other than potatoes</v>
      </c>
      <c r="AF1" t="str">
        <f>'Hist Weights'!AD1</f>
        <v xml:space="preserve"> of which  fresh vegetables</v>
      </c>
      <c r="AG1" t="str">
        <f>'Hist Weights'!AE1</f>
        <v xml:space="preserve"> processed vegetables</v>
      </c>
      <c r="AH1" t="str">
        <f>'Hist Weights'!AF1</f>
        <v xml:space="preserve"> Fruit</v>
      </c>
      <c r="AI1" t="str">
        <f>'Hist Weights'!AG1</f>
        <v xml:space="preserve"> of which  fresh fruit</v>
      </c>
      <c r="AJ1" t="str">
        <f>'Hist Weights'!AH1</f>
        <v xml:space="preserve"> processed fruit</v>
      </c>
      <c r="AK1" t="str">
        <f>'Hist Weights'!AI1</f>
        <v xml:space="preserve"> Other foods</v>
      </c>
      <c r="AL1" t="str">
        <f>'Hist Weights'!AJ1</f>
        <v xml:space="preserve"> Restaurant meals</v>
      </c>
      <c r="AM1" t="str">
        <f>'Hist Weights'!AK1</f>
        <v xml:space="preserve"> Canteen meals</v>
      </c>
      <c r="AN1" t="str">
        <f>'Hist Weights'!AL1</f>
        <v xml:space="preserve"> Take-aways and snacks</v>
      </c>
      <c r="AO1" t="str">
        <f>'Hist Weights'!AM1</f>
        <v xml:space="preserve"> Beer</v>
      </c>
      <c r="AP1" t="str">
        <f>'Hist Weights'!AN1</f>
        <v xml:space="preserve"> Beer on sales</v>
      </c>
      <c r="AQ1" t="str">
        <f>'Hist Weights'!AO1</f>
        <v xml:space="preserve"> Beer off sales</v>
      </c>
      <c r="AR1" t="str">
        <f>'Hist Weights'!AP1</f>
        <v xml:space="preserve"> Wines and spirits</v>
      </c>
      <c r="AS1" t="str">
        <f>'Hist Weights'!AQ1</f>
        <v xml:space="preserve"> Wine on sales</v>
      </c>
      <c r="AT1" t="str">
        <f>'Hist Weights'!AR1</f>
        <v xml:space="preserve"> Wine off sales</v>
      </c>
      <c r="AU1" t="str">
        <f>'Hist Weights'!AS1</f>
        <v xml:space="preserve"> Cigarettes</v>
      </c>
      <c r="AV1" t="str">
        <f>'Hist Weights'!AT1</f>
        <v xml:space="preserve"> Other tobacco</v>
      </c>
      <c r="AW1" t="str">
        <f>'Hist Weights'!AU1</f>
        <v xml:space="preserve"> Rent</v>
      </c>
      <c r="AX1" t="str">
        <f>'Hist Weights'!AV1</f>
        <v xml:space="preserve"> Mortgage interest payments</v>
      </c>
      <c r="AY1" t="str">
        <f>'Hist Weights'!AW1</f>
        <v xml:space="preserve"> Depreciation (Jan 1995 = 100)</v>
      </c>
      <c r="AZ1" t="str">
        <f>'Hist Weights'!AX1</f>
        <v xml:space="preserve"> Council tax and rates</v>
      </c>
      <c r="BA1" t="str">
        <f>'Hist Weights'!AY1</f>
        <v xml:space="preserve"> Water and other charges</v>
      </c>
      <c r="BB1" t="str">
        <f>'Hist Weights'!AZ1</f>
        <v xml:space="preserve"> Repairs and maintenance charges</v>
      </c>
      <c r="BC1" t="str">
        <f>'Hist Weights'!BA1</f>
        <v xml:space="preserve"> Do-it-yourself materials</v>
      </c>
      <c r="BD1" t="str">
        <f>'Hist Weights'!BB1</f>
        <v xml:space="preserve"> Dwelling insurance and ground rent</v>
      </c>
      <c r="BE1" t="str">
        <f>'Hist Weights'!BC1</f>
        <v xml:space="preserve"> Coal and solid fuels</v>
      </c>
      <c r="BF1" t="str">
        <f>'Hist Weights'!BD1</f>
        <v xml:space="preserve"> Electricity</v>
      </c>
      <c r="BG1" t="str">
        <f>'Hist Weights'!BE1</f>
        <v xml:space="preserve"> Gas</v>
      </c>
      <c r="BH1" t="str">
        <f>'Hist Weights'!BF1</f>
        <v xml:space="preserve"> Oil and other fuels</v>
      </c>
      <c r="BI1" t="str">
        <f>'Hist Weights'!BG1</f>
        <v xml:space="preserve"> Furniture</v>
      </c>
      <c r="BJ1" t="str">
        <f>'Hist Weights'!BH1</f>
        <v xml:space="preserve"> Furnishings</v>
      </c>
      <c r="BK1" t="str">
        <f>'Hist Weights'!BI1</f>
        <v xml:space="preserve"> Electrical appliances</v>
      </c>
      <c r="BL1" t="str">
        <f>'Hist Weights'!BJ1</f>
        <v xml:space="preserve"> Other household equipment</v>
      </c>
      <c r="BM1" t="str">
        <f>'Hist Weights'!BK1</f>
        <v xml:space="preserve"> Household consumables</v>
      </c>
      <c r="BN1" t="str">
        <f>'Hist Weights'!BL1</f>
        <v xml:space="preserve"> Pet care</v>
      </c>
      <c r="BO1" t="str">
        <f>'Hist Weights'!BM1</f>
        <v xml:space="preserve"> Postage</v>
      </c>
      <c r="BP1" t="str">
        <f>'Hist Weights'!BN1</f>
        <v xml:space="preserve"> Telephones, telemessages, etc</v>
      </c>
      <c r="BQ1" t="str">
        <f>'Hist Weights'!BO1</f>
        <v xml:space="preserve"> Domestic services</v>
      </c>
      <c r="BR1" t="str">
        <f>'Hist Weights'!BP1</f>
        <v xml:space="preserve"> Fees and subscriptions</v>
      </c>
      <c r="BS1" t="str">
        <f>'Hist Weights'!BQ1</f>
        <v xml:space="preserve"> Men's outerwear</v>
      </c>
      <c r="BT1" t="str">
        <f>'Hist Weights'!BR1</f>
        <v xml:space="preserve"> Women's outerwear</v>
      </c>
      <c r="BU1" t="str">
        <f>'Hist Weights'!BS1</f>
        <v xml:space="preserve"> Childrens' outerwear</v>
      </c>
      <c r="BV1" t="str">
        <f>'Hist Weights'!BT1</f>
        <v xml:space="preserve"> Other clothing</v>
      </c>
      <c r="BW1" t="str">
        <f>'Hist Weights'!BU1</f>
        <v xml:space="preserve"> Footwear</v>
      </c>
      <c r="BX1" t="str">
        <f>'Hist Weights'!BV1</f>
        <v xml:space="preserve"> Personal articles</v>
      </c>
      <c r="BY1" t="str">
        <f>'Hist Weights'!BW1</f>
        <v xml:space="preserve"> Chemists goods</v>
      </c>
      <c r="BZ1" t="str">
        <f>'Hist Weights'!BX1</f>
        <v xml:space="preserve"> Personal services</v>
      </c>
      <c r="CA1" t="str">
        <f>'Hist Weights'!BY1</f>
        <v xml:space="preserve"> Purchase of motor vehicles</v>
      </c>
      <c r="CB1" t="str">
        <f>'Hist Weights'!BZ1</f>
        <v xml:space="preserve"> Maintenance of motor vehicles</v>
      </c>
      <c r="CC1" t="str">
        <f>'Hist Weights'!CA1</f>
        <v xml:space="preserve"> Petrol and oil</v>
      </c>
      <c r="CD1" t="str">
        <f>'Hist Weights'!CB1</f>
        <v xml:space="preserve"> Vehicle tax and insurance</v>
      </c>
      <c r="CE1" t="str">
        <f>'Hist Weights'!CC1</f>
        <v xml:space="preserve"> Rail fares</v>
      </c>
      <c r="CF1" t="str">
        <f>'Hist Weights'!CD1</f>
        <v xml:space="preserve"> Bus and coach fares</v>
      </c>
      <c r="CG1" t="str">
        <f>'Hist Weights'!CE1</f>
        <v xml:space="preserve"> Other travel costs</v>
      </c>
      <c r="CH1" t="str">
        <f>'Hist Weights'!CF1</f>
        <v xml:space="preserve"> Audio-visual equipment</v>
      </c>
      <c r="CI1" t="str">
        <f>'Hist Weights'!CG1</f>
        <v xml:space="preserve"> CDs and tapes</v>
      </c>
      <c r="CJ1" t="str">
        <f>'Hist Weights'!CH1</f>
        <v xml:space="preserve"> Toys, photographic and sports goods</v>
      </c>
      <c r="CK1" t="str">
        <f>'Hist Weights'!CI1</f>
        <v xml:space="preserve"> Books and newspapers</v>
      </c>
      <c r="CL1" t="str">
        <f>'Hist Weights'!CJ1</f>
        <v xml:space="preserve"> Gardening products</v>
      </c>
      <c r="CM1" t="str">
        <f>'Hist Weights'!CK1</f>
        <v xml:space="preserve"> Television licences and rentals</v>
      </c>
      <c r="CN1" t="str">
        <f>'Hist Weights'!CL1</f>
        <v xml:space="preserve"> Entertainment and other recreation</v>
      </c>
      <c r="CO1" t="str">
        <f>'Hist Weights'!CM1</f>
        <v xml:space="preserve"> Foreign holidays (Jan 1993 = 100)</v>
      </c>
      <c r="CP1" t="str">
        <f>'Hist Weights'!CN1</f>
        <v xml:space="preserve"> UK holidays (Jan 1994 = 100)</v>
      </c>
    </row>
    <row r="2" spans="1:109" x14ac:dyDescent="0.25">
      <c r="B2" t="s">
        <v>121</v>
      </c>
      <c r="D2">
        <v>2</v>
      </c>
      <c r="E2">
        <f>D2+1</f>
        <v>3</v>
      </c>
      <c r="F2">
        <f t="shared" ref="F2:BQ2" si="0">E2+1</f>
        <v>4</v>
      </c>
      <c r="G2">
        <f t="shared" si="0"/>
        <v>5</v>
      </c>
      <c r="H2">
        <f t="shared" si="0"/>
        <v>6</v>
      </c>
      <c r="I2">
        <f t="shared" si="0"/>
        <v>7</v>
      </c>
      <c r="J2">
        <f t="shared" si="0"/>
        <v>8</v>
      </c>
      <c r="K2">
        <f t="shared" si="0"/>
        <v>9</v>
      </c>
      <c r="L2">
        <f t="shared" si="0"/>
        <v>10</v>
      </c>
      <c r="M2">
        <f t="shared" si="0"/>
        <v>11</v>
      </c>
      <c r="N2">
        <f t="shared" si="0"/>
        <v>12</v>
      </c>
      <c r="O2">
        <f t="shared" si="0"/>
        <v>13</v>
      </c>
      <c r="P2">
        <f t="shared" si="0"/>
        <v>14</v>
      </c>
      <c r="Q2">
        <f t="shared" si="0"/>
        <v>15</v>
      </c>
      <c r="R2">
        <f t="shared" si="0"/>
        <v>16</v>
      </c>
      <c r="S2">
        <f t="shared" si="0"/>
        <v>17</v>
      </c>
      <c r="T2">
        <f t="shared" si="0"/>
        <v>18</v>
      </c>
      <c r="U2">
        <f t="shared" si="0"/>
        <v>19</v>
      </c>
      <c r="V2">
        <f t="shared" si="0"/>
        <v>20</v>
      </c>
      <c r="W2">
        <f t="shared" si="0"/>
        <v>21</v>
      </c>
      <c r="X2">
        <f t="shared" si="0"/>
        <v>22</v>
      </c>
      <c r="Y2">
        <f t="shared" si="0"/>
        <v>23</v>
      </c>
      <c r="Z2">
        <f t="shared" si="0"/>
        <v>24</v>
      </c>
      <c r="AA2">
        <f t="shared" si="0"/>
        <v>25</v>
      </c>
      <c r="AB2">
        <f t="shared" si="0"/>
        <v>26</v>
      </c>
      <c r="AC2">
        <f t="shared" si="0"/>
        <v>27</v>
      </c>
      <c r="AD2">
        <f t="shared" si="0"/>
        <v>28</v>
      </c>
      <c r="AE2">
        <f t="shared" si="0"/>
        <v>29</v>
      </c>
      <c r="AF2">
        <f t="shared" si="0"/>
        <v>30</v>
      </c>
      <c r="AG2">
        <f t="shared" si="0"/>
        <v>31</v>
      </c>
      <c r="AH2">
        <f t="shared" si="0"/>
        <v>32</v>
      </c>
      <c r="AI2">
        <f t="shared" si="0"/>
        <v>33</v>
      </c>
      <c r="AJ2">
        <f t="shared" si="0"/>
        <v>34</v>
      </c>
      <c r="AK2">
        <f t="shared" si="0"/>
        <v>35</v>
      </c>
      <c r="AL2">
        <f t="shared" si="0"/>
        <v>36</v>
      </c>
      <c r="AM2">
        <f t="shared" si="0"/>
        <v>37</v>
      </c>
      <c r="AN2">
        <f t="shared" si="0"/>
        <v>38</v>
      </c>
      <c r="AO2">
        <f t="shared" si="0"/>
        <v>39</v>
      </c>
      <c r="AP2">
        <f t="shared" si="0"/>
        <v>40</v>
      </c>
      <c r="AQ2">
        <f t="shared" si="0"/>
        <v>41</v>
      </c>
      <c r="AR2">
        <f t="shared" si="0"/>
        <v>42</v>
      </c>
      <c r="AS2">
        <f t="shared" si="0"/>
        <v>43</v>
      </c>
      <c r="AT2">
        <f t="shared" si="0"/>
        <v>44</v>
      </c>
      <c r="AU2">
        <f t="shared" si="0"/>
        <v>45</v>
      </c>
      <c r="AV2">
        <f t="shared" si="0"/>
        <v>46</v>
      </c>
      <c r="AW2">
        <f t="shared" si="0"/>
        <v>47</v>
      </c>
      <c r="AX2">
        <f t="shared" si="0"/>
        <v>48</v>
      </c>
      <c r="AY2">
        <f t="shared" si="0"/>
        <v>49</v>
      </c>
      <c r="AZ2">
        <f t="shared" si="0"/>
        <v>50</v>
      </c>
      <c r="BA2">
        <f t="shared" si="0"/>
        <v>51</v>
      </c>
      <c r="BB2">
        <f t="shared" si="0"/>
        <v>52</v>
      </c>
      <c r="BC2">
        <f t="shared" si="0"/>
        <v>53</v>
      </c>
      <c r="BD2">
        <f t="shared" si="0"/>
        <v>54</v>
      </c>
      <c r="BE2">
        <f t="shared" si="0"/>
        <v>55</v>
      </c>
      <c r="BF2">
        <f t="shared" si="0"/>
        <v>56</v>
      </c>
      <c r="BG2">
        <f t="shared" si="0"/>
        <v>57</v>
      </c>
      <c r="BH2">
        <f t="shared" si="0"/>
        <v>58</v>
      </c>
      <c r="BI2">
        <f t="shared" si="0"/>
        <v>59</v>
      </c>
      <c r="BJ2">
        <f t="shared" si="0"/>
        <v>60</v>
      </c>
      <c r="BK2">
        <f t="shared" si="0"/>
        <v>61</v>
      </c>
      <c r="BL2">
        <f t="shared" si="0"/>
        <v>62</v>
      </c>
      <c r="BM2">
        <f t="shared" si="0"/>
        <v>63</v>
      </c>
      <c r="BN2">
        <f t="shared" si="0"/>
        <v>64</v>
      </c>
      <c r="BO2">
        <f t="shared" si="0"/>
        <v>65</v>
      </c>
      <c r="BP2">
        <f t="shared" si="0"/>
        <v>66</v>
      </c>
      <c r="BQ2">
        <f t="shared" si="0"/>
        <v>67</v>
      </c>
      <c r="BR2">
        <f t="shared" ref="BR2:BT2" si="1">BQ2+1</f>
        <v>68</v>
      </c>
      <c r="BS2">
        <f t="shared" si="1"/>
        <v>69</v>
      </c>
      <c r="BT2">
        <f t="shared" si="1"/>
        <v>70</v>
      </c>
      <c r="BU2">
        <f t="shared" ref="BU2:CM2" si="2">BT2+1</f>
        <v>71</v>
      </c>
      <c r="BV2">
        <f t="shared" si="2"/>
        <v>72</v>
      </c>
      <c r="BW2">
        <f t="shared" si="2"/>
        <v>73</v>
      </c>
      <c r="BX2">
        <f t="shared" si="2"/>
        <v>74</v>
      </c>
      <c r="BY2">
        <f t="shared" si="2"/>
        <v>75</v>
      </c>
      <c r="BZ2">
        <f t="shared" si="2"/>
        <v>76</v>
      </c>
      <c r="CA2">
        <f t="shared" si="2"/>
        <v>77</v>
      </c>
      <c r="CB2">
        <f t="shared" si="2"/>
        <v>78</v>
      </c>
      <c r="CC2">
        <f t="shared" si="2"/>
        <v>79</v>
      </c>
      <c r="CD2">
        <f t="shared" si="2"/>
        <v>80</v>
      </c>
      <c r="CE2">
        <f t="shared" si="2"/>
        <v>81</v>
      </c>
      <c r="CF2">
        <f t="shared" si="2"/>
        <v>82</v>
      </c>
      <c r="CG2">
        <f t="shared" si="2"/>
        <v>83</v>
      </c>
      <c r="CH2">
        <f t="shared" si="2"/>
        <v>84</v>
      </c>
      <c r="CI2">
        <f t="shared" si="2"/>
        <v>85</v>
      </c>
      <c r="CJ2">
        <f t="shared" si="2"/>
        <v>86</v>
      </c>
      <c r="CK2">
        <f t="shared" si="2"/>
        <v>87</v>
      </c>
      <c r="CL2">
        <f t="shared" si="2"/>
        <v>88</v>
      </c>
      <c r="CM2">
        <f t="shared" si="2"/>
        <v>89</v>
      </c>
      <c r="CN2">
        <f t="shared" ref="CN2:CP2" si="3">CM2+1</f>
        <v>90</v>
      </c>
      <c r="CO2">
        <f t="shared" si="3"/>
        <v>91</v>
      </c>
      <c r="CP2">
        <f t="shared" si="3"/>
        <v>92</v>
      </c>
    </row>
    <row r="3" spans="1:109" x14ac:dyDescent="0.25">
      <c r="A3" s="6">
        <f>EDATE('MoM Forecasts'!A3,-MONTH('MoM Forecasts'!A3)+1)</f>
        <v>44562</v>
      </c>
      <c r="B3" s="8" t="b">
        <f>IF(A3&lt;='MoM Forecasts'!$A$2,TRUE,"")</f>
        <v>1</v>
      </c>
      <c r="D3">
        <v>100</v>
      </c>
      <c r="E3">
        <v>100</v>
      </c>
      <c r="F3">
        <v>100</v>
      </c>
      <c r="G3">
        <v>100</v>
      </c>
      <c r="H3">
        <v>100</v>
      </c>
      <c r="I3">
        <v>100</v>
      </c>
      <c r="J3">
        <v>100</v>
      </c>
      <c r="K3">
        <v>100</v>
      </c>
      <c r="L3">
        <v>100</v>
      </c>
      <c r="M3">
        <v>100</v>
      </c>
      <c r="N3">
        <v>100</v>
      </c>
      <c r="O3">
        <v>100</v>
      </c>
      <c r="P3">
        <v>100</v>
      </c>
      <c r="Q3">
        <v>100</v>
      </c>
      <c r="R3">
        <v>100</v>
      </c>
      <c r="S3">
        <v>100</v>
      </c>
      <c r="T3">
        <v>100</v>
      </c>
      <c r="U3">
        <v>100</v>
      </c>
      <c r="V3">
        <v>100</v>
      </c>
      <c r="W3">
        <v>100</v>
      </c>
      <c r="X3">
        <v>100</v>
      </c>
      <c r="Y3">
        <v>100</v>
      </c>
      <c r="Z3">
        <v>100</v>
      </c>
      <c r="AA3">
        <v>100</v>
      </c>
      <c r="AB3">
        <v>100</v>
      </c>
      <c r="AC3">
        <v>100</v>
      </c>
      <c r="AD3">
        <v>100</v>
      </c>
      <c r="AE3">
        <v>100</v>
      </c>
      <c r="AF3">
        <v>100</v>
      </c>
      <c r="AG3">
        <v>100</v>
      </c>
      <c r="AH3">
        <v>100</v>
      </c>
      <c r="AI3">
        <v>100</v>
      </c>
      <c r="AJ3">
        <v>100</v>
      </c>
      <c r="AK3">
        <v>100</v>
      </c>
      <c r="AL3">
        <v>100</v>
      </c>
      <c r="AM3">
        <v>100</v>
      </c>
      <c r="AN3">
        <v>100</v>
      </c>
      <c r="AO3">
        <v>100</v>
      </c>
      <c r="AP3">
        <v>100</v>
      </c>
      <c r="AQ3">
        <v>100</v>
      </c>
      <c r="AR3">
        <v>100</v>
      </c>
      <c r="AS3">
        <v>100</v>
      </c>
      <c r="AT3">
        <v>100</v>
      </c>
      <c r="AU3">
        <v>100</v>
      </c>
      <c r="AV3">
        <v>100</v>
      </c>
      <c r="AW3">
        <v>100</v>
      </c>
      <c r="AX3">
        <v>100</v>
      </c>
      <c r="AY3">
        <v>100</v>
      </c>
      <c r="AZ3">
        <v>100</v>
      </c>
      <c r="BA3">
        <v>100</v>
      </c>
      <c r="BB3">
        <v>100</v>
      </c>
      <c r="BC3">
        <v>100</v>
      </c>
      <c r="BD3">
        <v>100</v>
      </c>
      <c r="BE3">
        <v>100</v>
      </c>
      <c r="BF3">
        <v>100</v>
      </c>
      <c r="BG3">
        <v>100</v>
      </c>
      <c r="BH3">
        <v>100</v>
      </c>
      <c r="BI3">
        <v>100</v>
      </c>
      <c r="BJ3">
        <v>100</v>
      </c>
      <c r="BK3">
        <v>100</v>
      </c>
      <c r="BL3">
        <v>100</v>
      </c>
      <c r="BM3">
        <v>100</v>
      </c>
      <c r="BN3">
        <v>100</v>
      </c>
      <c r="BO3">
        <v>100</v>
      </c>
      <c r="BP3">
        <v>100</v>
      </c>
      <c r="BQ3">
        <v>100</v>
      </c>
      <c r="BR3">
        <v>100</v>
      </c>
      <c r="BS3">
        <v>100</v>
      </c>
      <c r="BT3">
        <v>100</v>
      </c>
      <c r="BU3">
        <v>100</v>
      </c>
      <c r="BV3">
        <v>100</v>
      </c>
      <c r="BW3">
        <v>100</v>
      </c>
      <c r="BX3">
        <v>100</v>
      </c>
      <c r="BY3">
        <v>100</v>
      </c>
      <c r="BZ3">
        <v>100</v>
      </c>
      <c r="CA3">
        <v>100</v>
      </c>
      <c r="CB3">
        <v>100</v>
      </c>
      <c r="CC3">
        <v>100</v>
      </c>
      <c r="CD3">
        <v>100</v>
      </c>
      <c r="CE3">
        <v>100</v>
      </c>
      <c r="CF3">
        <v>100</v>
      </c>
      <c r="CG3">
        <v>100</v>
      </c>
      <c r="CH3">
        <v>100</v>
      </c>
      <c r="CI3">
        <v>100</v>
      </c>
      <c r="CJ3">
        <v>100</v>
      </c>
      <c r="CK3">
        <v>100</v>
      </c>
      <c r="CL3">
        <v>100</v>
      </c>
      <c r="CM3">
        <v>100</v>
      </c>
      <c r="CN3">
        <v>100</v>
      </c>
      <c r="CO3">
        <v>100</v>
      </c>
      <c r="CP3">
        <v>100</v>
      </c>
    </row>
    <row r="4" spans="1:109" x14ac:dyDescent="0.25">
      <c r="A4" s="6">
        <f t="shared" ref="A4:A37" si="4">EDATE(A3,1)</f>
        <v>44593</v>
      </c>
      <c r="B4" s="8" t="b">
        <f>IF(A4&lt;='MoM Forecasts'!$A$2,TRUE,"")</f>
        <v>1</v>
      </c>
      <c r="D4" s="8">
        <f>IF($B4=TRUE,D3*(1+D43),D3*(1+(VLOOKUP($A4,'MoM Forecasts'!$2:$25,'Unchained Indices'!D$2,0))))</f>
        <v>99.061433447098963</v>
      </c>
      <c r="E4" s="8">
        <f>IF($B4=TRUE,E3*(1+E43),E3*(1+(VLOOKUP($A4,'MoM Forecasts'!$2:$25,'Unchained Indices'!E$2,0))))</f>
        <v>103.11027332704997</v>
      </c>
      <c r="F4" s="8">
        <f>IF($B4=TRUE,F3*(1+F43),F3*(1+(VLOOKUP($A4,'MoM Forecasts'!$2:$25,'Unchained Indices'!F$2,0))))</f>
        <v>102.52185608607935</v>
      </c>
      <c r="G4" s="8">
        <f>IF($B4=TRUE,G3*(1+G43),G3*(1+(VLOOKUP($A4,'MoM Forecasts'!$2:$25,'Unchained Indices'!G$2,0))))</f>
        <v>101.01899027327465</v>
      </c>
      <c r="H4" s="8">
        <f>IF($B4=TRUE,H3*(1+H43),H3*(1+(VLOOKUP($A4,'MoM Forecasts'!$2:$25,'Unchained Indices'!H$2,0))))</f>
        <v>101.88157166574435</v>
      </c>
      <c r="I4" s="8">
        <f>IF($B4=TRUE,I3*(1+I43),I3*(1+(VLOOKUP($A4,'MoM Forecasts'!$2:$25,'Unchained Indices'!I$2,0))))</f>
        <v>101.89346124715981</v>
      </c>
      <c r="J4" s="8">
        <f>IF($B4=TRUE,J3*(1+J43),J3*(1+(VLOOKUP($A4,'MoM Forecasts'!$2:$25,'Unchained Indices'!J$2,0))))</f>
        <v>97.171802448290407</v>
      </c>
      <c r="K4" s="8">
        <f>IF($B4=TRUE,K3*(1+K43),K3*(1+(VLOOKUP($A4,'MoM Forecasts'!$2:$25,'Unchained Indices'!K$2,0))))</f>
        <v>100.74331020812686</v>
      </c>
      <c r="L4" s="8">
        <f>IF($B4=TRUE,L3*(1+L43),L3*(1+(VLOOKUP($A4,'MoM Forecasts'!$2:$25,'Unchained Indices'!L$2,0))))</f>
        <v>101.55610155610155</v>
      </c>
      <c r="M4" s="8">
        <f>IF($B4=TRUE,M3*(1+M43),M3*(1+(VLOOKUP($A4,'MoM Forecasts'!$2:$25,'Unchained Indices'!M$2,0))))</f>
        <v>100.15128593040848</v>
      </c>
      <c r="N4" s="8">
        <f>IF($B4=TRUE,N3*(1+N43),N3*(1+(VLOOKUP($A4,'MoM Forecasts'!$2:$25,'Unchained Indices'!N$2,0))))</f>
        <v>102.49541284403669</v>
      </c>
      <c r="O4" s="8">
        <f>IF($B4=TRUE,O3*(1+O43),O3*(1+(VLOOKUP($A4,'MoM Forecasts'!$2:$25,'Unchained Indices'!O$2,0))))</f>
        <v>102.86252354048966</v>
      </c>
      <c r="P4" s="8">
        <f>IF($B4=TRUE,P3*(1+P43),P3*(1+(VLOOKUP($A4,'MoM Forecasts'!$2:$25,'Unchained Indices'!P$2,0))))</f>
        <v>102.10602759622367</v>
      </c>
      <c r="Q4" s="8">
        <f>IF($B4=TRUE,Q3*(1+Q43),Q3*(1+(VLOOKUP($A4,'MoM Forecasts'!$2:$25,'Unchained Indices'!Q$2,0))))</f>
        <v>101.00334448160535</v>
      </c>
      <c r="R4" s="8">
        <f>IF($B4=TRUE,R3*(1+R43),R3*(1+(VLOOKUP($A4,'MoM Forecasts'!$2:$25,'Unchained Indices'!R$2,0))))</f>
        <v>96.106048053024026</v>
      </c>
      <c r="S4" s="8">
        <f>IF($B4=TRUE,S3*(1+S43),S3*(1+(VLOOKUP($A4,'MoM Forecasts'!$2:$25,'Unchained Indices'!S$2,0))))</f>
        <v>102.58175559380378</v>
      </c>
      <c r="T4" s="8">
        <f>IF($B4=TRUE,T3*(1+T43),T3*(1+(VLOOKUP($A4,'MoM Forecasts'!$2:$25,'Unchained Indices'!T$2,0))))</f>
        <v>100.60918462980317</v>
      </c>
      <c r="U4" s="8">
        <f>IF($B4=TRUE,U3*(1+U43),U3*(1+(VLOOKUP($A4,'MoM Forecasts'!$2:$25,'Unchained Indices'!U$2,0))))</f>
        <v>103.64134690681284</v>
      </c>
      <c r="V4" s="8">
        <f>IF($B4=TRUE,V3*(1+V43),V3*(1+(VLOOKUP($A4,'MoM Forecasts'!$2:$25,'Unchained Indices'!V$2,0))))</f>
        <v>103.55029585798816</v>
      </c>
      <c r="W4" s="8">
        <f>IF($B4=TRUE,W3*(1+W43),W3*(1+(VLOOKUP($A4,'MoM Forecasts'!$2:$25,'Unchained Indices'!W$2,0))))</f>
        <v>102.17198581560285</v>
      </c>
      <c r="X4" s="8">
        <f>IF($B4=TRUE,X3*(1+X43),X3*(1+(VLOOKUP($A4,'MoM Forecasts'!$2:$25,'Unchained Indices'!X$2,0))))</f>
        <v>100.27027027027027</v>
      </c>
      <c r="Y4" s="8">
        <f>IF($B4=TRUE,Y3*(1+Y43),Y3*(1+(VLOOKUP($A4,'MoM Forecasts'!$2:$25,'Unchained Indices'!Y$2,0))))</f>
        <v>101.86657449014862</v>
      </c>
      <c r="Z4" s="8">
        <f>IF($B4=TRUE,Z3*(1+Z43),Z3*(1+(VLOOKUP($A4,'MoM Forecasts'!$2:$25,'Unchained Indices'!Z$2,0))))</f>
        <v>101.18401578687717</v>
      </c>
      <c r="AA4" s="8">
        <f>IF($B4=TRUE,AA3*(1+AA43),AA3*(1+(VLOOKUP($A4,'MoM Forecasts'!$2:$25,'Unchained Indices'!AA$2,0))))</f>
        <v>98.240469208211152</v>
      </c>
      <c r="AB4" s="8">
        <f>IF($B4=TRUE,AB3*(1+AB43),AB3*(1+(VLOOKUP($A4,'MoM Forecasts'!$2:$25,'Unchained Indices'!AB$2,0))))</f>
        <v>101.03820598006645</v>
      </c>
      <c r="AC4" s="8">
        <f>IF($B4=TRUE,AC3*(1+AC43),AC3*(1+(VLOOKUP($A4,'MoM Forecasts'!$2:$25,'Unchained Indices'!AC$2,0))))</f>
        <v>100.61315496098105</v>
      </c>
      <c r="AD4" s="8">
        <f>IF($B4=TRUE,AD3*(1+AD43),AD3*(1+(VLOOKUP($A4,'MoM Forecasts'!$2:$25,'Unchained Indices'!AD$2,0))))</f>
        <v>101.16888351471181</v>
      </c>
      <c r="AE4" s="8">
        <f>IF($B4=TRUE,AE3*(1+AE43),AE3*(1+(VLOOKUP($A4,'MoM Forecasts'!$2:$25,'Unchained Indices'!AE$2,0))))</f>
        <v>99.836155106499191</v>
      </c>
      <c r="AF4" s="8">
        <f>IF($B4=TRUE,AF3*(1+AF43),AF3*(1+(VLOOKUP($A4,'MoM Forecasts'!$2:$25,'Unchained Indices'!AF$2,0))))</f>
        <v>99.553855959209685</v>
      </c>
      <c r="AG4" s="8">
        <f>IF($B4=TRUE,AG3*(1+AG43),AG3*(1+(VLOOKUP($A4,'MoM Forecasts'!$2:$25,'Unchained Indices'!AG$2,0))))</f>
        <v>100.85867620751341</v>
      </c>
      <c r="AH4" s="8">
        <f>IF($B4=TRUE,AH3*(1+AH43),AH3*(1+(VLOOKUP($A4,'MoM Forecasts'!$2:$25,'Unchained Indices'!AH$2,0))))</f>
        <v>100.49240869922036</v>
      </c>
      <c r="AI4" s="8">
        <f>IF($B4=TRUE,AI3*(1+AI43),AI3*(1+(VLOOKUP($A4,'MoM Forecasts'!$2:$25,'Unchained Indices'!AI$2,0))))</f>
        <v>100.43066322136089</v>
      </c>
      <c r="AJ4" s="8">
        <f>IF($B4=TRUE,AJ3*(1+AJ43),AJ3*(1+(VLOOKUP($A4,'MoM Forecasts'!$2:$25,'Unchained Indices'!AJ$2,0))))</f>
        <v>100.68672334859383</v>
      </c>
      <c r="AK4" s="8">
        <f>IF($B4=TRUE,AK3*(1+AK43),AK3*(1+(VLOOKUP($A4,'MoM Forecasts'!$2:$25,'Unchained Indices'!AK$2,0))))</f>
        <v>101.77628420547286</v>
      </c>
      <c r="AL4" s="8">
        <f>IF($B4=TRUE,AL3*(1+AL43),AL3*(1+(VLOOKUP($A4,'MoM Forecasts'!$2:$25,'Unchained Indices'!AL$2,0))))</f>
        <v>100.21052631578948</v>
      </c>
      <c r="AM4" s="8">
        <f>IF($B4=TRUE,AM3*(1+AM43),AM3*(1+(VLOOKUP($A4,'MoM Forecasts'!$2:$25,'Unchained Indices'!AM$2,0))))</f>
        <v>100</v>
      </c>
      <c r="AN4" s="8">
        <f>IF($B4=TRUE,AN3*(1+AN43),AN3*(1+(VLOOKUP($A4,'MoM Forecasts'!$2:$25,'Unchained Indices'!AN$2,0))))</f>
        <v>100.39225941422593</v>
      </c>
      <c r="AO4" s="8">
        <f>IF($B4=TRUE,AO3*(1+AO43),AO3*(1+(VLOOKUP($A4,'MoM Forecasts'!$2:$25,'Unchained Indices'!AO$2,0))))</f>
        <v>100.81775700934578</v>
      </c>
      <c r="AP4" s="8">
        <f>IF($B4=TRUE,AP3*(1+AP43),AP3*(1+(VLOOKUP($A4,'MoM Forecasts'!$2:$25,'Unchained Indices'!AP$2,0))))</f>
        <v>100.22883295194507</v>
      </c>
      <c r="AQ4" s="8">
        <f>IF($B4=TRUE,AQ3*(1+AQ43),AQ3*(1+(VLOOKUP($A4,'MoM Forecasts'!$2:$25,'Unchained Indices'!AQ$2,0))))</f>
        <v>101.39130434782608</v>
      </c>
      <c r="AR4" s="8">
        <f>IF($B4=TRUE,AR3*(1+AR43),AR3*(1+(VLOOKUP($A4,'MoM Forecasts'!$2:$25,'Unchained Indices'!AR$2,0))))</f>
        <v>99.185840707964601</v>
      </c>
      <c r="AS4" s="8">
        <f>IF($B4=TRUE,AS3*(1+AS43),AS3*(1+(VLOOKUP($A4,'MoM Forecasts'!$2:$25,'Unchained Indices'!AS$2,0))))</f>
        <v>100.23225806451612</v>
      </c>
      <c r="AT4" s="8">
        <f>IF($B4=TRUE,AT3*(1+AT43),AT3*(1+(VLOOKUP($A4,'MoM Forecasts'!$2:$25,'Unchained Indices'!AT$2,0))))</f>
        <v>98.6634844868735</v>
      </c>
      <c r="AU4" s="8">
        <f>IF($B4=TRUE,AU3*(1+AU43),AU3*(1+(VLOOKUP($A4,'MoM Forecasts'!$2:$25,'Unchained Indices'!AU$2,0))))</f>
        <v>100.4022346368715</v>
      </c>
      <c r="AV4" s="8">
        <f>IF($B4=TRUE,AV3*(1+AV43),AV3*(1+(VLOOKUP($A4,'MoM Forecasts'!$2:$25,'Unchained Indices'!AV$2,0))))</f>
        <v>100.73713696004718</v>
      </c>
      <c r="AW4" s="8">
        <f>IF($B4=TRUE,AW3*(1+AW43),AW3*(1+(VLOOKUP($A4,'MoM Forecasts'!$2:$25,'Unchained Indices'!AW$2,0))))</f>
        <v>100.17807173747137</v>
      </c>
      <c r="AX4" s="8">
        <f>IF($B4=TRUE,AX3*(1+AX43),AX3*(1+(VLOOKUP($A4,'MoM Forecasts'!$2:$25,'Unchained Indices'!AX$2,0))))</f>
        <v>101.7504488330341</v>
      </c>
      <c r="AY4" s="8">
        <f>IF($B4=TRUE,AY3*(1+AY43),AY3*(1+(VLOOKUP($A4,'MoM Forecasts'!$2:$25,'Unchained Indices'!AY$2,0))))</f>
        <v>100.40092846592108</v>
      </c>
      <c r="AZ4" s="8">
        <f>IF($B4=TRUE,AZ3*(1+AZ43),AZ3*(1+(VLOOKUP($A4,'MoM Forecasts'!$2:$25,'Unchained Indices'!AZ$2,0))))</f>
        <v>100</v>
      </c>
      <c r="BA4" s="8">
        <f>IF($B4=TRUE,BA3*(1+BA43),BA3*(1+(VLOOKUP($A4,'MoM Forecasts'!$2:$25,'Unchained Indices'!BA$2,0))))</f>
        <v>100</v>
      </c>
      <c r="BB4" s="8">
        <f>IF($B4=TRUE,BB3*(1+BB43),BB3*(1+(VLOOKUP($A4,'MoM Forecasts'!$2:$25,'Unchained Indices'!BB$2,0))))</f>
        <v>100.15282730514518</v>
      </c>
      <c r="BC4" s="8">
        <f>IF($B4=TRUE,BC3*(1+BC43),BC3*(1+(VLOOKUP($A4,'MoM Forecasts'!$2:$25,'Unchained Indices'!BC$2,0))))</f>
        <v>101.16533139111435</v>
      </c>
      <c r="BD4" s="8">
        <f>IF($B4=TRUE,BD3*(1+BD43),BD3*(1+(VLOOKUP($A4,'MoM Forecasts'!$2:$25,'Unchained Indices'!BD$2,0))))</f>
        <v>101.56778906110814</v>
      </c>
      <c r="BE4" s="8">
        <f>IF($B4=TRUE,BE3*(1+BE43),BE3*(1+(VLOOKUP($A4,'MoM Forecasts'!$2:$25,'Unchained Indices'!BE$2,0))))</f>
        <v>101.99948731094591</v>
      </c>
      <c r="BF4" s="8">
        <f>IF($B4=TRUE,BF3*(1+BF43),BF3*(1+(VLOOKUP($A4,'MoM Forecasts'!$2:$25,'Unchained Indices'!BF$2,0))))</f>
        <v>100</v>
      </c>
      <c r="BG4" s="8">
        <f>IF($B4=TRUE,BG3*(1+BG43),BG3*(1+(VLOOKUP($A4,'MoM Forecasts'!$2:$25,'Unchained Indices'!BG$2,0))))</f>
        <v>100</v>
      </c>
      <c r="BH4" s="8">
        <f>IF($B4=TRUE,BH3*(1+BH43),BH3*(1+(VLOOKUP($A4,'MoM Forecasts'!$2:$25,'Unchained Indices'!BH$2,0))))</f>
        <v>108.95437262357414</v>
      </c>
      <c r="BI4" s="8">
        <f>IF($B4=TRUE,BI3*(1+BI43),BI3*(1+(VLOOKUP($A4,'MoM Forecasts'!$2:$25,'Unchained Indices'!BI$2,0))))</f>
        <v>103.26409495548961</v>
      </c>
      <c r="BJ4" s="8">
        <f>IF($B4=TRUE,BJ3*(1+BJ43),BJ3*(1+(VLOOKUP($A4,'MoM Forecasts'!$2:$25,'Unchained Indices'!BJ$2,0))))</f>
        <v>104.11493437389146</v>
      </c>
      <c r="BK4" s="8">
        <f>IF($B4=TRUE,BK3*(1+BK43),BK3*(1+(VLOOKUP($A4,'MoM Forecasts'!$2:$25,'Unchained Indices'!BK$2,0))))</f>
        <v>102.53164556962024</v>
      </c>
      <c r="BL4" s="8">
        <f>IF($B4=TRUE,BL3*(1+BL43),BL3*(1+(VLOOKUP($A4,'MoM Forecasts'!$2:$25,'Unchained Indices'!BL$2,0))))</f>
        <v>102.47123988069877</v>
      </c>
      <c r="BM4" s="8">
        <f>IF($B4=TRUE,BM3*(1+BM43),BM3*(1+(VLOOKUP($A4,'MoM Forecasts'!$2:$25,'Unchained Indices'!BM$2,0))))</f>
        <v>101.80890538033395</v>
      </c>
      <c r="BN4" s="8">
        <f>IF($B4=TRUE,BN3*(1+BN43),BN3*(1+(VLOOKUP($A4,'MoM Forecasts'!$2:$25,'Unchained Indices'!BN$2,0))))</f>
        <v>101.58790170132326</v>
      </c>
      <c r="BO4" s="8">
        <f>IF($B4=TRUE,BO3*(1+BO43),BO3*(1+(VLOOKUP($A4,'MoM Forecasts'!$2:$25,'Unchained Indices'!BO$2,0))))</f>
        <v>100</v>
      </c>
      <c r="BP4" s="8">
        <f>IF($B4=TRUE,BP3*(1+BP43),BP3*(1+(VLOOKUP($A4,'MoM Forecasts'!$2:$25,'Unchained Indices'!BP$2,0))))</f>
        <v>100.08326394671107</v>
      </c>
      <c r="BQ4" s="8">
        <f>IF($B4=TRUE,BQ3*(1+BQ43),BQ3*(1+(VLOOKUP($A4,'MoM Forecasts'!$2:$25,'Unchained Indices'!BQ$2,0))))</f>
        <v>100.49441100601892</v>
      </c>
      <c r="BR4" s="8">
        <f>IF($B4=TRUE,BR3*(1+BR43),BR3*(1+(VLOOKUP($A4,'MoM Forecasts'!$2:$25,'Unchained Indices'!BR$2,0))))</f>
        <v>100.15932023366967</v>
      </c>
      <c r="BS4" s="8">
        <f>IF($B4=TRUE,BS3*(1+BS43),BS3*(1+(VLOOKUP($A4,'MoM Forecasts'!$2:$25,'Unchained Indices'!BS$2,0))))</f>
        <v>102.4864376130199</v>
      </c>
      <c r="BT4" s="8">
        <f>IF($B4=TRUE,BT3*(1+BT43),BT3*(1+(VLOOKUP($A4,'MoM Forecasts'!$2:$25,'Unchained Indices'!BT$2,0))))</f>
        <v>107.27272727272728</v>
      </c>
      <c r="BU4" s="8">
        <f>IF($B4=TRUE,BU3*(1+BU43),BU3*(1+(VLOOKUP($A4,'MoM Forecasts'!$2:$25,'Unchained Indices'!BU$2,0))))</f>
        <v>102.06801470588236</v>
      </c>
      <c r="BV4" s="8">
        <f>IF($B4=TRUE,BV3*(1+BV43),BV3*(1+(VLOOKUP($A4,'MoM Forecasts'!$2:$25,'Unchained Indices'!BV$2,0))))</f>
        <v>100.91603053435114</v>
      </c>
      <c r="BW4" s="8">
        <f>IF($B4=TRUE,BW3*(1+BW43),BW3*(1+(VLOOKUP($A4,'MoM Forecasts'!$2:$25,'Unchained Indices'!BW$2,0))))</f>
        <v>101.3317892298784</v>
      </c>
      <c r="BX4" s="8">
        <f>IF($B4=TRUE,BX3*(1+BX43),BX3*(1+(VLOOKUP($A4,'MoM Forecasts'!$2:$25,'Unchained Indices'!BX$2,0))))</f>
        <v>101.91169776968594</v>
      </c>
      <c r="BY4" s="8">
        <f>IF($B4=TRUE,BY3*(1+BY43),BY3*(1+(VLOOKUP($A4,'MoM Forecasts'!$2:$25,'Unchained Indices'!BY$2,0))))</f>
        <v>100.51813471502591</v>
      </c>
      <c r="BZ4" s="8">
        <f>IF($B4=TRUE,BZ3*(1+BZ43),BZ3*(1+(VLOOKUP($A4,'MoM Forecasts'!$2:$25,'Unchained Indices'!BZ$2,0))))</f>
        <v>100.31446540880502</v>
      </c>
      <c r="CA4" s="8">
        <f>IF($B4=TRUE,CA3*(1+CA43),CA3*(1+(VLOOKUP($A4,'MoM Forecasts'!$2:$25,'Unchained Indices'!CA$2,0))))</f>
        <v>99.915254237288138</v>
      </c>
      <c r="CB4" s="8">
        <f>IF($B4=TRUE,CB3*(1+CB43),CB3*(1+(VLOOKUP($A4,'MoM Forecasts'!$2:$25,'Unchained Indices'!CB$2,0))))</f>
        <v>101.22367101303912</v>
      </c>
      <c r="CC4" s="8">
        <f>IF($B4=TRUE,CC3*(1+CC43),CC3*(1+(VLOOKUP($A4,'MoM Forecasts'!$2:$25,'Unchained Indices'!CC$2,0))))</f>
        <v>101.53301886792451</v>
      </c>
      <c r="CD4" s="8">
        <f>IF($B4=TRUE,CD3*(1+CD43),CD3*(1+(VLOOKUP($A4,'MoM Forecasts'!$2:$25,'Unchained Indices'!CD$2,0))))</f>
        <v>98.885936222403927</v>
      </c>
      <c r="CE4" s="8">
        <f>IF($B4=TRUE,CE3*(1+CE43),CE3*(1+(VLOOKUP($A4,'MoM Forecasts'!$2:$25,'Unchained Indices'!CE$2,0))))</f>
        <v>102.18124578367438</v>
      </c>
      <c r="CF4" s="8">
        <f>IF($B4=TRUE,CF3*(1+CF43),CF3*(1+(VLOOKUP($A4,'MoM Forecasts'!$2:$25,'Unchained Indices'!CF$2,0))))</f>
        <v>101.87701108330354</v>
      </c>
      <c r="CG4" s="8">
        <f>IF($B4=TRUE,CG3*(1+CG43),CG3*(1+(VLOOKUP($A4,'MoM Forecasts'!$2:$25,'Unchained Indices'!CG$2,0))))</f>
        <v>103.80829015544042</v>
      </c>
      <c r="CH4" s="8">
        <f>IF($B4=TRUE,CH3*(1+CH43),CH3*(1+(VLOOKUP($A4,'MoM Forecasts'!$2:$25,'Unchained Indices'!CH$2,0))))</f>
        <v>98.529411764705884</v>
      </c>
      <c r="CI4" s="8">
        <f>IF($B4=TRUE,CI3*(1+CI43),CI3*(1+(VLOOKUP($A4,'MoM Forecasts'!$2:$25,'Unchained Indices'!CI$2,0))))</f>
        <v>108.48249027237355</v>
      </c>
      <c r="CJ4" s="8">
        <f>IF($B4=TRUE,CJ3*(1+CJ43),CJ3*(1+(VLOOKUP($A4,'MoM Forecasts'!$2:$25,'Unchained Indices'!CJ$2,0))))</f>
        <v>104.19512195121952</v>
      </c>
      <c r="CK4" s="8">
        <f>IF($B4=TRUE,CK3*(1+CK43),CK3*(1+(VLOOKUP($A4,'MoM Forecasts'!$2:$25,'Unchained Indices'!CK$2,0))))</f>
        <v>105.21354367064255</v>
      </c>
      <c r="CL4" s="8">
        <f>IF($B4=TRUE,CL3*(1+CL43),CL3*(1+(VLOOKUP($A4,'MoM Forecasts'!$2:$25,'Unchained Indices'!CL$2,0))))</f>
        <v>102.33089579524679</v>
      </c>
      <c r="CM4" s="8">
        <f>IF($B4=TRUE,CM3*(1+CM43),CM3*(1+(VLOOKUP($A4,'MoM Forecasts'!$2:$25,'Unchained Indices'!CM$2,0))))</f>
        <v>100</v>
      </c>
      <c r="CN4" s="8">
        <f>IF($B4=TRUE,CN3*(1+CN43),CN3*(1+(VLOOKUP($A4,'MoM Forecasts'!$2:$25,'Unchained Indices'!CN$2,0))))</f>
        <v>100.20290307476196</v>
      </c>
      <c r="CO4" s="8">
        <f>IF($B4=TRUE,CO3*(1+CO43),CO3*(1+(VLOOKUP($A4,'MoM Forecasts'!$2:$25,'Unchained Indices'!CO$2,0))))</f>
        <v>99.833887043189378</v>
      </c>
      <c r="CP4" s="8">
        <f>IF($B4=TRUE,CP3*(1+CP43),CP3*(1+(VLOOKUP($A4,'MoM Forecasts'!$2:$25,'Unchained Indices'!CP$2,0))))</f>
        <v>101.95735756728415</v>
      </c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</row>
    <row r="5" spans="1:109" x14ac:dyDescent="0.25">
      <c r="A5" s="6">
        <f t="shared" si="4"/>
        <v>44621</v>
      </c>
      <c r="B5" s="8" t="b">
        <f>IF(A5&lt;='MoM Forecasts'!$A$2,TRUE,"")</f>
        <v>1</v>
      </c>
      <c r="D5">
        <f>IF($B5=TRUE,D4*(1+D44),D4*(1+(VLOOKUP($A5,'MoM Forecasts'!$2:$25,'Unchained Indices'!D$2,0))))</f>
        <v>101.36518771331058</v>
      </c>
      <c r="E5">
        <f>IF($B5=TRUE,E4*(1+E44),E4*(1+(VLOOKUP($A5,'MoM Forecasts'!$2:$25,'Unchained Indices'!E$2,0))))</f>
        <v>103.25164938737042</v>
      </c>
      <c r="F5">
        <f>IF($B5=TRUE,F4*(1+F44),F4*(1+(VLOOKUP($A5,'MoM Forecasts'!$2:$25,'Unchained Indices'!F$2,0))))</f>
        <v>100.73974445191662</v>
      </c>
      <c r="G5">
        <f>IF($B5=TRUE,G4*(1+G44),G4*(1+(VLOOKUP($A5,'MoM Forecasts'!$2:$25,'Unchained Indices'!G$2,0))))</f>
        <v>102.17693376563223</v>
      </c>
      <c r="H5">
        <f>IF($B5=TRUE,H4*(1+H44),H4*(1+(VLOOKUP($A5,'MoM Forecasts'!$2:$25,'Unchained Indices'!H$2,0))))</f>
        <v>103.56945213060322</v>
      </c>
      <c r="I5">
        <f>IF($B5=TRUE,I4*(1+I44),I4*(1+(VLOOKUP($A5,'MoM Forecasts'!$2:$25,'Unchained Indices'!I$2,0))))</f>
        <v>103.55970714466042</v>
      </c>
      <c r="J5">
        <f>IF($B5=TRUE,J4*(1+J44),J4*(1+(VLOOKUP($A5,'MoM Forecasts'!$2:$25,'Unchained Indices'!J$2,0))))</f>
        <v>99.957788096243135</v>
      </c>
      <c r="K5">
        <f>IF($B5=TRUE,K4*(1+K44),K4*(1+(VLOOKUP($A5,'MoM Forecasts'!$2:$25,'Unchained Indices'!K$2,0))))</f>
        <v>100.84241823587709</v>
      </c>
      <c r="L5">
        <f>IF($B5=TRUE,L4*(1+L44),L4*(1+(VLOOKUP($A5,'MoM Forecasts'!$2:$25,'Unchained Indices'!L$2,0))))</f>
        <v>102.2932022932023</v>
      </c>
      <c r="M5">
        <f>IF($B5=TRUE,M4*(1+M44),M4*(1+(VLOOKUP($A5,'MoM Forecasts'!$2:$25,'Unchained Indices'!M$2,0))))</f>
        <v>100.35300050428644</v>
      </c>
      <c r="N5">
        <f>IF($B5=TRUE,N4*(1+N44),N4*(1+(VLOOKUP($A5,'MoM Forecasts'!$2:$25,'Unchained Indices'!N$2,0))))</f>
        <v>102.56880733944953</v>
      </c>
      <c r="O5">
        <f>IF($B5=TRUE,O4*(1+O44),O4*(1+(VLOOKUP($A5,'MoM Forecasts'!$2:$25,'Unchained Indices'!O$2,0))))</f>
        <v>104.44444444444446</v>
      </c>
      <c r="P5">
        <f>IF($B5=TRUE,P4*(1+P44),P4*(1+(VLOOKUP($A5,'MoM Forecasts'!$2:$25,'Unchained Indices'!P$2,0))))</f>
        <v>100.72621641249091</v>
      </c>
      <c r="Q5">
        <f>IF($B5=TRUE,Q4*(1+Q44),Q4*(1+(VLOOKUP($A5,'MoM Forecasts'!$2:$25,'Unchained Indices'!Q$2,0))))</f>
        <v>106.1229740159506</v>
      </c>
      <c r="R5">
        <f>IF($B5=TRUE,R4*(1+R44),R4*(1+(VLOOKUP($A5,'MoM Forecasts'!$2:$25,'Unchained Indices'!R$2,0))))</f>
        <v>102.85832642916321</v>
      </c>
      <c r="S5">
        <f>IF($B5=TRUE,S4*(1+S44),S4*(1+(VLOOKUP($A5,'MoM Forecasts'!$2:$25,'Unchained Indices'!S$2,0))))</f>
        <v>103.48537005163512</v>
      </c>
      <c r="T5">
        <f>IF($B5=TRUE,T4*(1+T44),T4*(1+(VLOOKUP($A5,'MoM Forecasts'!$2:$25,'Unchained Indices'!T$2,0))))</f>
        <v>100.93720712277413</v>
      </c>
      <c r="U5">
        <f>IF($B5=TRUE,U4*(1+U44),U4*(1+(VLOOKUP($A5,'MoM Forecasts'!$2:$25,'Unchained Indices'!U$2,0))))</f>
        <v>105.44244322631168</v>
      </c>
      <c r="V5">
        <f>IF($B5=TRUE,V4*(1+V44),V4*(1+(VLOOKUP($A5,'MoM Forecasts'!$2:$25,'Unchained Indices'!V$2,0))))</f>
        <v>102.76134122287968</v>
      </c>
      <c r="W5">
        <f>IF($B5=TRUE,W4*(1+W44),W4*(1+(VLOOKUP($A5,'MoM Forecasts'!$2:$25,'Unchained Indices'!W$2,0))))</f>
        <v>101.59574468085107</v>
      </c>
      <c r="X5">
        <f>IF($B5=TRUE,X4*(1+X44),X4*(1+(VLOOKUP($A5,'MoM Forecasts'!$2:$25,'Unchained Indices'!X$2,0))))</f>
        <v>100.27027027027027</v>
      </c>
      <c r="Y5">
        <f>IF($B5=TRUE,Y4*(1+Y44),Y4*(1+(VLOOKUP($A5,'MoM Forecasts'!$2:$25,'Unchained Indices'!Y$2,0))))</f>
        <v>103.56031800898721</v>
      </c>
      <c r="Z5">
        <f>IF($B5=TRUE,Z4*(1+Z44),Z4*(1+(VLOOKUP($A5,'MoM Forecasts'!$2:$25,'Unchained Indices'!Z$2,0))))</f>
        <v>101.72668968919587</v>
      </c>
      <c r="AA5">
        <f>IF($B5=TRUE,AA4*(1+AA44),AA4*(1+(VLOOKUP($A5,'MoM Forecasts'!$2:$25,'Unchained Indices'!AA$2,0))))</f>
        <v>97.849462365591407</v>
      </c>
      <c r="AB5">
        <f>IF($B5=TRUE,AB4*(1+AB44),AB4*(1+(VLOOKUP($A5,'MoM Forecasts'!$2:$25,'Unchained Indices'!AB$2,0))))</f>
        <v>99.626245847176079</v>
      </c>
      <c r="AC5">
        <f>IF($B5=TRUE,AC4*(1+AC44),AC4*(1+(VLOOKUP($A5,'MoM Forecasts'!$2:$25,'Unchained Indices'!AC$2,0))))</f>
        <v>99.16387959866222</v>
      </c>
      <c r="AD5">
        <f>IF($B5=TRUE,AD4*(1+AD44),AD4*(1+(VLOOKUP($A5,'MoM Forecasts'!$2:$25,'Unchained Indices'!AD$2,0))))</f>
        <v>99.758162031438943</v>
      </c>
      <c r="AE5">
        <f>IF($B5=TRUE,AE4*(1+AE44),AE4*(1+(VLOOKUP($A5,'MoM Forecasts'!$2:$25,'Unchained Indices'!AE$2,0))))</f>
        <v>99.563080283997834</v>
      </c>
      <c r="AF5">
        <f>IF($B5=TRUE,AF4*(1+AF44),AF4*(1+(VLOOKUP($A5,'MoM Forecasts'!$2:$25,'Unchained Indices'!AF$2,0))))</f>
        <v>99.107711918419383</v>
      </c>
      <c r="AG5">
        <f>IF($B5=TRUE,AG4*(1+AG44),AG4*(1+(VLOOKUP($A5,'MoM Forecasts'!$2:$25,'Unchained Indices'!AG$2,0))))</f>
        <v>101.21645796064401</v>
      </c>
      <c r="AH5">
        <f>IF($B5=TRUE,AH4*(1+AH44),AH4*(1+(VLOOKUP($A5,'MoM Forecasts'!$2:$25,'Unchained Indices'!AH$2,0))))</f>
        <v>99.179318834632753</v>
      </c>
      <c r="AI5">
        <f>IF($B5=TRUE,AI4*(1+AI44),AI4*(1+(VLOOKUP($A5,'MoM Forecasts'!$2:$25,'Unchained Indices'!AI$2,0))))</f>
        <v>98.449612403100772</v>
      </c>
      <c r="AJ5">
        <f>IF($B5=TRUE,AJ4*(1+AJ44),AJ4*(1+(VLOOKUP($A5,'MoM Forecasts'!$2:$25,'Unchained Indices'!AJ$2,0))))</f>
        <v>102.09287115761934</v>
      </c>
      <c r="AK5">
        <f>IF($B5=TRUE,AK4*(1+AK44),AK4*(1+(VLOOKUP($A5,'MoM Forecasts'!$2:$25,'Unchained Indices'!AK$2,0))))</f>
        <v>101.34421507441189</v>
      </c>
      <c r="AL5">
        <f>IF($B5=TRUE,AL4*(1+AL44),AL4*(1+(VLOOKUP($A5,'MoM Forecasts'!$2:$25,'Unchained Indices'!AL$2,0))))</f>
        <v>100.89473684210526</v>
      </c>
      <c r="AM5">
        <f>IF($B5=TRUE,AM4*(1+AM44),AM4*(1+(VLOOKUP($A5,'MoM Forecasts'!$2:$25,'Unchained Indices'!AM$2,0))))</f>
        <v>100.42735042735043</v>
      </c>
      <c r="AN5">
        <f>IF($B5=TRUE,AN4*(1+AN44),AN4*(1+(VLOOKUP($A5,'MoM Forecasts'!$2:$25,'Unchained Indices'!AN$2,0))))</f>
        <v>101.01987447698744</v>
      </c>
      <c r="AO5">
        <f>IF($B5=TRUE,AO4*(1+AO44),AO4*(1+(VLOOKUP($A5,'MoM Forecasts'!$2:$25,'Unchained Indices'!AO$2,0))))</f>
        <v>101.54789719626167</v>
      </c>
      <c r="AP5">
        <f>IF($B5=TRUE,AP4*(1+AP44),AP4*(1+(VLOOKUP($A5,'MoM Forecasts'!$2:$25,'Unchained Indices'!AP$2,0))))</f>
        <v>101.34757182812102</v>
      </c>
      <c r="AQ5">
        <f>IF($B5=TRUE,AQ4*(1+AQ44),AQ4*(1+(VLOOKUP($A5,'MoM Forecasts'!$2:$25,'Unchained Indices'!AQ$2,0))))</f>
        <v>101.73913043478261</v>
      </c>
      <c r="AR5">
        <f>IF($B5=TRUE,AR4*(1+AR44),AR4*(1+(VLOOKUP($A5,'MoM Forecasts'!$2:$25,'Unchained Indices'!AR$2,0))))</f>
        <v>100.88495575221241</v>
      </c>
      <c r="AS5">
        <f>IF($B5=TRUE,AS4*(1+AS44),AS4*(1+(VLOOKUP($A5,'MoM Forecasts'!$2:$25,'Unchained Indices'!AS$2,0))))</f>
        <v>102.78709677419354</v>
      </c>
      <c r="AT5">
        <f>IF($B5=TRUE,AT4*(1+AT44),AT4*(1+(VLOOKUP($A5,'MoM Forecasts'!$2:$25,'Unchained Indices'!AT$2,0))))</f>
        <v>99.95226730310263</v>
      </c>
      <c r="AU5">
        <f>IF($B5=TRUE,AU4*(1+AU44),AU4*(1+(VLOOKUP($A5,'MoM Forecasts'!$2:$25,'Unchained Indices'!AU$2,0))))</f>
        <v>101.53072625698323</v>
      </c>
      <c r="AV5">
        <f>IF($B5=TRUE,AV4*(1+AV44),AV4*(1+(VLOOKUP($A5,'MoM Forecasts'!$2:$25,'Unchained Indices'!AV$2,0))))</f>
        <v>102.87483414418398</v>
      </c>
      <c r="AW5">
        <f>IF($B5=TRUE,AW4*(1+AW44),AW4*(1+(VLOOKUP($A5,'MoM Forecasts'!$2:$25,'Unchained Indices'!AW$2,0))))</f>
        <v>100.33070465530399</v>
      </c>
      <c r="AX5">
        <f>IF($B5=TRUE,AX4*(1+AX44),AX4*(1+(VLOOKUP($A5,'MoM Forecasts'!$2:$25,'Unchained Indices'!AX$2,0))))</f>
        <v>103.27648114901257</v>
      </c>
      <c r="AY5">
        <f>IF($B5=TRUE,AY4*(1+AY44),AY4*(1+(VLOOKUP($A5,'MoM Forecasts'!$2:$25,'Unchained Indices'!AY$2,0))))</f>
        <v>101.26608989238235</v>
      </c>
      <c r="AZ5">
        <f>IF($B5=TRUE,AZ4*(1+AZ44),AZ4*(1+(VLOOKUP($A5,'MoM Forecasts'!$2:$25,'Unchained Indices'!AZ$2,0))))</f>
        <v>100</v>
      </c>
      <c r="BA5">
        <f>IF($B5=TRUE,BA4*(1+BA44),BA4*(1+(VLOOKUP($A5,'MoM Forecasts'!$2:$25,'Unchained Indices'!BA$2,0))))</f>
        <v>100</v>
      </c>
      <c r="BB5">
        <f>IF($B5=TRUE,BB4*(1+BB44),BB4*(1+(VLOOKUP($A5,'MoM Forecasts'!$2:$25,'Unchained Indices'!BB$2,0))))</f>
        <v>100.38206826286297</v>
      </c>
      <c r="BC5">
        <f>IF($B5=TRUE,BC4*(1+BC44),BC4*(1+(VLOOKUP($A5,'MoM Forecasts'!$2:$25,'Unchained Indices'!BC$2,0))))</f>
        <v>102.91332847778588</v>
      </c>
      <c r="BD5">
        <f>IF($B5=TRUE,BD4*(1+BD44),BD4*(1+(VLOOKUP($A5,'MoM Forecasts'!$2:$25,'Unchained Indices'!BD$2,0))))</f>
        <v>101.85284161767328</v>
      </c>
      <c r="BE5">
        <f>IF($B5=TRUE,BE4*(1+BE44),BE4*(1+(VLOOKUP($A5,'MoM Forecasts'!$2:$25,'Unchained Indices'!BE$2,0))))</f>
        <v>105.61394514227121</v>
      </c>
      <c r="BF5">
        <f>IF($B5=TRUE,BF4*(1+BF44),BF4*(1+(VLOOKUP($A5,'MoM Forecasts'!$2:$25,'Unchained Indices'!BF$2,0))))</f>
        <v>100</v>
      </c>
      <c r="BG5">
        <f>IF($B5=TRUE,BG4*(1+BG44),BG4*(1+(VLOOKUP($A5,'MoM Forecasts'!$2:$25,'Unchained Indices'!BG$2,0))))</f>
        <v>100</v>
      </c>
      <c r="BH5">
        <f>IF($B5=TRUE,BH4*(1+BH44),BH4*(1+(VLOOKUP($A5,'MoM Forecasts'!$2:$25,'Unchained Indices'!BH$2,0))))</f>
        <v>146.86311787072242</v>
      </c>
      <c r="BI5">
        <f>IF($B5=TRUE,BI4*(1+BI44),BI4*(1+(VLOOKUP($A5,'MoM Forecasts'!$2:$25,'Unchained Indices'!BI$2,0))))</f>
        <v>106.88427299703264</v>
      </c>
      <c r="BJ5">
        <f>IF($B5=TRUE,BJ4*(1+BJ44),BJ4*(1+(VLOOKUP($A5,'MoM Forecasts'!$2:$25,'Unchained Indices'!BJ$2,0))))</f>
        <v>105.35650940049662</v>
      </c>
      <c r="BK5">
        <f>IF($B5=TRUE,BK4*(1+BK44),BK4*(1+(VLOOKUP($A5,'MoM Forecasts'!$2:$25,'Unchained Indices'!BK$2,0))))</f>
        <v>103.33716915995396</v>
      </c>
      <c r="BL5">
        <f>IF($B5=TRUE,BL4*(1+BL44),BL4*(1+(VLOOKUP($A5,'MoM Forecasts'!$2:$25,'Unchained Indices'!BL$2,0))))</f>
        <v>103.6216446527482</v>
      </c>
      <c r="BM5">
        <f>IF($B5=TRUE,BM4*(1+BM44),BM4*(1+(VLOOKUP($A5,'MoM Forecasts'!$2:$25,'Unchained Indices'!BM$2,0))))</f>
        <v>102.41187384044527</v>
      </c>
      <c r="BN5">
        <f>IF($B5=TRUE,BN4*(1+BN44),BN4*(1+(VLOOKUP($A5,'MoM Forecasts'!$2:$25,'Unchained Indices'!BN$2,0))))</f>
        <v>102.19281663516068</v>
      </c>
      <c r="BO5">
        <f>IF($B5=TRUE,BO4*(1+BO44),BO4*(1+(VLOOKUP($A5,'MoM Forecasts'!$2:$25,'Unchained Indices'!BO$2,0))))</f>
        <v>100</v>
      </c>
      <c r="BP5">
        <f>IF($B5=TRUE,BP4*(1+BP44),BP4*(1+(VLOOKUP($A5,'MoM Forecasts'!$2:$25,'Unchained Indices'!BP$2,0))))</f>
        <v>99.916736053288929</v>
      </c>
      <c r="BQ5">
        <f>IF($B5=TRUE,BQ4*(1+BQ44),BQ4*(1+(VLOOKUP($A5,'MoM Forecasts'!$2:$25,'Unchained Indices'!BQ$2,0))))</f>
        <v>100.79535683576957</v>
      </c>
      <c r="BR5">
        <f>IF($B5=TRUE,BR4*(1+BR44),BR4*(1+(VLOOKUP($A5,'MoM Forecasts'!$2:$25,'Unchained Indices'!BR$2,0))))</f>
        <v>100.30093821915385</v>
      </c>
      <c r="BS5">
        <f>IF($B5=TRUE,BS4*(1+BS44),BS4*(1+(VLOOKUP($A5,'MoM Forecasts'!$2:$25,'Unchained Indices'!BS$2,0))))</f>
        <v>108.81555153707055</v>
      </c>
      <c r="BT5">
        <f>IF($B5=TRUE,BT4*(1+BT44),BT4*(1+(VLOOKUP($A5,'MoM Forecasts'!$2:$25,'Unchained Indices'!BT$2,0))))</f>
        <v>112.0855614973262</v>
      </c>
      <c r="BU5">
        <f>IF($B5=TRUE,BU4*(1+BU44),BU4*(1+(VLOOKUP($A5,'MoM Forecasts'!$2:$25,'Unchained Indices'!BU$2,0))))</f>
        <v>106.57169117647061</v>
      </c>
      <c r="BV5">
        <f>IF($B5=TRUE,BV4*(1+BV44),BV4*(1+(VLOOKUP($A5,'MoM Forecasts'!$2:$25,'Unchained Indices'!BV$2,0))))</f>
        <v>102.48091603053436</v>
      </c>
      <c r="BW5">
        <f>IF($B5=TRUE,BW4*(1+BW44),BW4*(1+(VLOOKUP($A5,'MoM Forecasts'!$2:$25,'Unchained Indices'!BW$2,0))))</f>
        <v>102.72148233931674</v>
      </c>
      <c r="BX5">
        <f>IF($B5=TRUE,BX4*(1+BX44),BX4*(1+(VLOOKUP($A5,'MoM Forecasts'!$2:$25,'Unchained Indices'!BX$2,0))))</f>
        <v>103.45926263086028</v>
      </c>
      <c r="BY5">
        <f>IF($B5=TRUE,BY4*(1+BY44),BY4*(1+(VLOOKUP($A5,'MoM Forecasts'!$2:$25,'Unchained Indices'!BY$2,0))))</f>
        <v>100.69084628670122</v>
      </c>
      <c r="BZ5">
        <f>IF($B5=TRUE,BZ4*(1+BZ44),BZ4*(1+(VLOOKUP($A5,'MoM Forecasts'!$2:$25,'Unchained Indices'!BZ$2,0))))</f>
        <v>100.6454816285998</v>
      </c>
      <c r="CA5">
        <f>IF($B5=TRUE,CA4*(1+CA44),CA4*(1+(VLOOKUP($A5,'MoM Forecasts'!$2:$25,'Unchained Indices'!CA$2,0))))</f>
        <v>99.830508474576263</v>
      </c>
      <c r="CB5">
        <f>IF($B5=TRUE,CB4*(1+CB44),CB4*(1+(VLOOKUP($A5,'MoM Forecasts'!$2:$25,'Unchained Indices'!CB$2,0))))</f>
        <v>101.66499498495487</v>
      </c>
      <c r="CC5">
        <f>IF($B5=TRUE,CC4*(1+CC44),CC4*(1+(VLOOKUP($A5,'MoM Forecasts'!$2:$25,'Unchained Indices'!CC$2,0))))</f>
        <v>111.72169811320752</v>
      </c>
      <c r="CD5">
        <f>IF($B5=TRUE,CD4*(1+CD44),CD4*(1+(VLOOKUP($A5,'MoM Forecasts'!$2:$25,'Unchained Indices'!CD$2,0))))</f>
        <v>100.16353229762878</v>
      </c>
      <c r="CE5">
        <f>IF($B5=TRUE,CE4*(1+CE44),CE4*(1+(VLOOKUP($A5,'MoM Forecasts'!$2:$25,'Unchained Indices'!CE$2,0))))</f>
        <v>105.91409939284912</v>
      </c>
      <c r="CF5">
        <f>IF($B5=TRUE,CF4*(1+CF44),CF4*(1+(VLOOKUP($A5,'MoM Forecasts'!$2:$25,'Unchained Indices'!CF$2,0))))</f>
        <v>101.8055058991777</v>
      </c>
      <c r="CG5">
        <f>IF($B5=TRUE,CG4*(1+CG44),CG4*(1+(VLOOKUP($A5,'MoM Forecasts'!$2:$25,'Unchained Indices'!CG$2,0))))</f>
        <v>104.66321243523318</v>
      </c>
      <c r="CH5">
        <f>IF($B5=TRUE,CH4*(1+CH44),CH4*(1+(VLOOKUP($A5,'MoM Forecasts'!$2:$25,'Unchained Indices'!CH$2,0))))</f>
        <v>98.529411764705884</v>
      </c>
      <c r="CI5">
        <f>IF($B5=TRUE,CI4*(1+CI44),CI4*(1+(VLOOKUP($A5,'MoM Forecasts'!$2:$25,'Unchained Indices'!CI$2,0))))</f>
        <v>109.72762645914398</v>
      </c>
      <c r="CJ5">
        <f>IF($B5=TRUE,CJ4*(1+CJ44),CJ4*(1+(VLOOKUP($A5,'MoM Forecasts'!$2:$25,'Unchained Indices'!CJ$2,0))))</f>
        <v>104.29268292682929</v>
      </c>
      <c r="CK5">
        <f>IF($B5=TRUE,CK4*(1+CK44),CK4*(1+(VLOOKUP($A5,'MoM Forecasts'!$2:$25,'Unchained Indices'!CK$2,0))))</f>
        <v>103.13582146979607</v>
      </c>
      <c r="CL5">
        <f>IF($B5=TRUE,CL4*(1+CL44),CL4*(1+(VLOOKUP($A5,'MoM Forecasts'!$2:$25,'Unchained Indices'!CL$2,0))))</f>
        <v>103.38208409506397</v>
      </c>
      <c r="CM5">
        <f>IF($B5=TRUE,CM4*(1+CM44),CM4*(1+(VLOOKUP($A5,'MoM Forecasts'!$2:$25,'Unchained Indices'!CM$2,0))))</f>
        <v>100</v>
      </c>
      <c r="CN5">
        <f>IF($B5=TRUE,CN4*(1+CN44),CN4*(1+(VLOOKUP($A5,'MoM Forecasts'!$2:$25,'Unchained Indices'!CN$2,0))))</f>
        <v>100.92086780084281</v>
      </c>
      <c r="CO5">
        <f>IF($B5=TRUE,CO4*(1+CO44),CO4*(1+(VLOOKUP($A5,'MoM Forecasts'!$2:$25,'Unchained Indices'!CO$2,0))))</f>
        <v>99.933554817275748</v>
      </c>
      <c r="CP5">
        <f>IF($B5=TRUE,CP4*(1+CP44),CP4*(1+(VLOOKUP($A5,'MoM Forecasts'!$2:$25,'Unchained Indices'!CP$2,0))))</f>
        <v>104.33414889898636</v>
      </c>
    </row>
    <row r="6" spans="1:109" x14ac:dyDescent="0.25">
      <c r="A6" s="6">
        <f t="shared" si="4"/>
        <v>44652</v>
      </c>
      <c r="B6" s="8" t="b">
        <f>IF(A6&lt;='MoM Forecasts'!$A$2,TRUE,"")</f>
        <v>1</v>
      </c>
      <c r="D6">
        <f>IF($B6=TRUE,D5*(1+D45),D5*(1+(VLOOKUP($A6,'MoM Forecasts'!$2:$25,'Unchained Indices'!D$2,0))))</f>
        <v>101.83447098976107</v>
      </c>
      <c r="E6">
        <f>IF($B6=TRUE,E5*(1+E45),E5*(1+(VLOOKUP($A6,'MoM Forecasts'!$2:$25,'Unchained Indices'!E$2,0))))</f>
        <v>103.81715362865224</v>
      </c>
      <c r="F6">
        <f>IF($B6=TRUE,F5*(1+F45),F5*(1+(VLOOKUP($A6,'MoM Forecasts'!$2:$25,'Unchained Indices'!F$2,0))))</f>
        <v>106.62407531943511</v>
      </c>
      <c r="G6">
        <f>IF($B6=TRUE,G5*(1+G45),G5*(1+(VLOOKUP($A6,'MoM Forecasts'!$2:$25,'Unchained Indices'!G$2,0))))</f>
        <v>102.87169986104676</v>
      </c>
      <c r="H6">
        <f>IF($B6=TRUE,H5*(1+H45),H5*(1+(VLOOKUP($A6,'MoM Forecasts'!$2:$25,'Unchained Indices'!H$2,0))))</f>
        <v>104.75926950747098</v>
      </c>
      <c r="I6">
        <f>IF($B6=TRUE,I5*(1+I45),I5*(1+(VLOOKUP($A6,'MoM Forecasts'!$2:$25,'Unchained Indices'!I$2,0))))</f>
        <v>104.7715223428427</v>
      </c>
      <c r="J6">
        <f>IF($B6=TRUE,J5*(1+J45),J5*(1+(VLOOKUP($A6,'MoM Forecasts'!$2:$25,'Unchained Indices'!J$2,0))))</f>
        <v>100.88644997889405</v>
      </c>
      <c r="K6">
        <f>IF($B6=TRUE,K5*(1+K45),K5*(1+(VLOOKUP($A6,'MoM Forecasts'!$2:$25,'Unchained Indices'!K$2,0))))</f>
        <v>101.6848364717542</v>
      </c>
      <c r="L6">
        <f>IF($B6=TRUE,L5*(1+L45),L5*(1+(VLOOKUP($A6,'MoM Forecasts'!$2:$25,'Unchained Indices'!L$2,0))))</f>
        <v>104.99590499590499</v>
      </c>
      <c r="M6">
        <f>IF($B6=TRUE,M5*(1+M45),M5*(1+(VLOOKUP($A6,'MoM Forecasts'!$2:$25,'Unchained Indices'!M$2,0))))</f>
        <v>103.22743318204741</v>
      </c>
      <c r="N6">
        <f>IF($B6=TRUE,N5*(1+N45),N5*(1+(VLOOKUP($A6,'MoM Forecasts'!$2:$25,'Unchained Indices'!N$2,0))))</f>
        <v>104.55045871559632</v>
      </c>
      <c r="O6">
        <f>IF($B6=TRUE,O5*(1+O45),O5*(1+(VLOOKUP($A6,'MoM Forecasts'!$2:$25,'Unchained Indices'!O$2,0))))</f>
        <v>104.55743879472693</v>
      </c>
      <c r="P6">
        <f>IF($B6=TRUE,P5*(1+P45),P5*(1+(VLOOKUP($A6,'MoM Forecasts'!$2:$25,'Unchained Indices'!P$2,0))))</f>
        <v>104.53885257806826</v>
      </c>
      <c r="Q6">
        <f>IF($B6=TRUE,Q5*(1+Q45),Q5*(1+(VLOOKUP($A6,'MoM Forecasts'!$2:$25,'Unchained Indices'!Q$2,0))))</f>
        <v>104.88808850012863</v>
      </c>
      <c r="R6">
        <f>IF($B6=TRUE,R5*(1+R45),R5*(1+(VLOOKUP($A6,'MoM Forecasts'!$2:$25,'Unchained Indices'!R$2,0))))</f>
        <v>102.23695111847556</v>
      </c>
      <c r="S6">
        <f>IF($B6=TRUE,S5*(1+S45),S5*(1+(VLOOKUP($A6,'MoM Forecasts'!$2:$25,'Unchained Indices'!S$2,0))))</f>
        <v>105.72289156626506</v>
      </c>
      <c r="T6">
        <f>IF($B6=TRUE,T5*(1+T45),T5*(1+(VLOOKUP($A6,'MoM Forecasts'!$2:$25,'Unchained Indices'!T$2,0))))</f>
        <v>99.39081537019679</v>
      </c>
      <c r="U6">
        <f>IF($B6=TRUE,U5*(1+U45),U5*(1+(VLOOKUP($A6,'MoM Forecasts'!$2:$25,'Unchained Indices'!U$2,0))))</f>
        <v>106.06891151135476</v>
      </c>
      <c r="V6">
        <f>IF($B6=TRUE,V5*(1+V45),V5*(1+(VLOOKUP($A6,'MoM Forecasts'!$2:$25,'Unchained Indices'!V$2,0))))</f>
        <v>105.37475345167653</v>
      </c>
      <c r="W6">
        <f>IF($B6=TRUE,W5*(1+W45),W5*(1+(VLOOKUP($A6,'MoM Forecasts'!$2:$25,'Unchained Indices'!W$2,0))))</f>
        <v>101.32978723404256</v>
      </c>
      <c r="X6">
        <f>IF($B6=TRUE,X5*(1+X45),X5*(1+(VLOOKUP($A6,'MoM Forecasts'!$2:$25,'Unchained Indices'!X$2,0))))</f>
        <v>102.43243243243244</v>
      </c>
      <c r="Y6">
        <f>IF($B6=TRUE,Y5*(1+Y45),Y5*(1+(VLOOKUP($A6,'MoM Forecasts'!$2:$25,'Unchained Indices'!Y$2,0))))</f>
        <v>103.24922226062908</v>
      </c>
      <c r="Z6">
        <f>IF($B6=TRUE,Z5*(1+Z45),Z5*(1+(VLOOKUP($A6,'MoM Forecasts'!$2:$25,'Unchained Indices'!Z$2,0))))</f>
        <v>103.94671928959055</v>
      </c>
      <c r="AA6">
        <f>IF($B6=TRUE,AA5*(1+AA45),AA5*(1+(VLOOKUP($A6,'MoM Forecasts'!$2:$25,'Unchained Indices'!AA$2,0))))</f>
        <v>99.511241446725322</v>
      </c>
      <c r="AB6">
        <f>IF($B6=TRUE,AB5*(1+AB45),AB5*(1+(VLOOKUP($A6,'MoM Forecasts'!$2:$25,'Unchained Indices'!AB$2,0))))</f>
        <v>101.91029900332227</v>
      </c>
      <c r="AC6">
        <f>IF($B6=TRUE,AC5*(1+AC45),AC5*(1+(VLOOKUP($A6,'MoM Forecasts'!$2:$25,'Unchained Indices'!AC$2,0))))</f>
        <v>99.721293199554069</v>
      </c>
      <c r="AD6">
        <f>IF($B6=TRUE,AD5*(1+AD45),AD5*(1+(VLOOKUP($A6,'MoM Forecasts'!$2:$25,'Unchained Indices'!AD$2,0))))</f>
        <v>102.45868601370415</v>
      </c>
      <c r="AE6">
        <f>IF($B6=TRUE,AE5*(1+AE45),AE5*(1+(VLOOKUP($A6,'MoM Forecasts'!$2:$25,'Unchained Indices'!AE$2,0))))</f>
        <v>100.10922992900058</v>
      </c>
      <c r="AF6">
        <f>IF($B6=TRUE,AF5*(1+AF45),AF5*(1+(VLOOKUP($A6,'MoM Forecasts'!$2:$25,'Unchained Indices'!AF$2,0))))</f>
        <v>100.06373486297004</v>
      </c>
      <c r="AG6">
        <f>IF($B6=TRUE,AG5*(1+AG45),AG5*(1+(VLOOKUP($A6,'MoM Forecasts'!$2:$25,'Unchained Indices'!AG$2,0))))</f>
        <v>100.28622540250448</v>
      </c>
      <c r="AH6">
        <f>IF($B6=TRUE,AH5*(1+AH45),AH5*(1+(VLOOKUP($A6,'MoM Forecasts'!$2:$25,'Unchained Indices'!AH$2,0))))</f>
        <v>99.056216659827669</v>
      </c>
      <c r="AI6">
        <f>IF($B6=TRUE,AI5*(1+AI45),AI5*(1+(VLOOKUP($A6,'MoM Forecasts'!$2:$25,'Unchained Indices'!AI$2,0))))</f>
        <v>98.277347114556406</v>
      </c>
      <c r="AJ6">
        <f>IF($B6=TRUE,AJ5*(1+AJ45),AJ5*(1+(VLOOKUP($A6,'MoM Forecasts'!$2:$25,'Unchained Indices'!AJ$2,0))))</f>
        <v>102.19097449313276</v>
      </c>
      <c r="AK6">
        <f>IF($B6=TRUE,AK5*(1+AK45),AK5*(1+(VLOOKUP($A6,'MoM Forecasts'!$2:$25,'Unchained Indices'!AK$2,0))))</f>
        <v>103.45655304848775</v>
      </c>
      <c r="AL6">
        <f>IF($B6=TRUE,AL5*(1+AL45),AL5*(1+(VLOOKUP($A6,'MoM Forecasts'!$2:$25,'Unchained Indices'!AL$2,0))))</f>
        <v>103.28947368421053</v>
      </c>
      <c r="AM6">
        <f>IF($B6=TRUE,AM5*(1+AM45),AM5*(1+(VLOOKUP($A6,'MoM Forecasts'!$2:$25,'Unchained Indices'!AM$2,0))))</f>
        <v>101.51946818613487</v>
      </c>
      <c r="AN6">
        <f>IF($B6=TRUE,AN5*(1+AN45),AN5*(1+(VLOOKUP($A6,'MoM Forecasts'!$2:$25,'Unchained Indices'!AN$2,0))))</f>
        <v>102.92887029288703</v>
      </c>
      <c r="AO6">
        <f>IF($B6=TRUE,AO5*(1+AO45),AO5*(1+(VLOOKUP($A6,'MoM Forecasts'!$2:$25,'Unchained Indices'!AO$2,0))))</f>
        <v>101.75233644859811</v>
      </c>
      <c r="AP6">
        <f>IF($B6=TRUE,AP5*(1+AP45),AP5*(1+(VLOOKUP($A6,'MoM Forecasts'!$2:$25,'Unchained Indices'!AP$2,0))))</f>
        <v>102.92397660818712</v>
      </c>
      <c r="AQ6">
        <f>IF($B6=TRUE,AQ5*(1+AQ45),AQ5*(1+(VLOOKUP($A6,'MoM Forecasts'!$2:$25,'Unchained Indices'!AQ$2,0))))</f>
        <v>100.75362318840581</v>
      </c>
      <c r="AR6">
        <f>IF($B6=TRUE,AR5*(1+AR45),AR5*(1+(VLOOKUP($A6,'MoM Forecasts'!$2:$25,'Unchained Indices'!AR$2,0))))</f>
        <v>101.20353982300885</v>
      </c>
      <c r="AS6">
        <f>IF($B6=TRUE,AS5*(1+AS45),AS5*(1+(VLOOKUP($A6,'MoM Forecasts'!$2:$25,'Unchained Indices'!AS$2,0))))</f>
        <v>104.43870967741935</v>
      </c>
      <c r="AT6">
        <f>IF($B6=TRUE,AT5*(1+AT45),AT5*(1+(VLOOKUP($A6,'MoM Forecasts'!$2:$25,'Unchained Indices'!AT$2,0))))</f>
        <v>99.522673031026258</v>
      </c>
      <c r="AU6">
        <f>IF($B6=TRUE,AU5*(1+AU45),AU5*(1+(VLOOKUP($A6,'MoM Forecasts'!$2:$25,'Unchained Indices'!AU$2,0))))</f>
        <v>102.30167597765362</v>
      </c>
      <c r="AV6">
        <f>IF($B6=TRUE,AV5*(1+AV45),AV5*(1+(VLOOKUP($A6,'MoM Forecasts'!$2:$25,'Unchained Indices'!AV$2,0))))</f>
        <v>104.3048798466755</v>
      </c>
      <c r="AW6">
        <f>IF($B6=TRUE,AW5*(1+AW45),AW5*(1+(VLOOKUP($A6,'MoM Forecasts'!$2:$25,'Unchained Indices'!AW$2,0))))</f>
        <v>101.04299160518951</v>
      </c>
      <c r="AX6">
        <f>IF($B6=TRUE,AX5*(1+AX45),AX5*(1+(VLOOKUP($A6,'MoM Forecasts'!$2:$25,'Unchained Indices'!AX$2,0))))</f>
        <v>105.02692998204668</v>
      </c>
      <c r="AY6">
        <f>IF($B6=TRUE,AY5*(1+AY45),AY5*(1+(VLOOKUP($A6,'MoM Forecasts'!$2:$25,'Unchained Indices'!AY$2,0))))</f>
        <v>102.04684532601816</v>
      </c>
      <c r="AZ6">
        <f>IF($B6=TRUE,AZ5*(1+AZ45),AZ5*(1+(VLOOKUP($A6,'MoM Forecasts'!$2:$25,'Unchained Indices'!AZ$2,0))))</f>
        <v>103.42003853564547</v>
      </c>
      <c r="BA6">
        <f>IF($B6=TRUE,BA5*(1+BA45),BA5*(1+(VLOOKUP($A6,'MoM Forecasts'!$2:$25,'Unchained Indices'!BA$2,0))))</f>
        <v>103.81578947368419</v>
      </c>
      <c r="BB6">
        <f>IF($B6=TRUE,BB5*(1+BB45),BB5*(1+(VLOOKUP($A6,'MoM Forecasts'!$2:$25,'Unchained Indices'!BB$2,0))))</f>
        <v>100.94243504839532</v>
      </c>
      <c r="BC6">
        <f>IF($B6=TRUE,BC5*(1+BC45),BC5*(1+(VLOOKUP($A6,'MoM Forecasts'!$2:$25,'Unchained Indices'!BC$2,0))))</f>
        <v>103.78732702112164</v>
      </c>
      <c r="BD6">
        <f>IF($B6=TRUE,BD5*(1+BD45),BD5*(1+(VLOOKUP($A6,'MoM Forecasts'!$2:$25,'Unchained Indices'!BD$2,0))))</f>
        <v>103.1533939070016</v>
      </c>
      <c r="BE6">
        <f>IF($B6=TRUE,BE5*(1+BE45),BE5*(1+(VLOOKUP($A6,'MoM Forecasts'!$2:$25,'Unchained Indices'!BE$2,0))))</f>
        <v>107.8185080748526</v>
      </c>
      <c r="BF6">
        <f>IF($B6=TRUE,BF5*(1+BF45),BF5*(1+(VLOOKUP($A6,'MoM Forecasts'!$2:$25,'Unchained Indices'!BF$2,0))))</f>
        <v>140.53125715594231</v>
      </c>
      <c r="BG6">
        <f>IF($B6=TRUE,BG5*(1+BG45),BG5*(1+(VLOOKUP($A6,'MoM Forecasts'!$2:$25,'Unchained Indices'!BG$2,0))))</f>
        <v>168.80831778192481</v>
      </c>
      <c r="BH6">
        <f>IF($B6=TRUE,BH5*(1+BH45),BH5*(1+(VLOOKUP($A6,'MoM Forecasts'!$2:$25,'Unchained Indices'!BH$2,0))))</f>
        <v>141.31178707224333</v>
      </c>
      <c r="BI6">
        <f>IF($B6=TRUE,BI5*(1+BI45),BI5*(1+(VLOOKUP($A6,'MoM Forecasts'!$2:$25,'Unchained Indices'!BI$2,0))))</f>
        <v>107.3293768545994</v>
      </c>
      <c r="BJ6">
        <f>IF($B6=TRUE,BJ5*(1+BJ45),BJ5*(1+(VLOOKUP($A6,'MoM Forecasts'!$2:$25,'Unchained Indices'!BJ$2,0))))</f>
        <v>103.86661936857041</v>
      </c>
      <c r="BK6">
        <f>IF($B6=TRUE,BK5*(1+BK45),BK5*(1+(VLOOKUP($A6,'MoM Forecasts'!$2:$25,'Unchained Indices'!BK$2,0))))</f>
        <v>102.99194476409666</v>
      </c>
      <c r="BL6">
        <f>IF($B6=TRUE,BL5*(1+BL45),BL5*(1+(VLOOKUP($A6,'MoM Forecasts'!$2:$25,'Unchained Indices'!BL$2,0))))</f>
        <v>103.70685982104816</v>
      </c>
      <c r="BM6">
        <f>IF($B6=TRUE,BM5*(1+BM45),BM5*(1+(VLOOKUP($A6,'MoM Forecasts'!$2:$25,'Unchained Indices'!BM$2,0))))</f>
        <v>105.65862708719851</v>
      </c>
      <c r="BN6">
        <f>IF($B6=TRUE,BN5*(1+BN45),BN5*(1+(VLOOKUP($A6,'MoM Forecasts'!$2:$25,'Unchained Indices'!BN$2,0))))</f>
        <v>102.49527410207939</v>
      </c>
      <c r="BO6">
        <f>IF($B6=TRUE,BO5*(1+BO45),BO5*(1+(VLOOKUP($A6,'MoM Forecasts'!$2:$25,'Unchained Indices'!BO$2,0))))</f>
        <v>105.46235679214402</v>
      </c>
      <c r="BP6">
        <f>IF($B6=TRUE,BP5*(1+BP45),BP5*(1+(VLOOKUP($A6,'MoM Forecasts'!$2:$25,'Unchained Indices'!BP$2,0))))</f>
        <v>103.41382181515404</v>
      </c>
      <c r="BQ6">
        <f>IF($B6=TRUE,BQ5*(1+BQ45),BQ5*(1+(VLOOKUP($A6,'MoM Forecasts'!$2:$25,'Unchained Indices'!BQ$2,0))))</f>
        <v>101.52622527944972</v>
      </c>
      <c r="BR6">
        <f>IF($B6=TRUE,BR5*(1+BR45),BR5*(1+(VLOOKUP($A6,'MoM Forecasts'!$2:$25,'Unchained Indices'!BR$2,0))))</f>
        <v>101.36307311028501</v>
      </c>
      <c r="BS6">
        <f>IF($B6=TRUE,BS5*(1+BS45),BS5*(1+(VLOOKUP($A6,'MoM Forecasts'!$2:$25,'Unchained Indices'!BS$2,0))))</f>
        <v>111.48282097649188</v>
      </c>
      <c r="BT6">
        <f>IF($B6=TRUE,BT5*(1+BT45),BT5*(1+(VLOOKUP($A6,'MoM Forecasts'!$2:$25,'Unchained Indices'!BT$2,0))))</f>
        <v>114.43850267379679</v>
      </c>
      <c r="BU6">
        <f>IF($B6=TRUE,BU5*(1+BU45),BU5*(1+(VLOOKUP($A6,'MoM Forecasts'!$2:$25,'Unchained Indices'!BU$2,0))))</f>
        <v>105.79044117647061</v>
      </c>
      <c r="BV6">
        <f>IF($B6=TRUE,BV5*(1+BV45),BV5*(1+(VLOOKUP($A6,'MoM Forecasts'!$2:$25,'Unchained Indices'!BV$2,0))))</f>
        <v>103.43511450381679</v>
      </c>
      <c r="BW6">
        <f>IF($B6=TRUE,BW5*(1+BW45),BW5*(1+(VLOOKUP($A6,'MoM Forecasts'!$2:$25,'Unchained Indices'!BW$2,0))))</f>
        <v>105.73248407643312</v>
      </c>
      <c r="BX6">
        <f>IF($B6=TRUE,BX5*(1+BX45),BX5*(1+(VLOOKUP($A6,'MoM Forecasts'!$2:$25,'Unchained Indices'!BX$2,0))))</f>
        <v>103.64132908511607</v>
      </c>
      <c r="BY6">
        <f>IF($B6=TRUE,BY5*(1+BY45),BY5*(1+(VLOOKUP($A6,'MoM Forecasts'!$2:$25,'Unchained Indices'!BY$2,0))))</f>
        <v>102.15889464594129</v>
      </c>
      <c r="BZ6">
        <f>IF($B6=TRUE,BZ5*(1+BZ45),BZ5*(1+(VLOOKUP($A6,'MoM Forecasts'!$2:$25,'Unchained Indices'!BZ$2,0))))</f>
        <v>101.98609731876863</v>
      </c>
      <c r="CA6">
        <f>IF($B6=TRUE,CA5*(1+CA45),CA5*(1+(VLOOKUP($A6,'MoM Forecasts'!$2:$25,'Unchained Indices'!CA$2,0))))</f>
        <v>98.983050847457619</v>
      </c>
      <c r="CB6">
        <f>IF($B6=TRUE,CB5*(1+CB45),CB5*(1+(VLOOKUP($A6,'MoM Forecasts'!$2:$25,'Unchained Indices'!CB$2,0))))</f>
        <v>101.36409227683049</v>
      </c>
      <c r="CC6">
        <f>IF($B6=TRUE,CC5*(1+CC45),CC5*(1+(VLOOKUP($A6,'MoM Forecasts'!$2:$25,'Unchained Indices'!CC$2,0))))</f>
        <v>114.24528301886789</v>
      </c>
      <c r="CD6">
        <f>IF($B6=TRUE,CD5*(1+CD45),CD5*(1+(VLOOKUP($A6,'MoM Forecasts'!$2:$25,'Unchained Indices'!CD$2,0))))</f>
        <v>102.6573998364677</v>
      </c>
      <c r="CE6">
        <f>IF($B6=TRUE,CE5*(1+CE45),CE5*(1+(VLOOKUP($A6,'MoM Forecasts'!$2:$25,'Unchained Indices'!CE$2,0))))</f>
        <v>107.37575893861032</v>
      </c>
      <c r="CF6">
        <f>IF($B6=TRUE,CF5*(1+CF45),CF5*(1+(VLOOKUP($A6,'MoM Forecasts'!$2:$25,'Unchained Indices'!CF$2,0))))</f>
        <v>108.13371469431536</v>
      </c>
      <c r="CG6">
        <f>IF($B6=TRUE,CG5*(1+CG45),CG5*(1+(VLOOKUP($A6,'MoM Forecasts'!$2:$25,'Unchained Indices'!CG$2,0))))</f>
        <v>112.38341968911919</v>
      </c>
      <c r="CH6">
        <f>IF($B6=TRUE,CH5*(1+CH45),CH5*(1+(VLOOKUP($A6,'MoM Forecasts'!$2:$25,'Unchained Indices'!CH$2,0))))</f>
        <v>95.588235294117652</v>
      </c>
      <c r="CI6">
        <f>IF($B6=TRUE,CI5*(1+CI45),CI5*(1+(VLOOKUP($A6,'MoM Forecasts'!$2:$25,'Unchained Indices'!CI$2,0))))</f>
        <v>107.15953307392996</v>
      </c>
      <c r="CJ6">
        <f>IF($B6=TRUE,CJ5*(1+CJ45),CJ5*(1+(VLOOKUP($A6,'MoM Forecasts'!$2:$25,'Unchained Indices'!CJ$2,0))))</f>
        <v>103.31707317073172</v>
      </c>
      <c r="CK6">
        <f>IF($B6=TRUE,CK5*(1+CK45),CK5*(1+(VLOOKUP($A6,'MoM Forecasts'!$2:$25,'Unchained Indices'!CK$2,0))))</f>
        <v>101.80838784147748</v>
      </c>
      <c r="CL6">
        <f>IF($B6=TRUE,CL5*(1+CL45),CL5*(1+(VLOOKUP($A6,'MoM Forecasts'!$2:$25,'Unchained Indices'!CL$2,0))))</f>
        <v>102.69652650822668</v>
      </c>
      <c r="CM6">
        <f>IF($B6=TRUE,CM5*(1+CM45),CM5*(1+(VLOOKUP($A6,'MoM Forecasts'!$2:$25,'Unchained Indices'!CM$2,0))))</f>
        <v>101.02171136653895</v>
      </c>
      <c r="CN6">
        <f>IF($B6=TRUE,CN5*(1+CN45),CN5*(1+(VLOOKUP($A6,'MoM Forecasts'!$2:$25,'Unchained Indices'!CN$2,0))))</f>
        <v>103.13719369439673</v>
      </c>
      <c r="CO6">
        <f>IF($B6=TRUE,CO5*(1+CO45),CO5*(1+(VLOOKUP($A6,'MoM Forecasts'!$2:$25,'Unchained Indices'!CO$2,0))))</f>
        <v>100.66445182724252</v>
      </c>
      <c r="CP6">
        <f>IF($B6=TRUE,CP5*(1+CP45),CP5*(1+(VLOOKUP($A6,'MoM Forecasts'!$2:$25,'Unchained Indices'!CP$2,0))))</f>
        <v>104.9982523593149</v>
      </c>
    </row>
    <row r="7" spans="1:109" x14ac:dyDescent="0.25">
      <c r="A7" s="6">
        <f t="shared" si="4"/>
        <v>44682</v>
      </c>
      <c r="B7" s="8" t="b">
        <f>IF(A7&lt;='MoM Forecasts'!$A$2,TRUE,"")</f>
        <v>1</v>
      </c>
      <c r="D7">
        <f>IF($B7=TRUE,D6*(1+D46),D6*(1+(VLOOKUP($A7,'MoM Forecasts'!$2:$25,'Unchained Indices'!D$2,0))))</f>
        <v>103.3703071672355</v>
      </c>
      <c r="E7">
        <f>IF($B7=TRUE,E6*(1+E46),E6*(1+(VLOOKUP($A7,'MoM Forecasts'!$2:$25,'Unchained Indices'!E$2,0))))</f>
        <v>105.93779453345903</v>
      </c>
      <c r="F7">
        <f>IF($B7=TRUE,F6*(1+F46),F6*(1+(VLOOKUP($A7,'MoM Forecasts'!$2:$25,'Unchained Indices'!F$2,0))))</f>
        <v>107.53194351042367</v>
      </c>
      <c r="G7">
        <f>IF($B7=TRUE,G6*(1+G46),G6*(1+(VLOOKUP($A7,'MoM Forecasts'!$2:$25,'Unchained Indices'!G$2,0))))</f>
        <v>104.26123205187585</v>
      </c>
      <c r="H7">
        <f>IF($B7=TRUE,H6*(1+H46),H6*(1+(VLOOKUP($A7,'MoM Forecasts'!$2:$25,'Unchained Indices'!H$2,0))))</f>
        <v>104.59324847814058</v>
      </c>
      <c r="I7">
        <f>IF($B7=TRUE,I6*(1+I46),I6*(1+(VLOOKUP($A7,'MoM Forecasts'!$2:$25,'Unchained Indices'!I$2,0))))</f>
        <v>104.59479929310778</v>
      </c>
      <c r="J7">
        <f>IF($B7=TRUE,J6*(1+J46),J6*(1+(VLOOKUP($A7,'MoM Forecasts'!$2:$25,'Unchained Indices'!J$2,0))))</f>
        <v>103.1236808780076</v>
      </c>
      <c r="K7">
        <f>IF($B7=TRUE,K6*(1+K46),K6*(1+(VLOOKUP($A7,'MoM Forecasts'!$2:$25,'Unchained Indices'!K$2,0))))</f>
        <v>103.66699702675916</v>
      </c>
      <c r="L7">
        <f>IF($B7=TRUE,L6*(1+L46),L6*(1+(VLOOKUP($A7,'MoM Forecasts'!$2:$25,'Unchained Indices'!L$2,0))))</f>
        <v>107.94430794430797</v>
      </c>
      <c r="M7">
        <f>IF($B7=TRUE,M6*(1+M46),M6*(1+(VLOOKUP($A7,'MoM Forecasts'!$2:$25,'Unchained Indices'!M$2,0))))</f>
        <v>104.23600605143723</v>
      </c>
      <c r="N7">
        <f>IF($B7=TRUE,N6*(1+N46),N6*(1+(VLOOKUP($A7,'MoM Forecasts'!$2:$25,'Unchained Indices'!N$2,0))))</f>
        <v>103.88990825688074</v>
      </c>
      <c r="O7">
        <f>IF($B7=TRUE,O6*(1+O46),O6*(1+(VLOOKUP($A7,'MoM Forecasts'!$2:$25,'Unchained Indices'!O$2,0))))</f>
        <v>105.38606403013183</v>
      </c>
      <c r="P7">
        <f>IF($B7=TRUE,P6*(1+P46),P6*(1+(VLOOKUP($A7,'MoM Forecasts'!$2:$25,'Unchained Indices'!P$2,0))))</f>
        <v>102.4328249818446</v>
      </c>
      <c r="Q7">
        <f>IF($B7=TRUE,Q6*(1+Q46),Q6*(1+(VLOOKUP($A7,'MoM Forecasts'!$2:$25,'Unchained Indices'!Q$2,0))))</f>
        <v>109.2873681502444</v>
      </c>
      <c r="R7">
        <f>IF($B7=TRUE,R6*(1+R46),R6*(1+(VLOOKUP($A7,'MoM Forecasts'!$2:$25,'Unchained Indices'!R$2,0))))</f>
        <v>106.00662800331399</v>
      </c>
      <c r="S7">
        <f>IF($B7=TRUE,S6*(1+S46),S6*(1+(VLOOKUP($A7,'MoM Forecasts'!$2:$25,'Unchained Indices'!S$2,0))))</f>
        <v>105.89500860585198</v>
      </c>
      <c r="T7">
        <f>IF($B7=TRUE,T6*(1+T46),T6*(1+(VLOOKUP($A7,'MoM Forecasts'!$2:$25,'Unchained Indices'!T$2,0))))</f>
        <v>105.01405810684159</v>
      </c>
      <c r="U7">
        <f>IF($B7=TRUE,U6*(1+U46),U6*(1+(VLOOKUP($A7,'MoM Forecasts'!$2:$25,'Unchained Indices'!U$2,0))))</f>
        <v>109.00548159749414</v>
      </c>
      <c r="V7">
        <f>IF($B7=TRUE,V6*(1+V46),V6*(1+(VLOOKUP($A7,'MoM Forecasts'!$2:$25,'Unchained Indices'!V$2,0))))</f>
        <v>106.75542406311637</v>
      </c>
      <c r="W7">
        <f>IF($B7=TRUE,W6*(1+W46),W6*(1+(VLOOKUP($A7,'MoM Forecasts'!$2:$25,'Unchained Indices'!W$2,0))))</f>
        <v>103.19148936170214</v>
      </c>
      <c r="X7">
        <f>IF($B7=TRUE,X6*(1+X46),X6*(1+(VLOOKUP($A7,'MoM Forecasts'!$2:$25,'Unchained Indices'!X$2,0))))</f>
        <v>106.32432432432434</v>
      </c>
      <c r="Y7">
        <f>IF($B7=TRUE,Y6*(1+Y46),Y6*(1+(VLOOKUP($A7,'MoM Forecasts'!$2:$25,'Unchained Indices'!Y$2,0))))</f>
        <v>105.46145869339784</v>
      </c>
      <c r="Z7">
        <f>IF($B7=TRUE,Z6*(1+Z46),Z6*(1+(VLOOKUP($A7,'MoM Forecasts'!$2:$25,'Unchained Indices'!Z$2,0))))</f>
        <v>102.41736556487422</v>
      </c>
      <c r="AA7">
        <f>IF($B7=TRUE,AA6*(1+AA46),AA6*(1+(VLOOKUP($A7,'MoM Forecasts'!$2:$25,'Unchained Indices'!AA$2,0))))</f>
        <v>100.87976539589444</v>
      </c>
      <c r="AB7">
        <f>IF($B7=TRUE,AB6*(1+AB46),AB6*(1+(VLOOKUP($A7,'MoM Forecasts'!$2:$25,'Unchained Indices'!AB$2,0))))</f>
        <v>104.06976744186046</v>
      </c>
      <c r="AC7">
        <f>IF($B7=TRUE,AC6*(1+AC46),AC6*(1+(VLOOKUP($A7,'MoM Forecasts'!$2:$25,'Unchained Indices'!AC$2,0))))</f>
        <v>101.50501672240802</v>
      </c>
      <c r="AD7">
        <f>IF($B7=TRUE,AD6*(1+AD46),AD6*(1+(VLOOKUP($A7,'MoM Forecasts'!$2:$25,'Unchained Indices'!AD$2,0))))</f>
        <v>104.75614671503426</v>
      </c>
      <c r="AE7">
        <f>IF($B7=TRUE,AE6*(1+AE46),AE6*(1+(VLOOKUP($A7,'MoM Forecasts'!$2:$25,'Unchained Indices'!AE$2,0))))</f>
        <v>101.85690879300931</v>
      </c>
      <c r="AF7">
        <f>IF($B7=TRUE,AF6*(1+AF46),AF6*(1+(VLOOKUP($A7,'MoM Forecasts'!$2:$25,'Unchained Indices'!AF$2,0))))</f>
        <v>102.10325047801146</v>
      </c>
      <c r="AG7">
        <f>IF($B7=TRUE,AG6*(1+AG46),AG6*(1+(VLOOKUP($A7,'MoM Forecasts'!$2:$25,'Unchained Indices'!AG$2,0))))</f>
        <v>101.10912343470486</v>
      </c>
      <c r="AH7">
        <f>IF($B7=TRUE,AH6*(1+AH46),AH6*(1+(VLOOKUP($A7,'MoM Forecasts'!$2:$25,'Unchained Indices'!AH$2,0))))</f>
        <v>99.138284776364387</v>
      </c>
      <c r="AI7">
        <f>IF($B7=TRUE,AI6*(1+AI46),AI6*(1+(VLOOKUP($A7,'MoM Forecasts'!$2:$25,'Unchained Indices'!AI$2,0))))</f>
        <v>98.708010335917308</v>
      </c>
      <c r="AJ7">
        <f>IF($B7=TRUE,AJ6*(1+AJ46),AJ6*(1+(VLOOKUP($A7,'MoM Forecasts'!$2:$25,'Unchained Indices'!AJ$2,0))))</f>
        <v>100.81752779594505</v>
      </c>
      <c r="AK7">
        <f>IF($B7=TRUE,AK6*(1+AK46),AK6*(1+(VLOOKUP($A7,'MoM Forecasts'!$2:$25,'Unchained Indices'!AK$2,0))))</f>
        <v>105.4728756601056</v>
      </c>
      <c r="AL7">
        <f>IF($B7=TRUE,AL6*(1+AL46),AL6*(1+(VLOOKUP($A7,'MoM Forecasts'!$2:$25,'Unchained Indices'!AL$2,0))))</f>
        <v>104.26315789473685</v>
      </c>
      <c r="AM7">
        <f>IF($B7=TRUE,AM6*(1+AM46),AM6*(1+(VLOOKUP($A7,'MoM Forecasts'!$2:$25,'Unchained Indices'!AM$2,0))))</f>
        <v>102.42165242165244</v>
      </c>
      <c r="AN7">
        <f>IF($B7=TRUE,AN6*(1+AN46),AN6*(1+(VLOOKUP($A7,'MoM Forecasts'!$2:$25,'Unchained Indices'!AN$2,0))))</f>
        <v>104.36715481171548</v>
      </c>
      <c r="AO7">
        <f>IF($B7=TRUE,AO6*(1+AO46),AO6*(1+(VLOOKUP($A7,'MoM Forecasts'!$2:$25,'Unchained Indices'!AO$2,0))))</f>
        <v>102.16121495327103</v>
      </c>
      <c r="AP7">
        <f>IF($B7=TRUE,AP6*(1+AP46),AP6*(1+(VLOOKUP($A7,'MoM Forecasts'!$2:$25,'Unchained Indices'!AP$2,0))))</f>
        <v>103.17823544368166</v>
      </c>
      <c r="AQ7">
        <f>IF($B7=TRUE,AQ6*(1+AQ46),AQ6*(1+(VLOOKUP($A7,'MoM Forecasts'!$2:$25,'Unchained Indices'!AQ$2,0))))</f>
        <v>101.27536231884058</v>
      </c>
      <c r="AR7">
        <f>IF($B7=TRUE,AR6*(1+AR46),AR6*(1+(VLOOKUP($A7,'MoM Forecasts'!$2:$25,'Unchained Indices'!AR$2,0))))</f>
        <v>101.87610619469028</v>
      </c>
      <c r="AS7">
        <f>IF($B7=TRUE,AS6*(1+AS46),AS6*(1+(VLOOKUP($A7,'MoM Forecasts'!$2:$25,'Unchained Indices'!AS$2,0))))</f>
        <v>104.82580645161291</v>
      </c>
      <c r="AT7">
        <f>IF($B7=TRUE,AT6*(1+AT46),AT6*(1+(VLOOKUP($A7,'MoM Forecasts'!$2:$25,'Unchained Indices'!AT$2,0))))</f>
        <v>100.38186157517902</v>
      </c>
      <c r="AU7">
        <f>IF($B7=TRUE,AU6*(1+AU46),AU6*(1+(VLOOKUP($A7,'MoM Forecasts'!$2:$25,'Unchained Indices'!AU$2,0))))</f>
        <v>102.4804469273743</v>
      </c>
      <c r="AV7">
        <f>IF($B7=TRUE,AV6*(1+AV46),AV6*(1+(VLOOKUP($A7,'MoM Forecasts'!$2:$25,'Unchained Indices'!AV$2,0))))</f>
        <v>104.64396284829719</v>
      </c>
      <c r="AW7">
        <f>IF($B7=TRUE,AW6*(1+AW46),AW6*(1+(VLOOKUP($A7,'MoM Forecasts'!$2:$25,'Unchained Indices'!AW$2,0))))</f>
        <v>101.32281862121597</v>
      </c>
      <c r="AX7">
        <f>IF($B7=TRUE,AX6*(1+AX46),AX6*(1+(VLOOKUP($A7,'MoM Forecasts'!$2:$25,'Unchained Indices'!AX$2,0))))</f>
        <v>106.23877917414721</v>
      </c>
      <c r="AY7">
        <f>IF($B7=TRUE,AY6*(1+AY46),AY6*(1+(VLOOKUP($A7,'MoM Forecasts'!$2:$25,'Unchained Indices'!AY$2,0))))</f>
        <v>102.99641274530494</v>
      </c>
      <c r="AZ7">
        <f>IF($B7=TRUE,AZ6*(1+AZ46),AZ6*(1+(VLOOKUP($A7,'MoM Forecasts'!$2:$25,'Unchained Indices'!AZ$2,0))))</f>
        <v>103.42003853564547</v>
      </c>
      <c r="BA7">
        <f>IF($B7=TRUE,BA6*(1+BA46),BA6*(1+(VLOOKUP($A7,'MoM Forecasts'!$2:$25,'Unchained Indices'!BA$2,0))))</f>
        <v>103.81578947368419</v>
      </c>
      <c r="BB7">
        <f>IF($B7=TRUE,BB6*(1+BB46),BB6*(1+(VLOOKUP($A7,'MoM Forecasts'!$2:$25,'Unchained Indices'!BB$2,0))))</f>
        <v>101.04431991849211</v>
      </c>
      <c r="BC7">
        <f>IF($B7=TRUE,BC6*(1+BC46),BC6*(1+(VLOOKUP($A7,'MoM Forecasts'!$2:$25,'Unchained Indices'!BC$2,0))))</f>
        <v>104.80699198834671</v>
      </c>
      <c r="BD7">
        <f>IF($B7=TRUE,BD6*(1+BD46),BD6*(1+(VLOOKUP($A7,'MoM Forecasts'!$2:$25,'Unchained Indices'!BD$2,0))))</f>
        <v>103.6878674505612</v>
      </c>
      <c r="BE7">
        <f>IF($B7=TRUE,BE6*(1+BE46),BE6*(1+(VLOOKUP($A7,'MoM Forecasts'!$2:$25,'Unchained Indices'!BE$2,0))))</f>
        <v>110.71520123045372</v>
      </c>
      <c r="BF7">
        <f>IF($B7=TRUE,BF6*(1+BF46),BF6*(1+(VLOOKUP($A7,'MoM Forecasts'!$2:$25,'Unchained Indices'!BF$2,0))))</f>
        <v>140.53125715594231</v>
      </c>
      <c r="BG7">
        <f>IF($B7=TRUE,BG6*(1+BG46),BG6*(1+(VLOOKUP($A7,'MoM Forecasts'!$2:$25,'Unchained Indices'!BG$2,0))))</f>
        <v>168.80831778192481</v>
      </c>
      <c r="BH7">
        <f>IF($B7=TRUE,BH6*(1+BH46),BH6*(1+(VLOOKUP($A7,'MoM Forecasts'!$2:$25,'Unchained Indices'!BH$2,0))))</f>
        <v>151.59695817490493</v>
      </c>
      <c r="BI7">
        <f>IF($B7=TRUE,BI6*(1+BI46),BI6*(1+(VLOOKUP($A7,'MoM Forecasts'!$2:$25,'Unchained Indices'!BI$2,0))))</f>
        <v>108.57566765578635</v>
      </c>
      <c r="BJ7">
        <f>IF($B7=TRUE,BJ6*(1+BJ46),BJ6*(1+(VLOOKUP($A7,'MoM Forecasts'!$2:$25,'Unchained Indices'!BJ$2,0))))</f>
        <v>105.39198297268534</v>
      </c>
      <c r="BK7">
        <f>IF($B7=TRUE,BK6*(1+BK46),BK6*(1+(VLOOKUP($A7,'MoM Forecasts'!$2:$25,'Unchained Indices'!BK$2,0))))</f>
        <v>103.33716915995396</v>
      </c>
      <c r="BL7">
        <f>IF($B7=TRUE,BL6*(1+BL46),BL6*(1+(VLOOKUP($A7,'MoM Forecasts'!$2:$25,'Unchained Indices'!BL$2,0))))</f>
        <v>105.32594801874734</v>
      </c>
      <c r="BM7">
        <f>IF($B7=TRUE,BM6*(1+BM46),BM6*(1+(VLOOKUP($A7,'MoM Forecasts'!$2:$25,'Unchained Indices'!BM$2,0))))</f>
        <v>106.86456400742115</v>
      </c>
      <c r="BN7">
        <f>IF($B7=TRUE,BN6*(1+BN46),BN6*(1+(VLOOKUP($A7,'MoM Forecasts'!$2:$25,'Unchained Indices'!BN$2,0))))</f>
        <v>103.96975425330811</v>
      </c>
      <c r="BO7">
        <f>IF($B7=TRUE,BO6*(1+BO46),BO6*(1+(VLOOKUP($A7,'MoM Forecasts'!$2:$25,'Unchained Indices'!BO$2,0))))</f>
        <v>105.46235679214402</v>
      </c>
      <c r="BP7">
        <f>IF($B7=TRUE,BP6*(1+BP46),BP6*(1+(VLOOKUP($A7,'MoM Forecasts'!$2:$25,'Unchained Indices'!BP$2,0))))</f>
        <v>103.49708576186511</v>
      </c>
      <c r="BQ7">
        <f>IF($B7=TRUE,BQ6*(1+BQ46),BQ6*(1+(VLOOKUP($A7,'MoM Forecasts'!$2:$25,'Unchained Indices'!BQ$2,0))))</f>
        <v>102.12811693895101</v>
      </c>
      <c r="BR7">
        <f>IF($B7=TRUE,BR6*(1+BR46),BR6*(1+(VLOOKUP($A7,'MoM Forecasts'!$2:$25,'Unchained Indices'!BR$2,0))))</f>
        <v>101.41617985484157</v>
      </c>
      <c r="BS7">
        <f>IF($B7=TRUE,BS6*(1+BS46),BS6*(1+(VLOOKUP($A7,'MoM Forecasts'!$2:$25,'Unchained Indices'!BS$2,0))))</f>
        <v>112.92947558770346</v>
      </c>
      <c r="BT7">
        <f>IF($B7=TRUE,BT6*(1+BT46),BT6*(1+(VLOOKUP($A7,'MoM Forecasts'!$2:$25,'Unchained Indices'!BT$2,0))))</f>
        <v>116.524064171123</v>
      </c>
      <c r="BU7">
        <f>IF($B7=TRUE,BU6*(1+BU46),BU6*(1+(VLOOKUP($A7,'MoM Forecasts'!$2:$25,'Unchained Indices'!BU$2,0))))</f>
        <v>106.93933823529414</v>
      </c>
      <c r="BV7">
        <f>IF($B7=TRUE,BV6*(1+BV46),BV6*(1+(VLOOKUP($A7,'MoM Forecasts'!$2:$25,'Unchained Indices'!BV$2,0))))</f>
        <v>104.08396946564885</v>
      </c>
      <c r="BW7">
        <f>IF($B7=TRUE,BW6*(1+BW46),BW6*(1+(VLOOKUP($A7,'MoM Forecasts'!$2:$25,'Unchained Indices'!BW$2,0))))</f>
        <v>105.84829183555298</v>
      </c>
      <c r="BX7">
        <f>IF($B7=TRUE,BX6*(1+BX46),BX6*(1+(VLOOKUP($A7,'MoM Forecasts'!$2:$25,'Unchained Indices'!BX$2,0))))</f>
        <v>104.77924442421485</v>
      </c>
      <c r="BY7">
        <f>IF($B7=TRUE,BY6*(1+BY46),BY6*(1+(VLOOKUP($A7,'MoM Forecasts'!$2:$25,'Unchained Indices'!BY$2,0))))</f>
        <v>102.07253886010363</v>
      </c>
      <c r="BZ7">
        <f>IF($B7=TRUE,BZ6*(1+BZ46),BZ6*(1+(VLOOKUP($A7,'MoM Forecasts'!$2:$25,'Unchained Indices'!BZ$2,0))))</f>
        <v>102.33366434955312</v>
      </c>
      <c r="CA7">
        <f>IF($B7=TRUE,CA6*(1+CA46),CA6*(1+(VLOOKUP($A7,'MoM Forecasts'!$2:$25,'Unchained Indices'!CA$2,0))))</f>
        <v>98.644067796610173</v>
      </c>
      <c r="CB7">
        <f>IF($B7=TRUE,CB6*(1+CB46),CB6*(1+(VLOOKUP($A7,'MoM Forecasts'!$2:$25,'Unchained Indices'!CB$2,0))))</f>
        <v>102.82848545636911</v>
      </c>
      <c r="CC7">
        <f>IF($B7=TRUE,CC6*(1+CC46),CC6*(1+(VLOOKUP($A7,'MoM Forecasts'!$2:$25,'Unchained Indices'!CC$2,0))))</f>
        <v>116.5330188679245</v>
      </c>
      <c r="CD7">
        <f>IF($B7=TRUE,CD6*(1+CD46),CD6*(1+(VLOOKUP($A7,'MoM Forecasts'!$2:$25,'Unchained Indices'!CD$2,0))))</f>
        <v>105.00817661488145</v>
      </c>
      <c r="CE7">
        <f>IF($B7=TRUE,CE6*(1+CE46),CE6*(1+(VLOOKUP($A7,'MoM Forecasts'!$2:$25,'Unchained Indices'!CE$2,0))))</f>
        <v>104.54238812682709</v>
      </c>
      <c r="CF7">
        <f>IF($B7=TRUE,CF6*(1+CF46),CF6*(1+(VLOOKUP($A7,'MoM Forecasts'!$2:$25,'Unchained Indices'!CF$2,0))))</f>
        <v>104.45119771183413</v>
      </c>
      <c r="CG7">
        <f>IF($B7=TRUE,CG6*(1+CG46),CG6*(1+(VLOOKUP($A7,'MoM Forecasts'!$2:$25,'Unchained Indices'!CG$2,0))))</f>
        <v>114.74093264248707</v>
      </c>
      <c r="CH7">
        <f>IF($B7=TRUE,CH6*(1+CH46),CH6*(1+(VLOOKUP($A7,'MoM Forecasts'!$2:$25,'Unchained Indices'!CH$2,0))))</f>
        <v>95.588235294117652</v>
      </c>
      <c r="CI7">
        <f>IF($B7=TRUE,CI6*(1+CI46),CI6*(1+(VLOOKUP($A7,'MoM Forecasts'!$2:$25,'Unchained Indices'!CI$2,0))))</f>
        <v>109.41634241245136</v>
      </c>
      <c r="CJ7">
        <f>IF($B7=TRUE,CJ6*(1+CJ46),CJ6*(1+(VLOOKUP($A7,'MoM Forecasts'!$2:$25,'Unchained Indices'!CJ$2,0))))</f>
        <v>102.92682926829269</v>
      </c>
      <c r="CK7">
        <f>IF($B7=TRUE,CK6*(1+CK46),CK6*(1+(VLOOKUP($A7,'MoM Forecasts'!$2:$25,'Unchained Indices'!CK$2,0))))</f>
        <v>102.65486725663716</v>
      </c>
      <c r="CL7">
        <f>IF($B7=TRUE,CL6*(1+CL46),CL6*(1+(VLOOKUP($A7,'MoM Forecasts'!$2:$25,'Unchained Indices'!CL$2,0))))</f>
        <v>104.52468007312613</v>
      </c>
      <c r="CM7">
        <f>IF($B7=TRUE,CM6*(1+CM46),CM6*(1+(VLOOKUP($A7,'MoM Forecasts'!$2:$25,'Unchained Indices'!CM$2,0))))</f>
        <v>101.02171136653895</v>
      </c>
      <c r="CN7">
        <f>IF($B7=TRUE,CN6*(1+CN46),CN6*(1+(VLOOKUP($A7,'MoM Forecasts'!$2:$25,'Unchained Indices'!CN$2,0))))</f>
        <v>103.02793819260182</v>
      </c>
      <c r="CO7">
        <f>IF($B7=TRUE,CO6*(1+CO46),CO6*(1+(VLOOKUP($A7,'MoM Forecasts'!$2:$25,'Unchained Indices'!CO$2,0))))</f>
        <v>101.22923588039865</v>
      </c>
      <c r="CP7">
        <f>IF($B7=TRUE,CP6*(1+CP46),CP6*(1+(VLOOKUP($A7,'MoM Forecasts'!$2:$25,'Unchained Indices'!CP$2,0))))</f>
        <v>106.64103460328556</v>
      </c>
    </row>
    <row r="8" spans="1:109" x14ac:dyDescent="0.25">
      <c r="A8" s="6">
        <f t="shared" si="4"/>
        <v>44713</v>
      </c>
      <c r="B8" s="8" t="b">
        <f>IF(A8&lt;='MoM Forecasts'!$A$2,TRUE,"")</f>
        <v>1</v>
      </c>
      <c r="D8">
        <f>IF($B8=TRUE,D7*(1+D47),D7*(1+(VLOOKUP($A8,'MoM Forecasts'!$2:$25,'Unchained Indices'!D$2,0))))</f>
        <v>105.3754266211604</v>
      </c>
      <c r="E8">
        <f>IF($B8=TRUE,E7*(1+E47),E7*(1+(VLOOKUP($A8,'MoM Forecasts'!$2:$25,'Unchained Indices'!E$2,0))))</f>
        <v>105.27803958529691</v>
      </c>
      <c r="F8">
        <f>IF($B8=TRUE,F7*(1+F47),F7*(1+(VLOOKUP($A8,'MoM Forecasts'!$2:$25,'Unchained Indices'!F$2,0))))</f>
        <v>111.16341627437795</v>
      </c>
      <c r="G8">
        <f>IF($B8=TRUE,G7*(1+G47),G7*(1+(VLOOKUP($A8,'MoM Forecasts'!$2:$25,'Unchained Indices'!G$2,0))))</f>
        <v>105.00231588698469</v>
      </c>
      <c r="H8">
        <f>IF($B8=TRUE,H7*(1+H47),H7*(1+(VLOOKUP($A8,'MoM Forecasts'!$2:$25,'Unchained Indices'!H$2,0))))</f>
        <v>107.0835639180963</v>
      </c>
      <c r="I8">
        <f>IF($B8=TRUE,I7*(1+I47),I7*(1+(VLOOKUP($A8,'MoM Forecasts'!$2:$25,'Unchained Indices'!I$2,0))))</f>
        <v>107.09416813935871</v>
      </c>
      <c r="J8">
        <f>IF($B8=TRUE,J7*(1+J47),J7*(1+(VLOOKUP($A8,'MoM Forecasts'!$2:$25,'Unchained Indices'!J$2,0))))</f>
        <v>105.8252427184466</v>
      </c>
      <c r="K8" s="8">
        <f>IF($B8=TRUE,K7*(1+K47),K7*(1+(VLOOKUP($A8,'MoM Forecasts'!$2:$25,'Unchained Indices'!K$2,0))))</f>
        <v>108.67195242814668</v>
      </c>
      <c r="L8">
        <f>IF($B8=TRUE,L7*(1+L47),L7*(1+(VLOOKUP($A8,'MoM Forecasts'!$2:$25,'Unchained Indices'!L$2,0))))</f>
        <v>110.23751023751025</v>
      </c>
      <c r="M8">
        <f>IF($B8=TRUE,M7*(1+M47),M7*(1+(VLOOKUP($A8,'MoM Forecasts'!$2:$25,'Unchained Indices'!M$2,0))))</f>
        <v>106.75743822491175</v>
      </c>
      <c r="N8">
        <f>IF($B8=TRUE,N7*(1+N47),N7*(1+(VLOOKUP($A8,'MoM Forecasts'!$2:$25,'Unchained Indices'!N$2,0))))</f>
        <v>107.8165137614679</v>
      </c>
      <c r="O8">
        <f>IF($B8=TRUE,O7*(1+O47),O7*(1+(VLOOKUP($A8,'MoM Forecasts'!$2:$25,'Unchained Indices'!O$2,0))))</f>
        <v>108.24858757062147</v>
      </c>
      <c r="P8">
        <f>IF($B8=TRUE,P7*(1+P47),P7*(1+(VLOOKUP($A8,'MoM Forecasts'!$2:$25,'Unchained Indices'!P$2,0))))</f>
        <v>107.37109658678287</v>
      </c>
      <c r="Q8">
        <f>IF($B8=TRUE,Q7*(1+Q47),Q7*(1+(VLOOKUP($A8,'MoM Forecasts'!$2:$25,'Unchained Indices'!Q$2,0))))</f>
        <v>116.97967584255208</v>
      </c>
      <c r="R8">
        <f>IF($B8=TRUE,R7*(1+R47),R7*(1+(VLOOKUP($A8,'MoM Forecasts'!$2:$25,'Unchained Indices'!R$2,0))))</f>
        <v>104.059652029826</v>
      </c>
      <c r="S8">
        <f>IF($B8=TRUE,S7*(1+S47),S7*(1+(VLOOKUP($A8,'MoM Forecasts'!$2:$25,'Unchained Indices'!S$2,0))))</f>
        <v>111.74698795180724</v>
      </c>
      <c r="T8">
        <f>IF($B8=TRUE,T7*(1+T47),T7*(1+(VLOOKUP($A8,'MoM Forecasts'!$2:$25,'Unchained Indices'!T$2,0))))</f>
        <v>105.8106841611996</v>
      </c>
      <c r="U8">
        <f>IF($B8=TRUE,U7*(1+U47),U7*(1+(VLOOKUP($A8,'MoM Forecasts'!$2:$25,'Unchained Indices'!U$2,0))))</f>
        <v>113.78230227094755</v>
      </c>
      <c r="V8">
        <f>IF($B8=TRUE,V7*(1+V47),V7*(1+(VLOOKUP($A8,'MoM Forecasts'!$2:$25,'Unchained Indices'!V$2,0))))</f>
        <v>107.49506903353057</v>
      </c>
      <c r="W8">
        <f>IF($B8=TRUE,W7*(1+W47),W7*(1+(VLOOKUP($A8,'MoM Forecasts'!$2:$25,'Unchained Indices'!W$2,0))))</f>
        <v>104.9645390070922</v>
      </c>
      <c r="X8">
        <f>IF($B8=TRUE,X7*(1+X47),X7*(1+(VLOOKUP($A8,'MoM Forecasts'!$2:$25,'Unchained Indices'!X$2,0))))</f>
        <v>104.64864864864867</v>
      </c>
      <c r="Y8">
        <f>IF($B8=TRUE,Y7*(1+Y47),Y7*(1+(VLOOKUP($A8,'MoM Forecasts'!$2:$25,'Unchained Indices'!Y$2,0))))</f>
        <v>104.00967853439334</v>
      </c>
      <c r="Z8">
        <f>IF($B8=TRUE,Z7*(1+Z47),Z7*(1+(VLOOKUP($A8,'MoM Forecasts'!$2:$25,'Unchained Indices'!Z$2,0))))</f>
        <v>103.50271336951161</v>
      </c>
      <c r="AA8">
        <f>IF($B8=TRUE,AA7*(1+AA47),AA7*(1+(VLOOKUP($A8,'MoM Forecasts'!$2:$25,'Unchained Indices'!AA$2,0))))</f>
        <v>99.022482893450629</v>
      </c>
      <c r="AB8">
        <f>IF($B8=TRUE,AB7*(1+AB47),AB7*(1+(VLOOKUP($A8,'MoM Forecasts'!$2:$25,'Unchained Indices'!AB$2,0))))</f>
        <v>104.73421926910299</v>
      </c>
      <c r="AC8">
        <f>IF($B8=TRUE,AC7*(1+AC47),AC7*(1+(VLOOKUP($A8,'MoM Forecasts'!$2:$25,'Unchained Indices'!AC$2,0))))</f>
        <v>104.90523968784836</v>
      </c>
      <c r="AD8">
        <f>IF($B8=TRUE,AD7*(1+AD47),AD7*(1+(VLOOKUP($A8,'MoM Forecasts'!$2:$25,'Unchained Indices'!AD$2,0))))</f>
        <v>104.67553405884725</v>
      </c>
      <c r="AE8">
        <f>IF($B8=TRUE,AE7*(1+AE47),AE7*(1+(VLOOKUP($A8,'MoM Forecasts'!$2:$25,'Unchained Indices'!AE$2,0))))</f>
        <v>103.71381758601859</v>
      </c>
      <c r="AF8">
        <f>IF($B8=TRUE,AF7*(1+AF47),AF7*(1+(VLOOKUP($A8,'MoM Forecasts'!$2:$25,'Unchained Indices'!AF$2,0))))</f>
        <v>103.25047801147227</v>
      </c>
      <c r="AG8">
        <f>IF($B8=TRUE,AG7*(1+AG47),AG7*(1+(VLOOKUP($A8,'MoM Forecasts'!$2:$25,'Unchained Indices'!AG$2,0))))</f>
        <v>105.22361359570665</v>
      </c>
      <c r="AH8">
        <f>IF($B8=TRUE,AH7*(1+AH47),AH7*(1+(VLOOKUP($A8,'MoM Forecasts'!$2:$25,'Unchained Indices'!AH$2,0))))</f>
        <v>99.835863766926551</v>
      </c>
      <c r="AI8">
        <f>IF($B8=TRUE,AI7*(1+AI47),AI7*(1+(VLOOKUP($A8,'MoM Forecasts'!$2:$25,'Unchained Indices'!AI$2,0))))</f>
        <v>99.569336778639098</v>
      </c>
      <c r="AJ8">
        <f>IF($B8=TRUE,AJ7*(1+AJ47),AJ7*(1+(VLOOKUP($A8,'MoM Forecasts'!$2:$25,'Unchained Indices'!AJ$2,0))))</f>
        <v>100.85022890778285</v>
      </c>
      <c r="AK8">
        <f>IF($B8=TRUE,AK7*(1+AK47),AK7*(1+(VLOOKUP($A8,'MoM Forecasts'!$2:$25,'Unchained Indices'!AK$2,0))))</f>
        <v>107.44119059049449</v>
      </c>
      <c r="AL8">
        <f>IF($B8=TRUE,AL7*(1+AL47),AL7*(1+(VLOOKUP($A8,'MoM Forecasts'!$2:$25,'Unchained Indices'!AL$2,0))))</f>
        <v>104.86842105263159</v>
      </c>
      <c r="AM8">
        <f>IF($B8=TRUE,AM7*(1+AM47),AM7*(1+(VLOOKUP($A8,'MoM Forecasts'!$2:$25,'Unchained Indices'!AM$2,0))))</f>
        <v>102.27920227920231</v>
      </c>
      <c r="AN8">
        <f>IF($B8=TRUE,AN7*(1+AN47),AN7*(1+(VLOOKUP($A8,'MoM Forecasts'!$2:$25,'Unchained Indices'!AN$2,0))))</f>
        <v>105.88389121338911</v>
      </c>
      <c r="AO8">
        <f>IF($B8=TRUE,AO7*(1+AO47),AO7*(1+(VLOOKUP($A8,'MoM Forecasts'!$2:$25,'Unchained Indices'!AO$2,0))))</f>
        <v>102.59929906542055</v>
      </c>
      <c r="AP8">
        <f>IF($B8=TRUE,AP7*(1+AP47),AP7*(1+(VLOOKUP($A8,'MoM Forecasts'!$2:$25,'Unchained Indices'!AP$2,0))))</f>
        <v>103.22908721078058</v>
      </c>
      <c r="AQ8">
        <f>IF($B8=TRUE,AQ7*(1+AQ47),AQ7*(1+(VLOOKUP($A8,'MoM Forecasts'!$2:$25,'Unchained Indices'!AQ$2,0))))</f>
        <v>102.02898550724638</v>
      </c>
      <c r="AR8">
        <f>IF($B8=TRUE,AR7*(1+AR47),AR7*(1+(VLOOKUP($A8,'MoM Forecasts'!$2:$25,'Unchained Indices'!AR$2,0))))</f>
        <v>101.94690265486726</v>
      </c>
      <c r="AS8">
        <f>IF($B8=TRUE,AS7*(1+AS47),AS7*(1+(VLOOKUP($A8,'MoM Forecasts'!$2:$25,'Unchained Indices'!AS$2,0))))</f>
        <v>105.31612903225808</v>
      </c>
      <c r="AT8">
        <f>IF($B8=TRUE,AT7*(1+AT47),AT7*(1+(VLOOKUP($A8,'MoM Forecasts'!$2:$25,'Unchained Indices'!AT$2,0))))</f>
        <v>100.23866348448689</v>
      </c>
      <c r="AU8">
        <f>IF($B8=TRUE,AU7*(1+AU47),AU7*(1+(VLOOKUP($A8,'MoM Forecasts'!$2:$25,'Unchained Indices'!AU$2,0))))</f>
        <v>102.4804469273743</v>
      </c>
      <c r="AV8">
        <f>IF($B8=TRUE,AV7*(1+AV47),AV7*(1+(VLOOKUP($A8,'MoM Forecasts'!$2:$25,'Unchained Indices'!AV$2,0))))</f>
        <v>104.93881763231607</v>
      </c>
      <c r="AW8">
        <f>IF($B8=TRUE,AW7*(1+AW47),AW7*(1+(VLOOKUP($A8,'MoM Forecasts'!$2:$25,'Unchained Indices'!AW$2,0))))</f>
        <v>101.57720681760367</v>
      </c>
      <c r="AX8">
        <f>IF($B8=TRUE,AX7*(1+AX47),AX7*(1+(VLOOKUP($A8,'MoM Forecasts'!$2:$25,'Unchained Indices'!AX$2,0))))</f>
        <v>108.70736086175941</v>
      </c>
      <c r="AY8">
        <f>IF($B8=TRUE,AY7*(1+AY47),AY7*(1+(VLOOKUP($A8,'MoM Forecasts'!$2:$25,'Unchained Indices'!AY$2,0))))</f>
        <v>103.54505169867062</v>
      </c>
      <c r="AZ8">
        <f>IF($B8=TRUE,AZ7*(1+AZ47),AZ7*(1+(VLOOKUP($A8,'MoM Forecasts'!$2:$25,'Unchained Indices'!AZ$2,0))))</f>
        <v>103.42003853564547</v>
      </c>
      <c r="BA8">
        <f>IF($B8=TRUE,BA7*(1+BA47),BA7*(1+(VLOOKUP($A8,'MoM Forecasts'!$2:$25,'Unchained Indices'!BA$2,0))))</f>
        <v>103.81578947368419</v>
      </c>
      <c r="BB8">
        <f>IF($B8=TRUE,BB7*(1+BB47),BB7*(1+(VLOOKUP($A8,'MoM Forecasts'!$2:$25,'Unchained Indices'!BB$2,0))))</f>
        <v>101.24808965868569</v>
      </c>
      <c r="BC8">
        <f>IF($B8=TRUE,BC7*(1+BC47),BC7*(1+(VLOOKUP($A8,'MoM Forecasts'!$2:$25,'Unchained Indices'!BC$2,0))))</f>
        <v>104.98907501820833</v>
      </c>
      <c r="BD8">
        <f>IF($B8=TRUE,BD7*(1+BD47),BD7*(1+(VLOOKUP($A8,'MoM Forecasts'!$2:$25,'Unchained Indices'!BD$2,0))))</f>
        <v>105.16657758774274</v>
      </c>
      <c r="BE8">
        <f>IF($B8=TRUE,BE7*(1+BE47),BE7*(1+(VLOOKUP($A8,'MoM Forecasts'!$2:$25,'Unchained Indices'!BE$2,0))))</f>
        <v>116.43168418354267</v>
      </c>
      <c r="BF8">
        <f>IF($B8=TRUE,BF7*(1+BF47),BF7*(1+(VLOOKUP($A8,'MoM Forecasts'!$2:$25,'Unchained Indices'!BF$2,0))))</f>
        <v>140.53125715594231</v>
      </c>
      <c r="BG8">
        <f>IF($B8=TRUE,BG7*(1+BG47),BG7*(1+(VLOOKUP($A8,'MoM Forecasts'!$2:$25,'Unchained Indices'!BG$2,0))))</f>
        <v>168.80831778192481</v>
      </c>
      <c r="BH8">
        <f>IF($B8=TRUE,BH7*(1+BH47),BH7*(1+(VLOOKUP($A8,'MoM Forecasts'!$2:$25,'Unchained Indices'!BH$2,0))))</f>
        <v>159.16349809885929</v>
      </c>
      <c r="BI8">
        <f>IF($B8=TRUE,BI7*(1+BI47),BI7*(1+(VLOOKUP($A8,'MoM Forecasts'!$2:$25,'Unchained Indices'!BI$2,0))))</f>
        <v>111.63204747774481</v>
      </c>
      <c r="BJ8">
        <f>IF($B8=TRUE,BJ7*(1+BJ47),BJ7*(1+(VLOOKUP($A8,'MoM Forecasts'!$2:$25,'Unchained Indices'!BJ$2,0))))</f>
        <v>106.2433487052146</v>
      </c>
      <c r="BK8">
        <f>IF($B8=TRUE,BK7*(1+BK47),BK7*(1+(VLOOKUP($A8,'MoM Forecasts'!$2:$25,'Unchained Indices'!BK$2,0))))</f>
        <v>103.10701956271575</v>
      </c>
      <c r="BL8">
        <f>IF($B8=TRUE,BL7*(1+BL47),BL7*(1+(VLOOKUP($A8,'MoM Forecasts'!$2:$25,'Unchained Indices'!BL$2,0))))</f>
        <v>105.66680869194718</v>
      </c>
      <c r="BM8">
        <f>IF($B8=TRUE,BM7*(1+BM47),BM7*(1+(VLOOKUP($A8,'MoM Forecasts'!$2:$25,'Unchained Indices'!BM$2,0))))</f>
        <v>107.32838589981446</v>
      </c>
      <c r="BN8">
        <f>IF($B8=TRUE,BN7*(1+BN47),BN7*(1+(VLOOKUP($A8,'MoM Forecasts'!$2:$25,'Unchained Indices'!BN$2,0))))</f>
        <v>104.49905482041585</v>
      </c>
      <c r="BO8">
        <f>IF($B8=TRUE,BO7*(1+BO47),BO7*(1+(VLOOKUP($A8,'MoM Forecasts'!$2:$25,'Unchained Indices'!BO$2,0))))</f>
        <v>105.46235679214402</v>
      </c>
      <c r="BP8">
        <f>IF($B8=TRUE,BP7*(1+BP47),BP7*(1+(VLOOKUP($A8,'MoM Forecasts'!$2:$25,'Unchained Indices'!BP$2,0))))</f>
        <v>104.57951706910907</v>
      </c>
      <c r="BQ8">
        <f>IF($B8=TRUE,BQ7*(1+BQ47),BQ7*(1+(VLOOKUP($A8,'MoM Forecasts'!$2:$25,'Unchained Indices'!BQ$2,0))))</f>
        <v>102.77300085984524</v>
      </c>
      <c r="BR8">
        <f>IF($B8=TRUE,BR7*(1+BR47),BR7*(1+(VLOOKUP($A8,'MoM Forecasts'!$2:$25,'Unchained Indices'!BR$2,0))))</f>
        <v>101.38077535847054</v>
      </c>
      <c r="BS8">
        <f>IF($B8=TRUE,BS7*(1+BS47),BS7*(1+(VLOOKUP($A8,'MoM Forecasts'!$2:$25,'Unchained Indices'!BS$2,0))))</f>
        <v>113.01989150090418</v>
      </c>
      <c r="BT8">
        <f>IF($B8=TRUE,BT7*(1+BT47),BT7*(1+(VLOOKUP($A8,'MoM Forecasts'!$2:$25,'Unchained Indices'!BT$2,0))))</f>
        <v>115.98930481283423</v>
      </c>
      <c r="BU8">
        <f>IF($B8=TRUE,BU7*(1+BU47),BU7*(1+(VLOOKUP($A8,'MoM Forecasts'!$2:$25,'Unchained Indices'!BU$2,0))))</f>
        <v>109.14522058823532</v>
      </c>
      <c r="BV8">
        <f>IF($B8=TRUE,BV7*(1+BV47),BV7*(1+(VLOOKUP($A8,'MoM Forecasts'!$2:$25,'Unchained Indices'!BV$2,0))))</f>
        <v>104.8854961832061</v>
      </c>
      <c r="BW8">
        <f>IF($B8=TRUE,BW7*(1+BW47),BW7*(1+(VLOOKUP($A8,'MoM Forecasts'!$2:$25,'Unchained Indices'!BW$2,0))))</f>
        <v>105.79038795599304</v>
      </c>
      <c r="BX8">
        <f>IF($B8=TRUE,BX7*(1+BX47),BX7*(1+(VLOOKUP($A8,'MoM Forecasts'!$2:$25,'Unchained Indices'!BX$2,0))))</f>
        <v>104.2785616750114</v>
      </c>
      <c r="BY8">
        <f>IF($B8=TRUE,BY7*(1+BY47),BY7*(1+(VLOOKUP($A8,'MoM Forecasts'!$2:$25,'Unchained Indices'!BY$2,0))))</f>
        <v>103.32469775474956</v>
      </c>
      <c r="BZ8">
        <f>IF($B8=TRUE,BZ7*(1+BZ47),BZ7*(1+(VLOOKUP($A8,'MoM Forecasts'!$2:$25,'Unchained Indices'!BZ$2,0))))</f>
        <v>102.54882489241973</v>
      </c>
      <c r="CA8">
        <f>IF($B8=TRUE,CA7*(1+CA47),CA7*(1+(VLOOKUP($A8,'MoM Forecasts'!$2:$25,'Unchained Indices'!CA$2,0))))</f>
        <v>97.457627118644069</v>
      </c>
      <c r="CB8">
        <f>IF($B8=TRUE,CB7*(1+CB47),CB7*(1+(VLOOKUP($A8,'MoM Forecasts'!$2:$25,'Unchained Indices'!CB$2,0))))</f>
        <v>103.45035105315948</v>
      </c>
      <c r="CC8">
        <f>IF($B8=TRUE,CC7*(1+CC47),CC7*(1+(VLOOKUP($A8,'MoM Forecasts'!$2:$25,'Unchained Indices'!CC$2,0))))</f>
        <v>126.627358490566</v>
      </c>
      <c r="CD8">
        <f>IF($B8=TRUE,CD7*(1+CD47),CD7*(1+(VLOOKUP($A8,'MoM Forecasts'!$2:$25,'Unchained Indices'!CD$2,0))))</f>
        <v>107.51226492232217</v>
      </c>
      <c r="CE8">
        <f>IF($B8=TRUE,CE7*(1+CE47),CE7*(1+(VLOOKUP($A8,'MoM Forecasts'!$2:$25,'Unchained Indices'!CE$2,0))))</f>
        <v>106.04902181245787</v>
      </c>
      <c r="CF8">
        <f>IF($B8=TRUE,CF7*(1+CF47),CF7*(1+(VLOOKUP($A8,'MoM Forecasts'!$2:$25,'Unchained Indices'!CF$2,0))))</f>
        <v>106.64998212370399</v>
      </c>
      <c r="CG8">
        <f>IF($B8=TRUE,CG7*(1+CG47),CG7*(1+(VLOOKUP($A8,'MoM Forecasts'!$2:$25,'Unchained Indices'!CG$2,0))))</f>
        <v>119.0155440414508</v>
      </c>
      <c r="CH8">
        <f>IF($B8=TRUE,CH7*(1+CH47),CH7*(1+(VLOOKUP($A8,'MoM Forecasts'!$2:$25,'Unchained Indices'!CH$2,0))))</f>
        <v>97.058823529411768</v>
      </c>
      <c r="CI8">
        <f>IF($B8=TRUE,CI7*(1+CI47),CI7*(1+(VLOOKUP($A8,'MoM Forecasts'!$2:$25,'Unchained Indices'!CI$2,0))))</f>
        <v>106.77042801556419</v>
      </c>
      <c r="CJ8">
        <f>IF($B8=TRUE,CJ7*(1+CJ47),CJ7*(1+(VLOOKUP($A8,'MoM Forecasts'!$2:$25,'Unchained Indices'!CJ$2,0))))</f>
        <v>102.14634146341464</v>
      </c>
      <c r="CK8">
        <f>IF($B8=TRUE,CK7*(1+CK47),CK7*(1+(VLOOKUP($A8,'MoM Forecasts'!$2:$25,'Unchained Indices'!CK$2,0))))</f>
        <v>107.04116968064638</v>
      </c>
      <c r="CL8">
        <f>IF($B8=TRUE,CL7*(1+CL47),CL7*(1+(VLOOKUP($A8,'MoM Forecasts'!$2:$25,'Unchained Indices'!CL$2,0))))</f>
        <v>105.3473491773309</v>
      </c>
      <c r="CM8">
        <f>IF($B8=TRUE,CM7*(1+CM47),CM7*(1+(VLOOKUP($A8,'MoM Forecasts'!$2:$25,'Unchained Indices'!CM$2,0))))</f>
        <v>101.02171136653895</v>
      </c>
      <c r="CN8">
        <f>IF($B8=TRUE,CN7*(1+CN47),CN7*(1+(VLOOKUP($A8,'MoM Forecasts'!$2:$25,'Unchained Indices'!CN$2,0))))</f>
        <v>103.63664741688775</v>
      </c>
      <c r="CO8">
        <f>IF($B8=TRUE,CO7*(1+CO47),CO7*(1+(VLOOKUP($A8,'MoM Forecasts'!$2:$25,'Unchained Indices'!CO$2,0))))</f>
        <v>101.96013289036541</v>
      </c>
      <c r="CP8">
        <f>IF($B8=TRUE,CP7*(1+CP47),CP7*(1+(VLOOKUP($A8,'MoM Forecasts'!$2:$25,'Unchained Indices'!CP$2,0))))</f>
        <v>110.38098566934637</v>
      </c>
    </row>
    <row r="9" spans="1:109" x14ac:dyDescent="0.25">
      <c r="A9" s="6">
        <f t="shared" si="4"/>
        <v>44743</v>
      </c>
      <c r="B9" s="8" t="b">
        <f>IF(A9&lt;='MoM Forecasts'!$A$2,TRUE,"")</f>
        <v>1</v>
      </c>
      <c r="D9">
        <f>IF($B9=TRUE,D8*(1+D48),D8*(1+(VLOOKUP($A9,'MoM Forecasts'!$2:$25,'Unchained Indices'!D$2,0))))</f>
        <v>107.08191126279861</v>
      </c>
      <c r="E9">
        <f>IF($B9=TRUE,E8*(1+E48),E8*(1+(VLOOKUP($A9,'MoM Forecasts'!$2:$25,'Unchained Indices'!E$2,0))))</f>
        <v>107.82280867106506</v>
      </c>
      <c r="F9">
        <f>IF($B9=TRUE,F8*(1+F48),F8*(1+(VLOOKUP($A9,'MoM Forecasts'!$2:$25,'Unchained Indices'!F$2,0))))</f>
        <v>112.67652992602555</v>
      </c>
      <c r="G9">
        <f>IF($B9=TRUE,G8*(1+G48),G8*(1+(VLOOKUP($A9,'MoM Forecasts'!$2:$25,'Unchained Indices'!G$2,0))))</f>
        <v>106.577119036591</v>
      </c>
      <c r="H9">
        <f>IF($B9=TRUE,H8*(1+H48),H8*(1+(VLOOKUP($A9,'MoM Forecasts'!$2:$25,'Unchained Indices'!H$2,0))))</f>
        <v>107.85832872163807</v>
      </c>
      <c r="I9">
        <f>IF($B9=TRUE,I8*(1+I48),I8*(1+(VLOOKUP($A9,'MoM Forecasts'!$2:$25,'Unchained Indices'!I$2,0))))</f>
        <v>107.87679878818477</v>
      </c>
      <c r="J9">
        <f>IF($B9=TRUE,J8*(1+J48),J8*(1+(VLOOKUP($A9,'MoM Forecasts'!$2:$25,'Unchained Indices'!J$2,0))))</f>
        <v>110.46855213170113</v>
      </c>
      <c r="K9">
        <f>IF($B9=TRUE,K8*(1+K48),K8*(1+(VLOOKUP($A9,'MoM Forecasts'!$2:$25,'Unchained Indices'!K$2,0))))</f>
        <v>111.99207135777999</v>
      </c>
      <c r="L9">
        <f>IF($B9=TRUE,L8*(1+L48),L8*(1+(VLOOKUP($A9,'MoM Forecasts'!$2:$25,'Unchained Indices'!L$2,0))))</f>
        <v>111.95741195741196</v>
      </c>
      <c r="M9">
        <f>IF($B9=TRUE,M8*(1+M48),M8*(1+(VLOOKUP($A9,'MoM Forecasts'!$2:$25,'Unchained Indices'!M$2,0))))</f>
        <v>108.77458396369137</v>
      </c>
      <c r="N9">
        <f>IF($B9=TRUE,N8*(1+N48),N8*(1+(VLOOKUP($A9,'MoM Forecasts'!$2:$25,'Unchained Indices'!N$2,0))))</f>
        <v>109.57798165137615</v>
      </c>
      <c r="O9">
        <f>IF($B9=TRUE,O8*(1+O48),O8*(1+(VLOOKUP($A9,'MoM Forecasts'!$2:$25,'Unchained Indices'!O$2,0))))</f>
        <v>110.05649717514125</v>
      </c>
      <c r="P9">
        <f>IF($B9=TRUE,P8*(1+P48),P8*(1+(VLOOKUP($A9,'MoM Forecasts'!$2:$25,'Unchained Indices'!P$2,0))))</f>
        <v>109.1140159767611</v>
      </c>
      <c r="Q9">
        <f>IF($B9=TRUE,Q8*(1+Q48),Q8*(1+(VLOOKUP($A9,'MoM Forecasts'!$2:$25,'Unchained Indices'!Q$2,0))))</f>
        <v>121.76485721636223</v>
      </c>
      <c r="R9">
        <f>IF($B9=TRUE,R8*(1+R48),R8*(1+(VLOOKUP($A9,'MoM Forecasts'!$2:$25,'Unchained Indices'!R$2,0))))</f>
        <v>111.7232808616404</v>
      </c>
      <c r="S9">
        <f>IF($B9=TRUE,S8*(1+S48),S8*(1+(VLOOKUP($A9,'MoM Forecasts'!$2:$25,'Unchained Indices'!S$2,0))))</f>
        <v>113.94148020654046</v>
      </c>
      <c r="T9">
        <f>IF($B9=TRUE,T8*(1+T48),T8*(1+(VLOOKUP($A9,'MoM Forecasts'!$2:$25,'Unchained Indices'!T$2,0))))</f>
        <v>108.0131208997188</v>
      </c>
      <c r="U9">
        <f>IF($B9=TRUE,U8*(1+U48),U8*(1+(VLOOKUP($A9,'MoM Forecasts'!$2:$25,'Unchained Indices'!U$2,0))))</f>
        <v>119.65544244322633</v>
      </c>
      <c r="V9">
        <f>IF($B9=TRUE,V8*(1+V48),V8*(1+(VLOOKUP($A9,'MoM Forecasts'!$2:$25,'Unchained Indices'!V$2,0))))</f>
        <v>109.17159763313609</v>
      </c>
      <c r="W9">
        <f>IF($B9=TRUE,W8*(1+W48),W8*(1+(VLOOKUP($A9,'MoM Forecasts'!$2:$25,'Unchained Indices'!W$2,0))))</f>
        <v>105.98404255319147</v>
      </c>
      <c r="X9">
        <f>IF($B9=TRUE,X8*(1+X48),X8*(1+(VLOOKUP($A9,'MoM Forecasts'!$2:$25,'Unchained Indices'!X$2,0))))</f>
        <v>108.27027027027032</v>
      </c>
      <c r="Y9">
        <f>IF($B9=TRUE,Y8*(1+Y48),Y8*(1+(VLOOKUP($A9,'MoM Forecasts'!$2:$25,'Unchained Indices'!Y$2,0))))</f>
        <v>105.66885585896992</v>
      </c>
      <c r="Z9">
        <f>IF($B9=TRUE,Z8*(1+Z48),Z8*(1+(VLOOKUP($A9,'MoM Forecasts'!$2:$25,'Unchained Indices'!Z$2,0))))</f>
        <v>105.52540700542676</v>
      </c>
      <c r="AA9">
        <f>IF($B9=TRUE,AA8*(1+AA48),AA8*(1+(VLOOKUP($A9,'MoM Forecasts'!$2:$25,'Unchained Indices'!AA$2,0))))</f>
        <v>101.010101010101</v>
      </c>
      <c r="AB9">
        <f>IF($B9=TRUE,AB8*(1+AB48),AB8*(1+(VLOOKUP($A9,'MoM Forecasts'!$2:$25,'Unchained Indices'!AB$2,0))))</f>
        <v>109.17774086378736</v>
      </c>
      <c r="AC9">
        <f>IF($B9=TRUE,AC8*(1+AC48),AC8*(1+(VLOOKUP($A9,'MoM Forecasts'!$2:$25,'Unchained Indices'!AC$2,0))))</f>
        <v>109.2530657748049</v>
      </c>
      <c r="AD9">
        <f>IF($B9=TRUE,AD8*(1+AD48),AD8*(1+(VLOOKUP($A9,'MoM Forecasts'!$2:$25,'Unchained Indices'!AD$2,0))))</f>
        <v>109.18984280532042</v>
      </c>
      <c r="AE9">
        <f>IF($B9=TRUE,AE8*(1+AE48),AE8*(1+(VLOOKUP($A9,'MoM Forecasts'!$2:$25,'Unchained Indices'!AE$2,0))))</f>
        <v>105.29765155652652</v>
      </c>
      <c r="AF9">
        <f>IF($B9=TRUE,AF8*(1+AF48),AF8*(1+(VLOOKUP($A9,'MoM Forecasts'!$2:$25,'Unchained Indices'!AF$2,0))))</f>
        <v>104.20650095602294</v>
      </c>
      <c r="AG9">
        <f>IF($B9=TRUE,AG8*(1+AG48),AG8*(1+(VLOOKUP($A9,'MoM Forecasts'!$2:$25,'Unchained Indices'!AG$2,0))))</f>
        <v>109.15921288014314</v>
      </c>
      <c r="AH9">
        <f>IF($B9=TRUE,AH8*(1+AH48),AH8*(1+(VLOOKUP($A9,'MoM Forecasts'!$2:$25,'Unchained Indices'!AH$2,0))))</f>
        <v>100.82068116536725</v>
      </c>
      <c r="AI9">
        <f>IF($B9=TRUE,AI8*(1+AI48),AI8*(1+(VLOOKUP($A9,'MoM Forecasts'!$2:$25,'Unchained Indices'!AI$2,0))))</f>
        <v>100.51679586563307</v>
      </c>
      <c r="AJ9">
        <f>IF($B9=TRUE,AJ8*(1+AJ48),AJ8*(1+(VLOOKUP($A9,'MoM Forecasts'!$2:$25,'Unchained Indices'!AJ$2,0))))</f>
        <v>101.83126226291692</v>
      </c>
      <c r="AK9">
        <f>IF($B9=TRUE,AK8*(1+AK48),AK8*(1+(VLOOKUP($A9,'MoM Forecasts'!$2:$25,'Unchained Indices'!AK$2,0))))</f>
        <v>111.23379740758521</v>
      </c>
      <c r="AL9">
        <f>IF($B9=TRUE,AL8*(1+AL48),AL8*(1+(VLOOKUP($A9,'MoM Forecasts'!$2:$25,'Unchained Indices'!AL$2,0))))</f>
        <v>105.5</v>
      </c>
      <c r="AM9">
        <f>IF($B9=TRUE,AM8*(1+AM48),AM8*(1+(VLOOKUP($A9,'MoM Forecasts'!$2:$25,'Unchained Indices'!AM$2,0))))</f>
        <v>101.99430199430203</v>
      </c>
      <c r="AN9">
        <f>IF($B9=TRUE,AN8*(1+AN48),AN8*(1+(VLOOKUP($A9,'MoM Forecasts'!$2:$25,'Unchained Indices'!AN$2,0))))</f>
        <v>106.87761506276151</v>
      </c>
      <c r="AO9">
        <f>IF($B9=TRUE,AO8*(1+AO48),AO8*(1+(VLOOKUP($A9,'MoM Forecasts'!$2:$25,'Unchained Indices'!AO$2,0))))</f>
        <v>102.62850467289718</v>
      </c>
      <c r="AP9">
        <f>IF($B9=TRUE,AP8*(1+AP48),AP8*(1+(VLOOKUP($A9,'MoM Forecasts'!$2:$25,'Unchained Indices'!AP$2,0))))</f>
        <v>103.40706839562675</v>
      </c>
      <c r="AQ9">
        <f>IF($B9=TRUE,AQ8*(1+AQ48),AQ8*(1+(VLOOKUP($A9,'MoM Forecasts'!$2:$25,'Unchained Indices'!AQ$2,0))))</f>
        <v>101.97101449275362</v>
      </c>
      <c r="AR9">
        <f>IF($B9=TRUE,AR8*(1+AR48),AR8*(1+(VLOOKUP($A9,'MoM Forecasts'!$2:$25,'Unchained Indices'!AR$2,0))))</f>
        <v>102.3716814159292</v>
      </c>
      <c r="AS9">
        <f>IF($B9=TRUE,AS8*(1+AS48),AS8*(1+(VLOOKUP($A9,'MoM Forecasts'!$2:$25,'Unchained Indices'!AS$2,0))))</f>
        <v>105.78064516129032</v>
      </c>
      <c r="AT9">
        <f>IF($B9=TRUE,AT8*(1+AT48),AT8*(1+(VLOOKUP($A9,'MoM Forecasts'!$2:$25,'Unchained Indices'!AT$2,0))))</f>
        <v>100.66825775656326</v>
      </c>
      <c r="AU9">
        <f>IF($B9=TRUE,AU8*(1+AU48),AU8*(1+(VLOOKUP($A9,'MoM Forecasts'!$2:$25,'Unchained Indices'!AU$2,0))))</f>
        <v>102.68156424581007</v>
      </c>
      <c r="AV9">
        <f>IF($B9=TRUE,AV8*(1+AV48),AV8*(1+(VLOOKUP($A9,'MoM Forecasts'!$2:$25,'Unchained Indices'!AV$2,0))))</f>
        <v>104.95356037151701</v>
      </c>
      <c r="AW9">
        <f>IF($B9=TRUE,AW8*(1+AW48),AW8*(1+(VLOOKUP($A9,'MoM Forecasts'!$2:$25,'Unchained Indices'!AW$2,0))))</f>
        <v>102.39124904604427</v>
      </c>
      <c r="AX9">
        <f>IF($B9=TRUE,AX8*(1+AX48),AX8*(1+(VLOOKUP($A9,'MoM Forecasts'!$2:$25,'Unchained Indices'!AX$2,0))))</f>
        <v>113.95870736086174</v>
      </c>
      <c r="AY9">
        <f>IF($B9=TRUE,AY8*(1+AY48),AY8*(1+(VLOOKUP($A9,'MoM Forecasts'!$2:$25,'Unchained Indices'!AY$2,0))))</f>
        <v>104.0936906520363</v>
      </c>
      <c r="AZ9">
        <f>IF($B9=TRUE,AZ8*(1+AZ48),AZ8*(1+(VLOOKUP($A9,'MoM Forecasts'!$2:$25,'Unchained Indices'!AZ$2,0))))</f>
        <v>103.42003853564547</v>
      </c>
      <c r="BA9">
        <f>IF($B9=TRUE,BA8*(1+BA48),BA8*(1+(VLOOKUP($A9,'MoM Forecasts'!$2:$25,'Unchained Indices'!BA$2,0))))</f>
        <v>103.81578947368419</v>
      </c>
      <c r="BB9">
        <f>IF($B9=TRUE,BB8*(1+BB48),BB8*(1+(VLOOKUP($A9,'MoM Forecasts'!$2:$25,'Unchained Indices'!BB$2,0))))</f>
        <v>101.29903209373407</v>
      </c>
      <c r="BC9">
        <f>IF($B9=TRUE,BC8*(1+BC48),BC8*(1+(VLOOKUP($A9,'MoM Forecasts'!$2:$25,'Unchained Indices'!BC$2,0))))</f>
        <v>105.53532410779316</v>
      </c>
      <c r="BD9">
        <f>IF($B9=TRUE,BD8*(1+BD48),BD8*(1+(VLOOKUP($A9,'MoM Forecasts'!$2:$25,'Unchained Indices'!BD$2,0))))</f>
        <v>106.53839301621238</v>
      </c>
      <c r="BE9">
        <f>IF($B9=TRUE,BE8*(1+BE48),BE8*(1+(VLOOKUP($A9,'MoM Forecasts'!$2:$25,'Unchained Indices'!BE$2,0))))</f>
        <v>120.99461676493206</v>
      </c>
      <c r="BF9">
        <f>IF($B9=TRUE,BF8*(1+BF48),BF8*(1+(VLOOKUP($A9,'MoM Forecasts'!$2:$25,'Unchained Indices'!BF$2,0))))</f>
        <v>141.17242958552785</v>
      </c>
      <c r="BG9">
        <f>IF($B9=TRUE,BG8*(1+BG48),BG8*(1+(VLOOKUP($A9,'MoM Forecasts'!$2:$25,'Unchained Indices'!BG$2,0))))</f>
        <v>168.80831778192481</v>
      </c>
      <c r="BH9">
        <f>IF($B9=TRUE,BH8*(1+BH48),BH8*(1+(VLOOKUP($A9,'MoM Forecasts'!$2:$25,'Unchained Indices'!BH$2,0))))</f>
        <v>152.85171102661593</v>
      </c>
      <c r="BI9">
        <f>IF($B9=TRUE,BI8*(1+BI48),BI8*(1+(VLOOKUP($A9,'MoM Forecasts'!$2:$25,'Unchained Indices'!BI$2,0))))</f>
        <v>108.01186943620179</v>
      </c>
      <c r="BJ9">
        <f>IF($B9=TRUE,BJ8*(1+BJ48),BJ8*(1+(VLOOKUP($A9,'MoM Forecasts'!$2:$25,'Unchained Indices'!BJ$2,0))))</f>
        <v>105.49840368925148</v>
      </c>
      <c r="BK9">
        <f>IF($B9=TRUE,BK8*(1+BK48),BK8*(1+(VLOOKUP($A9,'MoM Forecasts'!$2:$25,'Unchained Indices'!BK$2,0))))</f>
        <v>102.87686996547757</v>
      </c>
      <c r="BL9">
        <f>IF($B9=TRUE,BL8*(1+BL48),BL8*(1+(VLOOKUP($A9,'MoM Forecasts'!$2:$25,'Unchained Indices'!BL$2,0))))</f>
        <v>106.4337452066468</v>
      </c>
      <c r="BM9">
        <f>IF($B9=TRUE,BM8*(1+BM48),BM8*(1+(VLOOKUP($A9,'MoM Forecasts'!$2:$25,'Unchained Indices'!BM$2,0))))</f>
        <v>109.46196660482373</v>
      </c>
      <c r="BN9">
        <f>IF($B9=TRUE,BN8*(1+BN48),BN8*(1+(VLOOKUP($A9,'MoM Forecasts'!$2:$25,'Unchained Indices'!BN$2,0))))</f>
        <v>107.0321361058601</v>
      </c>
      <c r="BO9">
        <f>IF($B9=TRUE,BO8*(1+BO48),BO8*(1+(VLOOKUP($A9,'MoM Forecasts'!$2:$25,'Unchained Indices'!BO$2,0))))</f>
        <v>105.46235679214402</v>
      </c>
      <c r="BP9">
        <f>IF($B9=TRUE,BP8*(1+BP48),BP8*(1+(VLOOKUP($A9,'MoM Forecasts'!$2:$25,'Unchained Indices'!BP$2,0))))</f>
        <v>104.91257285595339</v>
      </c>
      <c r="BQ9">
        <f>IF($B9=TRUE,BQ8*(1+BQ48),BQ8*(1+(VLOOKUP($A9,'MoM Forecasts'!$2:$25,'Unchained Indices'!BQ$2,0))))</f>
        <v>103.50386930352536</v>
      </c>
      <c r="BR9">
        <f>IF($B9=TRUE,BR8*(1+BR48),BR8*(1+(VLOOKUP($A9,'MoM Forecasts'!$2:$25,'Unchained Indices'!BR$2,0))))</f>
        <v>101.91184280403613</v>
      </c>
      <c r="BS9">
        <f>IF($B9=TRUE,BS8*(1+BS48),BS8*(1+(VLOOKUP($A9,'MoM Forecasts'!$2:$25,'Unchained Indices'!BS$2,0))))</f>
        <v>112.43218806509947</v>
      </c>
      <c r="BT9">
        <f>IF($B9=TRUE,BT8*(1+BT48),BT8*(1+(VLOOKUP($A9,'MoM Forecasts'!$2:$25,'Unchained Indices'!BT$2,0))))</f>
        <v>114.01069518716578</v>
      </c>
      <c r="BU9">
        <f>IF($B9=TRUE,BU8*(1+BU48),BU8*(1+(VLOOKUP($A9,'MoM Forecasts'!$2:$25,'Unchained Indices'!BU$2,0))))</f>
        <v>107.30698529411767</v>
      </c>
      <c r="BV9">
        <f>IF($B9=TRUE,BV8*(1+BV48),BV8*(1+(VLOOKUP($A9,'MoM Forecasts'!$2:$25,'Unchained Indices'!BV$2,0))))</f>
        <v>104.69465648854961</v>
      </c>
      <c r="BW9">
        <f>IF($B9=TRUE,BW8*(1+BW48),BW8*(1+(VLOOKUP($A9,'MoM Forecasts'!$2:$25,'Unchained Indices'!BW$2,0))))</f>
        <v>105.38506079907353</v>
      </c>
      <c r="BX9">
        <f>IF($B9=TRUE,BX8*(1+BX48),BX8*(1+(VLOOKUP($A9,'MoM Forecasts'!$2:$25,'Unchained Indices'!BX$2,0))))</f>
        <v>103.77787892580795</v>
      </c>
      <c r="BY9">
        <f>IF($B9=TRUE,BY8*(1+BY48),BY8*(1+(VLOOKUP($A9,'MoM Forecasts'!$2:$25,'Unchained Indices'!BY$2,0))))</f>
        <v>103.54058721934369</v>
      </c>
      <c r="BZ9">
        <f>IF($B9=TRUE,BZ8*(1+BZ48),BZ8*(1+(VLOOKUP($A9,'MoM Forecasts'!$2:$25,'Unchained Indices'!BZ$2,0))))</f>
        <v>102.66468056934789</v>
      </c>
      <c r="CA9">
        <f>IF($B9=TRUE,CA8*(1+CA48),CA8*(1+(VLOOKUP($A9,'MoM Forecasts'!$2:$25,'Unchained Indices'!CA$2,0))))</f>
        <v>98.135593220338976</v>
      </c>
      <c r="CB9">
        <f>IF($B9=TRUE,CB8*(1+CB48),CB8*(1+(VLOOKUP($A9,'MoM Forecasts'!$2:$25,'Unchained Indices'!CB$2,0))))</f>
        <v>103.59077231695085</v>
      </c>
      <c r="CC9">
        <f>IF($B9=TRUE,CC8*(1+CC48),CC8*(1+(VLOOKUP($A9,'MoM Forecasts'!$2:$25,'Unchained Indices'!CC$2,0))))</f>
        <v>132.16981132075466</v>
      </c>
      <c r="CD9">
        <f>IF($B9=TRUE,CD8*(1+CD48),CD8*(1+(VLOOKUP($A9,'MoM Forecasts'!$2:$25,'Unchained Indices'!CD$2,0))))</f>
        <v>111.70278004905971</v>
      </c>
      <c r="CE9">
        <f>IF($B9=TRUE,CE8*(1+CE48),CE8*(1+(VLOOKUP($A9,'MoM Forecasts'!$2:$25,'Unchained Indices'!CE$2,0))))</f>
        <v>108.5225995052845</v>
      </c>
      <c r="CF9">
        <f>IF($B9=TRUE,CF8*(1+CF48),CF8*(1+(VLOOKUP($A9,'MoM Forecasts'!$2:$25,'Unchained Indices'!CF$2,0))))</f>
        <v>107.74043618162318</v>
      </c>
      <c r="CG9">
        <f>IF($B9=TRUE,CG8*(1+CG48),CG8*(1+(VLOOKUP($A9,'MoM Forecasts'!$2:$25,'Unchained Indices'!CG$2,0))))</f>
        <v>133.78238341968913</v>
      </c>
      <c r="CH9">
        <f>IF($B9=TRUE,CH8*(1+CH48),CH8*(1+(VLOOKUP($A9,'MoM Forecasts'!$2:$25,'Unchained Indices'!CH$2,0))))</f>
        <v>95.588235294117652</v>
      </c>
      <c r="CI9">
        <f>IF($B9=TRUE,CI8*(1+CI48),CI8*(1+(VLOOKUP($A9,'MoM Forecasts'!$2:$25,'Unchained Indices'!CI$2,0))))</f>
        <v>104.20233463035019</v>
      </c>
      <c r="CJ9">
        <f>IF($B9=TRUE,CJ8*(1+CJ48),CJ8*(1+(VLOOKUP($A9,'MoM Forecasts'!$2:$25,'Unchained Indices'!CJ$2,0))))</f>
        <v>103.21951219512196</v>
      </c>
      <c r="CK9">
        <f>IF($B9=TRUE,CK8*(1+CK48),CK8*(1+(VLOOKUP($A9,'MoM Forecasts'!$2:$25,'Unchained Indices'!CK$2,0))))</f>
        <v>104.96344747979991</v>
      </c>
      <c r="CL9">
        <f>IF($B9=TRUE,CL8*(1+CL48),CL8*(1+(VLOOKUP($A9,'MoM Forecasts'!$2:$25,'Unchained Indices'!CL$2,0))))</f>
        <v>104.47897623400365</v>
      </c>
      <c r="CM9">
        <f>IF($B9=TRUE,CM8*(1+CM48),CM8*(1+(VLOOKUP($A9,'MoM Forecasts'!$2:$25,'Unchained Indices'!CM$2,0))))</f>
        <v>101.02171136653895</v>
      </c>
      <c r="CN9">
        <f>IF($B9=TRUE,CN8*(1+CN48),CN8*(1+(VLOOKUP($A9,'MoM Forecasts'!$2:$25,'Unchained Indices'!CN$2,0))))</f>
        <v>104.79163415014824</v>
      </c>
      <c r="CO9">
        <f>IF($B9=TRUE,CO8*(1+CO48),CO8*(1+(VLOOKUP($A9,'MoM Forecasts'!$2:$25,'Unchained Indices'!CO$2,0))))</f>
        <v>103.4551495016611</v>
      </c>
      <c r="CP9">
        <f>IF($B9=TRUE,CP8*(1+CP48),CP8*(1+(VLOOKUP($A9,'MoM Forecasts'!$2:$25,'Unchained Indices'!CP$2,0))))</f>
        <v>113.49178608878013</v>
      </c>
    </row>
    <row r="10" spans="1:109" x14ac:dyDescent="0.25">
      <c r="A10" s="6">
        <f t="shared" si="4"/>
        <v>44774</v>
      </c>
      <c r="B10" s="8" t="str">
        <f>IF(A10&lt;='MoM Forecasts'!$A$2,TRUE,"")</f>
        <v/>
      </c>
      <c r="D10">
        <f>IF($B10=TRUE,D9*(1+D49),D9*(1+(VLOOKUP($A10,'MoM Forecasts'!$2:$25,'Unchained Indices'!D$2,0))))</f>
        <v>107.15237563990878</v>
      </c>
      <c r="E10">
        <f>IF($B10=TRUE,E9*(1+E49),E9*(1+(VLOOKUP($A10,'MoM Forecasts'!$2:$25,'Unchained Indices'!E$2,0))))</f>
        <v>107.88611496837024</v>
      </c>
      <c r="F10">
        <f>IF($B10=TRUE,F9*(1+F49),F9*(1+(VLOOKUP($A10,'MoM Forecasts'!$2:$25,'Unchained Indices'!F$2,0))))</f>
        <v>112.75337208671198</v>
      </c>
      <c r="G10">
        <f>IF($B10=TRUE,G9*(1+G49),G9*(1+(VLOOKUP($A10,'MoM Forecasts'!$2:$25,'Unchained Indices'!G$2,0))))</f>
        <v>106.64396342864714</v>
      </c>
      <c r="H10">
        <f>IF($B10=TRUE,H9*(1+H49),H9*(1+(VLOOKUP($A10,'MoM Forecasts'!$2:$25,'Unchained Indices'!H$2,0))))</f>
        <v>107.94724628969523</v>
      </c>
      <c r="I10">
        <f>IF($B10=TRUE,I9*(1+I49),I9*(1+(VLOOKUP($A10,'MoM Forecasts'!$2:$25,'Unchained Indices'!I$2,0))))</f>
        <v>107.96563480545039</v>
      </c>
      <c r="J10">
        <f>IF($B10=TRUE,J9*(1+J49),J9*(1+(VLOOKUP($A10,'MoM Forecasts'!$2:$25,'Unchained Indices'!J$2,0))))</f>
        <v>110.54640255133815</v>
      </c>
      <c r="K10">
        <f>IF($B10=TRUE,K9*(1+K49),K9*(1+(VLOOKUP($A10,'MoM Forecasts'!$2:$25,'Unchained Indices'!K$2,0))))</f>
        <v>112.06263287447788</v>
      </c>
      <c r="L10">
        <f>IF($B10=TRUE,L9*(1+L49),L9*(1+(VLOOKUP($A10,'MoM Forecasts'!$2:$25,'Unchained Indices'!L$2,0))))</f>
        <v>111.9858514613929</v>
      </c>
      <c r="M10">
        <f>IF($B10=TRUE,M9*(1+M49),M9*(1+(VLOOKUP($A10,'MoM Forecasts'!$2:$25,'Unchained Indices'!M$2,0))))</f>
        <v>108.83500301208986</v>
      </c>
      <c r="N10">
        <f>IF($B10=TRUE,N9*(1+N49),N9*(1+(VLOOKUP($A10,'MoM Forecasts'!$2:$25,'Unchained Indices'!N$2,0))))</f>
        <v>109.66396210077781</v>
      </c>
      <c r="O10">
        <f>IF($B10=TRUE,O9*(1+O49),O9*(1+(VLOOKUP($A10,'MoM Forecasts'!$2:$25,'Unchained Indices'!O$2,0))))</f>
        <v>110.14358299706865</v>
      </c>
      <c r="P10">
        <f>IF($B10=TRUE,P9*(1+P49),P9*(1+(VLOOKUP($A10,'MoM Forecasts'!$2:$25,'Unchained Indices'!P$2,0))))</f>
        <v>109.19760984563638</v>
      </c>
      <c r="Q10">
        <f>IF($B10=TRUE,Q9*(1+Q49),Q9*(1+(VLOOKUP($A10,'MoM Forecasts'!$2:$25,'Unchained Indices'!Q$2,0))))</f>
        <v>121.8595653780674</v>
      </c>
      <c r="R10">
        <f>IF($B10=TRUE,R9*(1+R49),R9*(1+(VLOOKUP($A10,'MoM Forecasts'!$2:$25,'Unchained Indices'!R$2,0))))</f>
        <v>111.78234229264537</v>
      </c>
      <c r="S10">
        <f>IF($B10=TRUE,S9*(1+S49),S9*(1+(VLOOKUP($A10,'MoM Forecasts'!$2:$25,'Unchained Indices'!S$2,0))))</f>
        <v>114.02222263997878</v>
      </c>
      <c r="T10">
        <f>IF($B10=TRUE,T9*(1+T49),T9*(1+(VLOOKUP($A10,'MoM Forecasts'!$2:$25,'Unchained Indices'!T$2,0))))</f>
        <v>108.09751719493646</v>
      </c>
      <c r="U10">
        <f>IF($B10=TRUE,U9*(1+U49),U9*(1+(VLOOKUP($A10,'MoM Forecasts'!$2:$25,'Unchained Indices'!U$2,0))))</f>
        <v>119.73141519323842</v>
      </c>
      <c r="V10">
        <f>IF($B10=TRUE,V9*(1+V49),V9*(1+(VLOOKUP($A10,'MoM Forecasts'!$2:$25,'Unchained Indices'!V$2,0))))</f>
        <v>109.2230894239724</v>
      </c>
      <c r="W10">
        <f>IF($B10=TRUE,W9*(1+W49),W9*(1+(VLOOKUP($A10,'MoM Forecasts'!$2:$25,'Unchained Indices'!W$2,0))))</f>
        <v>106.0480615938322</v>
      </c>
      <c r="X10">
        <f>IF($B10=TRUE,X9*(1+X49),X9*(1+(VLOOKUP($A10,'MoM Forecasts'!$2:$25,'Unchained Indices'!X$2,0))))</f>
        <v>108.33796863724102</v>
      </c>
      <c r="Y10">
        <f>IF($B10=TRUE,Y9*(1+Y49),Y9*(1+(VLOOKUP($A10,'MoM Forecasts'!$2:$25,'Unchained Indices'!Y$2,0))))</f>
        <v>105.7371990030169</v>
      </c>
      <c r="Z10">
        <f>IF($B10=TRUE,Z9*(1+Z49),Z9*(1+(VLOOKUP($A10,'MoM Forecasts'!$2:$25,'Unchained Indices'!Z$2,0))))</f>
        <v>105.57989629968306</v>
      </c>
      <c r="AA10">
        <f>IF($B10=TRUE,AA9*(1+AA49),AA9*(1+(VLOOKUP($A10,'MoM Forecasts'!$2:$25,'Unchained Indices'!AA$2,0))))</f>
        <v>101.10353714694949</v>
      </c>
      <c r="AB10">
        <f>IF($B10=TRUE,AB9*(1+AB49),AB9*(1+(VLOOKUP($A10,'MoM Forecasts'!$2:$25,'Unchained Indices'!AB$2,0))))</f>
        <v>109.25240280118391</v>
      </c>
      <c r="AC10">
        <f>IF($B10=TRUE,AC9*(1+AC49),AC9*(1+(VLOOKUP($A10,'MoM Forecasts'!$2:$25,'Unchained Indices'!AC$2,0))))</f>
        <v>120.37739511907017</v>
      </c>
      <c r="AD10">
        <f>IF($B10=TRUE,AD9*(1+AD49),AD9*(1+(VLOOKUP($A10,'MoM Forecasts'!$2:$25,'Unchained Indices'!AD$2,0))))</f>
        <v>109.25412548082096</v>
      </c>
      <c r="AE10">
        <f>IF($B10=TRUE,AE9*(1+AE49),AE9*(1+(VLOOKUP($A10,'MoM Forecasts'!$2:$25,'Unchained Indices'!AE$2,0))))</f>
        <v>104.43073258164669</v>
      </c>
      <c r="AF10">
        <f>IF($B10=TRUE,AF9*(1+AF49),AF9*(1+(VLOOKUP($A10,'MoM Forecasts'!$2:$25,'Unchained Indices'!AF$2,0))))</f>
        <v>103.88536232799493</v>
      </c>
      <c r="AG10">
        <f>IF($B10=TRUE,AG9*(1+AG49),AG9*(1+(VLOOKUP($A10,'MoM Forecasts'!$2:$25,'Unchained Indices'!AG$2,0))))</f>
        <v>109.24022526896034</v>
      </c>
      <c r="AH10">
        <f>IF($B10=TRUE,AH9*(1+AH49),AH9*(1+(VLOOKUP($A10,'MoM Forecasts'!$2:$25,'Unchained Indices'!AH$2,0))))</f>
        <v>100.88788440538622</v>
      </c>
      <c r="AI10">
        <f>IF($B10=TRUE,AI9*(1+AI49),AI9*(1+(VLOOKUP($A10,'MoM Forecasts'!$2:$25,'Unchained Indices'!AI$2,0))))</f>
        <v>100.36085090091652</v>
      </c>
      <c r="AJ10">
        <f>IF($B10=TRUE,AJ9*(1+AJ49),AJ9*(1+(VLOOKUP($A10,'MoM Forecasts'!$2:$25,'Unchained Indices'!AJ$2,0))))</f>
        <v>101.91239469320108</v>
      </c>
      <c r="AK10">
        <f>IF($B10=TRUE,AK9*(1+AK49),AK9*(1+(VLOOKUP($A10,'MoM Forecasts'!$2:$25,'Unchained Indices'!AK$2,0))))</f>
        <v>111.28974393402272</v>
      </c>
      <c r="AL10">
        <f>IF($B10=TRUE,AL9*(1+AL49),AL9*(1+(VLOOKUP($A10,'MoM Forecasts'!$2:$25,'Unchained Indices'!AL$2,0))))</f>
        <v>105.583940544523</v>
      </c>
      <c r="AM10">
        <f>IF($B10=TRUE,AM9*(1+AM49),AM9*(1+(VLOOKUP($A10,'MoM Forecasts'!$2:$25,'Unchained Indices'!AM$2,0))))</f>
        <v>102.0875314321673</v>
      </c>
      <c r="AN10">
        <f>IF($B10=TRUE,AN9*(1+AN49),AN9*(1+(VLOOKUP($A10,'MoM Forecasts'!$2:$25,'Unchained Indices'!AN$2,0))))</f>
        <v>106.9602357080979</v>
      </c>
      <c r="AO10">
        <f>IF($B10=TRUE,AO9*(1+AO49),AO9*(1+(VLOOKUP($A10,'MoM Forecasts'!$2:$25,'Unchained Indices'!AO$2,0))))</f>
        <v>102.71093654718103</v>
      </c>
      <c r="AP10">
        <f>IF($B10=TRUE,AP9*(1+AP49),AP9*(1+(VLOOKUP($A10,'MoM Forecasts'!$2:$25,'Unchained Indices'!AP$2,0))))</f>
        <v>103.49478098176665</v>
      </c>
      <c r="AQ10">
        <f>IF($B10=TRUE,AQ9*(1+AQ49),AQ9*(1+(VLOOKUP($A10,'MoM Forecasts'!$2:$25,'Unchained Indices'!AQ$2,0))))</f>
        <v>102.0070569861018</v>
      </c>
      <c r="AR10">
        <f>IF($B10=TRUE,AR9*(1+AR49),AR9*(1+(VLOOKUP($A10,'MoM Forecasts'!$2:$25,'Unchained Indices'!AR$2,0))))</f>
        <v>102.44649019873303</v>
      </c>
      <c r="AS10">
        <f>IF($B10=TRUE,AS9*(1+AS49),AS9*(1+(VLOOKUP($A10,'MoM Forecasts'!$2:$25,'Unchained Indices'!AS$2,0))))</f>
        <v>105.8689108851662</v>
      </c>
      <c r="AT10">
        <f>IF($B10=TRUE,AT9*(1+AT49),AT9*(1+(VLOOKUP($A10,'MoM Forecasts'!$2:$25,'Unchained Indices'!AT$2,0))))</f>
        <v>100.72571348941888</v>
      </c>
      <c r="AU10">
        <f>IF($B10=TRUE,AU9*(1+AU49),AU9*(1+(VLOOKUP($A10,'MoM Forecasts'!$2:$25,'Unchained Indices'!AU$2,0))))</f>
        <v>102.78575597143102</v>
      </c>
      <c r="AV10">
        <f>IF($B10=TRUE,AV9*(1+AV49),AV9*(1+(VLOOKUP($A10,'MoM Forecasts'!$2:$25,'Unchained Indices'!AV$2,0))))</f>
        <v>105.04727358100695</v>
      </c>
      <c r="AW10">
        <f>IF($B10=TRUE,AW9*(1+AW49),AW9*(1+(VLOOKUP($A10,'MoM Forecasts'!$2:$25,'Unchained Indices'!AW$2,0))))</f>
        <v>102.47736539457922</v>
      </c>
      <c r="AX10">
        <f>IF($B10=TRUE,AX9*(1+AX49),AX9*(1+(VLOOKUP($A10,'MoM Forecasts'!$2:$25,'Unchained Indices'!AX$2,0))))</f>
        <v>114.41325677518242</v>
      </c>
      <c r="AY10">
        <f>IF($B10=TRUE,AY9*(1+AY49),AY9*(1+(VLOOKUP($A10,'MoM Forecasts'!$2:$25,'Unchained Indices'!AY$2,0))))</f>
        <v>104.20733092915948</v>
      </c>
      <c r="AZ10">
        <f>IF($B10=TRUE,AZ9*(1+AZ49),AZ9*(1+(VLOOKUP($A10,'MoM Forecasts'!$2:$25,'Unchained Indices'!AZ$2,0))))</f>
        <v>103.51143833510247</v>
      </c>
      <c r="BA10">
        <f>IF($B10=TRUE,BA9*(1+BA49),BA9*(1+(VLOOKUP($A10,'MoM Forecasts'!$2:$25,'Unchained Indices'!BA$2,0))))</f>
        <v>103.91884892882659</v>
      </c>
      <c r="BB10">
        <f>IF($B10=TRUE,BB9*(1+BB49),BB9*(1+(VLOOKUP($A10,'MoM Forecasts'!$2:$25,'Unchained Indices'!BB$2,0))))</f>
        <v>101.400904625995</v>
      </c>
      <c r="BC10">
        <f>IF($B10=TRUE,BC9*(1+BC49),BC9*(1+(VLOOKUP($A10,'MoM Forecasts'!$2:$25,'Unchained Indices'!BC$2,0))))</f>
        <v>105.59842162897972</v>
      </c>
      <c r="BD10">
        <f>IF($B10=TRUE,BD9*(1+BD49),BD9*(1+(VLOOKUP($A10,'MoM Forecasts'!$2:$25,'Unchained Indices'!BD$2,0))))</f>
        <v>106.61025825859249</v>
      </c>
      <c r="BE10">
        <f>IF($B10=TRUE,BE9*(1+BE49),BE9*(1+(VLOOKUP($A10,'MoM Forecasts'!$2:$25,'Unchained Indices'!BE$2,0))))</f>
        <v>121.09495608727288</v>
      </c>
      <c r="BF10">
        <f>IF($B10=TRUE,BF9*(1+BF49),BF9*(1+(VLOOKUP($A10,'MoM Forecasts'!$2:$25,'Unchained Indices'!BF$2,0))))</f>
        <v>141.25469153758942</v>
      </c>
      <c r="BG10">
        <f>IF($B10=TRUE,BG9*(1+BG49),BG9*(1+(VLOOKUP($A10,'MoM Forecasts'!$2:$25,'Unchained Indices'!BG$2,0))))</f>
        <v>168.92054945156161</v>
      </c>
      <c r="BH10">
        <f>IF($B10=TRUE,BH9*(1+BH49),BH9*(1+(VLOOKUP($A10,'MoM Forecasts'!$2:$25,'Unchained Indices'!BH$2,0))))</f>
        <v>150.60851823725824</v>
      </c>
      <c r="BI10">
        <f>IF($B10=TRUE,BI9*(1+BI49),BI9*(1+(VLOOKUP($A10,'MoM Forecasts'!$2:$25,'Unchained Indices'!BI$2,0))))</f>
        <v>108.08158366038175</v>
      </c>
      <c r="BJ10">
        <f>IF($B10=TRUE,BJ9*(1+BJ49),BJ9*(1+(VLOOKUP($A10,'MoM Forecasts'!$2:$25,'Unchained Indices'!BJ$2,0))))</f>
        <v>105.56694462836131</v>
      </c>
      <c r="BK10">
        <f>IF($B10=TRUE,BK9*(1+BK49),BK9*(1+(VLOOKUP($A10,'MoM Forecasts'!$2:$25,'Unchained Indices'!BK$2,0))))</f>
        <v>102.8210938379972</v>
      </c>
      <c r="BL10">
        <f>IF($B10=TRUE,BL9*(1+BL49),BL9*(1+(VLOOKUP($A10,'MoM Forecasts'!$2:$25,'Unchained Indices'!BL$2,0))))</f>
        <v>106.48837922869025</v>
      </c>
      <c r="BM10">
        <f>IF($B10=TRUE,BM9*(1+BM49),BM9*(1+(VLOOKUP($A10,'MoM Forecasts'!$2:$25,'Unchained Indices'!BM$2,0))))</f>
        <v>109.52099610850351</v>
      </c>
      <c r="BN10">
        <f>IF($B10=TRUE,BN9*(1+BN49),BN9*(1+(VLOOKUP($A10,'MoM Forecasts'!$2:$25,'Unchained Indices'!BN$2,0))))</f>
        <v>107.11006578643486</v>
      </c>
      <c r="BO10">
        <f>IF($B10=TRUE,BO9*(1+BO49),BO9*(1+(VLOOKUP($A10,'MoM Forecasts'!$2:$25,'Unchained Indices'!BO$2,0))))</f>
        <v>105.55782007145858</v>
      </c>
      <c r="BP10">
        <f>IF($B10=TRUE,BP9*(1+BP49),BP9*(1+(VLOOKUP($A10,'MoM Forecasts'!$2:$25,'Unchained Indices'!BP$2,0))))</f>
        <v>104.91063392754819</v>
      </c>
      <c r="BQ10">
        <f>IF($B10=TRUE,BQ9*(1+BQ49),BQ9*(1+(VLOOKUP($A10,'MoM Forecasts'!$2:$25,'Unchained Indices'!BQ$2,0))))</f>
        <v>103.59825068411932</v>
      </c>
      <c r="BR10">
        <f>IF($B10=TRUE,BR9*(1+BR49),BR9*(1+(VLOOKUP($A10,'MoM Forecasts'!$2:$25,'Unchained Indices'!BR$2,0))))</f>
        <v>102.00820740568912</v>
      </c>
      <c r="BS10">
        <f>IF($B10=TRUE,BS9*(1+BS49),BS9*(1+(VLOOKUP($A10,'MoM Forecasts'!$2:$25,'Unchained Indices'!BS$2,0))))</f>
        <v>112.47135194982361</v>
      </c>
      <c r="BT10">
        <f>IF($B10=TRUE,BT9*(1+BT49),BT9*(1+(VLOOKUP($A10,'MoM Forecasts'!$2:$25,'Unchained Indices'!BT$2,0))))</f>
        <v>114.02846747150925</v>
      </c>
      <c r="BU10">
        <f>IF($B10=TRUE,BU9*(1+BU49),BU9*(1+(VLOOKUP($A10,'MoM Forecasts'!$2:$25,'Unchained Indices'!BU$2,0))))</f>
        <v>107.34062601172369</v>
      </c>
      <c r="BV10">
        <f>IF($B10=TRUE,BV9*(1+BV49),BV9*(1+(VLOOKUP($A10,'MoM Forecasts'!$2:$25,'Unchained Indices'!BV$2,0))))</f>
        <v>104.74994276199162</v>
      </c>
      <c r="BW10">
        <f>IF($B10=TRUE,BW9*(1+BW49),BW9*(1+(VLOOKUP($A10,'MoM Forecasts'!$2:$25,'Unchained Indices'!BW$2,0))))</f>
        <v>105.41225429871297</v>
      </c>
      <c r="BX10">
        <f>IF($B10=TRUE,BX9*(1+BX49),BX9*(1+(VLOOKUP($A10,'MoM Forecasts'!$2:$25,'Unchained Indices'!BX$2,0))))</f>
        <v>103.84083186354621</v>
      </c>
      <c r="BY10">
        <f>IF($B10=TRUE,BY9*(1+BY49),BY9*(1+(VLOOKUP($A10,'MoM Forecasts'!$2:$25,'Unchained Indices'!BY$2,0))))</f>
        <v>103.59985335087046</v>
      </c>
      <c r="BZ10">
        <f>IF($B10=TRUE,BZ9*(1+BZ49),BZ9*(1+(VLOOKUP($A10,'MoM Forecasts'!$2:$25,'Unchained Indices'!BZ$2,0))))</f>
        <v>102.76227732772085</v>
      </c>
      <c r="CA10">
        <f>IF($B10=TRUE,CA9*(1+CA49),CA9*(1+(VLOOKUP($A10,'MoM Forecasts'!$2:$25,'Unchained Indices'!CA$2,0))))</f>
        <v>98.098201287004358</v>
      </c>
      <c r="CB10">
        <f>IF($B10=TRUE,CB9*(1+CB49),CB9*(1+(VLOOKUP($A10,'MoM Forecasts'!$2:$25,'Unchained Indices'!CB$2,0))))</f>
        <v>103.68722872733954</v>
      </c>
      <c r="CC10">
        <f>IF($B10=TRUE,CC9*(1+CC49),CC9*(1+(VLOOKUP($A10,'MoM Forecasts'!$2:$25,'Unchained Indices'!CC$2,0))))</f>
        <v>132.26557044001157</v>
      </c>
      <c r="CD10">
        <f>IF($B10=TRUE,CD9*(1+CD49),CD9*(1+(VLOOKUP($A10,'MoM Forecasts'!$2:$25,'Unchained Indices'!CD$2,0))))</f>
        <v>111.8023084828648</v>
      </c>
      <c r="CE10">
        <f>IF($B10=TRUE,CE9*(1+CE49),CE9*(1+(VLOOKUP($A10,'MoM Forecasts'!$2:$25,'Unchained Indices'!CE$2,0))))</f>
        <v>108.61983656820055</v>
      </c>
      <c r="CF10">
        <f>IF($B10=TRUE,CF9*(1+CF49),CF9*(1+(VLOOKUP($A10,'MoM Forecasts'!$2:$25,'Unchained Indices'!CF$2,0))))</f>
        <v>107.83484269574055</v>
      </c>
      <c r="CG10">
        <f>IF($B10=TRUE,CG9*(1+CG49),CG9*(1+(VLOOKUP($A10,'MoM Forecasts'!$2:$25,'Unchained Indices'!CG$2,0))))</f>
        <v>139.68483539511547</v>
      </c>
      <c r="CH10">
        <f>IF($B10=TRUE,CH9*(1+CH49),CH9*(1+(VLOOKUP($A10,'MoM Forecasts'!$2:$25,'Unchained Indices'!CH$2,0))))</f>
        <v>93.736845947818239</v>
      </c>
      <c r="CI10">
        <f>IF($B10=TRUE,CI9*(1+CI49),CI9*(1+(VLOOKUP($A10,'MoM Forecasts'!$2:$25,'Unchained Indices'!CI$2,0))))</f>
        <v>103.90458521736861</v>
      </c>
      <c r="CJ10">
        <f>IF($B10=TRUE,CJ9*(1+CJ49),CJ9*(1+(VLOOKUP($A10,'MoM Forecasts'!$2:$25,'Unchained Indices'!CJ$2,0))))</f>
        <v>103.17806478192696</v>
      </c>
      <c r="CK10">
        <f>IF($B10=TRUE,CK9*(1+CK49),CK9*(1+(VLOOKUP($A10,'MoM Forecasts'!$2:$25,'Unchained Indices'!CK$2,0))))</f>
        <v>105.04846084767287</v>
      </c>
      <c r="CL10">
        <f>IF($B10=TRUE,CL9*(1+CL49),CL9*(1+(VLOOKUP($A10,'MoM Forecasts'!$2:$25,'Unchained Indices'!CL$2,0))))</f>
        <v>104.52063459578557</v>
      </c>
      <c r="CM10">
        <f>IF($B10=TRUE,CM9*(1+CM49),CM9*(1+(VLOOKUP($A10,'MoM Forecasts'!$2:$25,'Unchained Indices'!CM$2,0))))</f>
        <v>101.09015622269247</v>
      </c>
      <c r="CN10">
        <f>IF($B10=TRUE,CN9*(1+CN49),CN9*(1+(VLOOKUP($A10,'MoM Forecasts'!$2:$25,'Unchained Indices'!CN$2,0))))</f>
        <v>104.89538808819698</v>
      </c>
      <c r="CO10">
        <f>IF($B10=TRUE,CO9*(1+CO49),CO9*(1+(VLOOKUP($A10,'MoM Forecasts'!$2:$25,'Unchained Indices'!CO$2,0))))</f>
        <v>103.55203791254424</v>
      </c>
      <c r="CP10">
        <f>IF($B10=TRUE,CP9*(1+CP49),CP9*(1+(VLOOKUP($A10,'MoM Forecasts'!$2:$25,'Unchained Indices'!CP$2,0))))</f>
        <v>113.59361052742851</v>
      </c>
    </row>
    <row r="11" spans="1:109" x14ac:dyDescent="0.25">
      <c r="A11" s="6">
        <f t="shared" si="4"/>
        <v>44805</v>
      </c>
      <c r="B11" s="8" t="str">
        <f>IF(A11&lt;='MoM Forecasts'!$A$2,TRUE,"")</f>
        <v/>
      </c>
      <c r="D11">
        <f>IF($B11=TRUE,D10*(1+D50),D10*(1+(VLOOKUP($A11,'MoM Forecasts'!$2:$25,'Unchained Indices'!D$2,0))))</f>
        <v>107.22284001701898</v>
      </c>
      <c r="E11">
        <f>IF($B11=TRUE,E10*(1+E50),E10*(1+(VLOOKUP($A11,'MoM Forecasts'!$2:$25,'Unchained Indices'!E$2,0))))</f>
        <v>107.94942126567544</v>
      </c>
      <c r="F11">
        <f>IF($B11=TRUE,F10*(1+F50),F10*(1+(VLOOKUP($A11,'MoM Forecasts'!$2:$25,'Unchained Indices'!F$2,0))))</f>
        <v>112.8302142473984</v>
      </c>
      <c r="G11">
        <f>IF($B11=TRUE,G10*(1+G50),G10*(1+(VLOOKUP($A11,'MoM Forecasts'!$2:$25,'Unchained Indices'!G$2,0))))</f>
        <v>106.71080782070327</v>
      </c>
      <c r="H11">
        <f>IF($B11=TRUE,H10*(1+H50),H10*(1+(VLOOKUP($A11,'MoM Forecasts'!$2:$25,'Unchained Indices'!H$2,0))))</f>
        <v>108.03616385775238</v>
      </c>
      <c r="I11">
        <f>IF($B11=TRUE,I10*(1+I50),I10*(1+(VLOOKUP($A11,'MoM Forecasts'!$2:$25,'Unchained Indices'!I$2,0))))</f>
        <v>108.05447082271601</v>
      </c>
      <c r="J11">
        <f>IF($B11=TRUE,J10*(1+J50),J10*(1+(VLOOKUP($A11,'MoM Forecasts'!$2:$25,'Unchained Indices'!J$2,0))))</f>
        <v>110.62425297097518</v>
      </c>
      <c r="K11">
        <f>IF($B11=TRUE,K10*(1+K50),K10*(1+(VLOOKUP($A11,'MoM Forecasts'!$2:$25,'Unchained Indices'!K$2,0))))</f>
        <v>112.13319439117576</v>
      </c>
      <c r="L11">
        <f>IF($B11=TRUE,L10*(1+L50),L10*(1+(VLOOKUP($A11,'MoM Forecasts'!$2:$25,'Unchained Indices'!L$2,0))))</f>
        <v>112.01429096537383</v>
      </c>
      <c r="M11">
        <f>IF($B11=TRUE,M10*(1+M50),M10*(1+(VLOOKUP($A11,'MoM Forecasts'!$2:$25,'Unchained Indices'!M$2,0))))</f>
        <v>108.89542206048836</v>
      </c>
      <c r="N11">
        <f>IF($B11=TRUE,N10*(1+N50),N10*(1+(VLOOKUP($A11,'MoM Forecasts'!$2:$25,'Unchained Indices'!N$2,0))))</f>
        <v>109.74994255017947</v>
      </c>
      <c r="O11">
        <f>IF($B11=TRUE,O10*(1+O50),O10*(1+(VLOOKUP($A11,'MoM Forecasts'!$2:$25,'Unchained Indices'!O$2,0))))</f>
        <v>110.23066881899607</v>
      </c>
      <c r="P11">
        <f>IF($B11=TRUE,P10*(1+P50),P10*(1+(VLOOKUP($A11,'MoM Forecasts'!$2:$25,'Unchained Indices'!P$2,0))))</f>
        <v>109.28120371451168</v>
      </c>
      <c r="Q11">
        <f>IF($B11=TRUE,Q10*(1+Q50),Q10*(1+(VLOOKUP($A11,'MoM Forecasts'!$2:$25,'Unchained Indices'!Q$2,0))))</f>
        <v>121.95427353977257</v>
      </c>
      <c r="R11">
        <f>IF($B11=TRUE,R10*(1+R50),R10*(1+(VLOOKUP($A11,'MoM Forecasts'!$2:$25,'Unchained Indices'!R$2,0))))</f>
        <v>111.84140372365034</v>
      </c>
      <c r="S11">
        <f>IF($B11=TRUE,S10*(1+S50),S10*(1+(VLOOKUP($A11,'MoM Forecasts'!$2:$25,'Unchained Indices'!S$2,0))))</f>
        <v>114.10296507341708</v>
      </c>
      <c r="T11">
        <f>IF($B11=TRUE,T10*(1+T50),T10*(1+(VLOOKUP($A11,'MoM Forecasts'!$2:$25,'Unchained Indices'!T$2,0))))</f>
        <v>108.1819134901541</v>
      </c>
      <c r="U11">
        <f>IF($B11=TRUE,U10*(1+U50),U10*(1+(VLOOKUP($A11,'MoM Forecasts'!$2:$25,'Unchained Indices'!U$2,0))))</f>
        <v>119.80738794325049</v>
      </c>
      <c r="V11">
        <f>IF($B11=TRUE,V10*(1+V50),V10*(1+(VLOOKUP($A11,'MoM Forecasts'!$2:$25,'Unchained Indices'!V$2,0))))</f>
        <v>109.27458121480872</v>
      </c>
      <c r="W11">
        <f>IF($B11=TRUE,W10*(1+W50),W10*(1+(VLOOKUP($A11,'MoM Forecasts'!$2:$25,'Unchained Indices'!W$2,0))))</f>
        <v>106.11208063447295</v>
      </c>
      <c r="X11">
        <f>IF($B11=TRUE,X10*(1+X50),X10*(1+(VLOOKUP($A11,'MoM Forecasts'!$2:$25,'Unchained Indices'!X$2,0))))</f>
        <v>108.40566700421171</v>
      </c>
      <c r="Y11">
        <f>IF($B11=TRUE,Y10*(1+Y50),Y10*(1+(VLOOKUP($A11,'MoM Forecasts'!$2:$25,'Unchained Indices'!Y$2,0))))</f>
        <v>105.80554214706389</v>
      </c>
      <c r="Z11">
        <f>IF($B11=TRUE,Z10*(1+Z50),Z10*(1+(VLOOKUP($A11,'MoM Forecasts'!$2:$25,'Unchained Indices'!Z$2,0))))</f>
        <v>105.63438559393934</v>
      </c>
      <c r="AA11">
        <f>IF($B11=TRUE,AA10*(1+AA50),AA10*(1+(VLOOKUP($A11,'MoM Forecasts'!$2:$25,'Unchained Indices'!AA$2,0))))</f>
        <v>101.196973283798</v>
      </c>
      <c r="AB11">
        <f>IF($B11=TRUE,AB10*(1+AB50),AB10*(1+(VLOOKUP($A11,'MoM Forecasts'!$2:$25,'Unchained Indices'!AB$2,0))))</f>
        <v>109.32706473858042</v>
      </c>
      <c r="AC11">
        <f>IF($B11=TRUE,AC10*(1+AC50),AC10*(1+(VLOOKUP($A11,'MoM Forecasts'!$2:$25,'Unchained Indices'!AC$2,0))))</f>
        <v>115.45930219910809</v>
      </c>
      <c r="AD11">
        <f>IF($B11=TRUE,AD10*(1+AD50),AD10*(1+(VLOOKUP($A11,'MoM Forecasts'!$2:$25,'Unchained Indices'!AD$2,0))))</f>
        <v>109.31840815632151</v>
      </c>
      <c r="AE11">
        <f>IF($B11=TRUE,AE10*(1+AE50),AE10*(1+(VLOOKUP($A11,'MoM Forecasts'!$2:$25,'Unchained Indices'!AE$2,0))))</f>
        <v>104.53552851134414</v>
      </c>
      <c r="AF11">
        <f>IF($B11=TRUE,AF10*(1+AF50),AF10*(1+(VLOOKUP($A11,'MoM Forecasts'!$2:$25,'Unchained Indices'!AF$2,0))))</f>
        <v>104.85941516756158</v>
      </c>
      <c r="AG11">
        <f>IF($B11=TRUE,AG10*(1+AG50),AG10*(1+(VLOOKUP($A11,'MoM Forecasts'!$2:$25,'Unchained Indices'!AG$2,0))))</f>
        <v>109.32123765777756</v>
      </c>
      <c r="AH11">
        <f>IF($B11=TRUE,AH10*(1+AH50),AH10*(1+(VLOOKUP($A11,'MoM Forecasts'!$2:$25,'Unchained Indices'!AH$2,0))))</f>
        <v>100.95508764540519</v>
      </c>
      <c r="AI11">
        <f>IF($B11=TRUE,AI10*(1+AI50),AI10*(1+(VLOOKUP($A11,'MoM Forecasts'!$2:$25,'Unchained Indices'!AI$2,0))))</f>
        <v>100.99238561797813</v>
      </c>
      <c r="AJ11">
        <f>IF($B11=TRUE,AJ10*(1+AJ50),AJ10*(1+(VLOOKUP($A11,'MoM Forecasts'!$2:$25,'Unchained Indices'!AJ$2,0))))</f>
        <v>101.99352712348524</v>
      </c>
      <c r="AK11">
        <f>IF($B11=TRUE,AK10*(1+AK50),AK10*(1+(VLOOKUP($A11,'MoM Forecasts'!$2:$25,'Unchained Indices'!AK$2,0))))</f>
        <v>111.34569046046022</v>
      </c>
      <c r="AL11">
        <f>IF($B11=TRUE,AL10*(1+AL50),AL10*(1+(VLOOKUP($A11,'MoM Forecasts'!$2:$25,'Unchained Indices'!AL$2,0))))</f>
        <v>105.66788108904601</v>
      </c>
      <c r="AM11">
        <f>IF($B11=TRUE,AM10*(1+AM50),AM10*(1+(VLOOKUP($A11,'MoM Forecasts'!$2:$25,'Unchained Indices'!AM$2,0))))</f>
        <v>102.18076087003256</v>
      </c>
      <c r="AN11">
        <f>IF($B11=TRUE,AN10*(1+AN50),AN10*(1+(VLOOKUP($A11,'MoM Forecasts'!$2:$25,'Unchained Indices'!AN$2,0))))</f>
        <v>107.0428563534343</v>
      </c>
      <c r="AO11">
        <f>IF($B11=TRUE,AO10*(1+AO50),AO10*(1+(VLOOKUP($A11,'MoM Forecasts'!$2:$25,'Unchained Indices'!AO$2,0))))</f>
        <v>102.79336842146489</v>
      </c>
      <c r="AP11">
        <f>IF($B11=TRUE,AP10*(1+AP50),AP10*(1+(VLOOKUP($A11,'MoM Forecasts'!$2:$25,'Unchained Indices'!AP$2,0))))</f>
        <v>103.58249356790654</v>
      </c>
      <c r="AQ11">
        <f>IF($B11=TRUE,AQ10*(1+AQ50),AQ10*(1+(VLOOKUP($A11,'MoM Forecasts'!$2:$25,'Unchained Indices'!AQ$2,0))))</f>
        <v>102.04309947944996</v>
      </c>
      <c r="AR11">
        <f>IF($B11=TRUE,AR10*(1+AR50),AR10*(1+(VLOOKUP($A11,'MoM Forecasts'!$2:$25,'Unchained Indices'!AR$2,0))))</f>
        <v>102.52129898153686</v>
      </c>
      <c r="AS11">
        <f>IF($B11=TRUE,AS10*(1+AS50),AS10*(1+(VLOOKUP($A11,'MoM Forecasts'!$2:$25,'Unchained Indices'!AS$2,0))))</f>
        <v>105.95717660904205</v>
      </c>
      <c r="AT11">
        <f>IF($B11=TRUE,AT10*(1+AT50),AT10*(1+(VLOOKUP($A11,'MoM Forecasts'!$2:$25,'Unchained Indices'!AT$2,0))))</f>
        <v>100.78316922227449</v>
      </c>
      <c r="AU11">
        <f>IF($B11=TRUE,AU10*(1+AU50),AU10*(1+(VLOOKUP($A11,'MoM Forecasts'!$2:$25,'Unchained Indices'!AU$2,0))))</f>
        <v>102.88994769705197</v>
      </c>
      <c r="AV11">
        <f>IF($B11=TRUE,AV10*(1+AV50),AV10*(1+(VLOOKUP($A11,'MoM Forecasts'!$2:$25,'Unchained Indices'!AV$2,0))))</f>
        <v>105.1409867904969</v>
      </c>
      <c r="AW11">
        <f>IF($B11=TRUE,AW10*(1+AW50),AW10*(1+(VLOOKUP($A11,'MoM Forecasts'!$2:$25,'Unchained Indices'!AW$2,0))))</f>
        <v>102.56348174311417</v>
      </c>
      <c r="AX11">
        <f>IF($B11=TRUE,AX10*(1+AX50),AX10*(1+(VLOOKUP($A11,'MoM Forecasts'!$2:$25,'Unchained Indices'!AX$2,0))))</f>
        <v>115.55347481881603</v>
      </c>
      <c r="AY11">
        <f>IF($B11=TRUE,AY10*(1+AY50),AY10*(1+(VLOOKUP($A11,'MoM Forecasts'!$2:$25,'Unchained Indices'!AY$2,0))))</f>
        <v>104.32097120628269</v>
      </c>
      <c r="AZ11">
        <f>IF($B11=TRUE,AZ10*(1+AZ50),AZ10*(1+(VLOOKUP($A11,'MoM Forecasts'!$2:$25,'Unchained Indices'!AZ$2,0))))</f>
        <v>103.60283813455946</v>
      </c>
      <c r="BA11">
        <f>IF($B11=TRUE,BA10*(1+BA50),BA10*(1+(VLOOKUP($A11,'MoM Forecasts'!$2:$25,'Unchained Indices'!BA$2,0))))</f>
        <v>104.02190838396899</v>
      </c>
      <c r="BB11">
        <f>IF($B11=TRUE,BB10*(1+BB50),BB10*(1+(VLOOKUP($A11,'MoM Forecasts'!$2:$25,'Unchained Indices'!BB$2,0))))</f>
        <v>101.5027771582559</v>
      </c>
      <c r="BC11">
        <f>IF($B11=TRUE,BC10*(1+BC50),BC10*(1+(VLOOKUP($A11,'MoM Forecasts'!$2:$25,'Unchained Indices'!BC$2,0))))</f>
        <v>105.66151915016628</v>
      </c>
      <c r="BD11">
        <f>IF($B11=TRUE,BD10*(1+BD50),BD10*(1+(VLOOKUP($A11,'MoM Forecasts'!$2:$25,'Unchained Indices'!BD$2,0))))</f>
        <v>106.68212350097264</v>
      </c>
      <c r="BE11">
        <f>IF($B11=TRUE,BE10*(1+BE50),BE10*(1+(VLOOKUP($A11,'MoM Forecasts'!$2:$25,'Unchained Indices'!BE$2,0))))</f>
        <v>121.19529540961368</v>
      </c>
      <c r="BF11">
        <f>IF($B11=TRUE,BF10*(1+BF50),BF10*(1+(VLOOKUP($A11,'MoM Forecasts'!$2:$25,'Unchained Indices'!BF$2,0))))</f>
        <v>141.33695348965097</v>
      </c>
      <c r="BG11">
        <f>IF($B11=TRUE,BG10*(1+BG50),BG10*(1+(VLOOKUP($A11,'MoM Forecasts'!$2:$25,'Unchained Indices'!BG$2,0))))</f>
        <v>169.03278112119838</v>
      </c>
      <c r="BH11">
        <f>IF($B11=TRUE,BH10*(1+BH50),BH10*(1+(VLOOKUP($A11,'MoM Forecasts'!$2:$25,'Unchained Indices'!BH$2,0))))</f>
        <v>149.22777029821626</v>
      </c>
      <c r="BI11">
        <f>IF($B11=TRUE,BI10*(1+BI50),BI10*(1+(VLOOKUP($A11,'MoM Forecasts'!$2:$25,'Unchained Indices'!BI$2,0))))</f>
        <v>108.15129788456171</v>
      </c>
      <c r="BJ11">
        <f>IF($B11=TRUE,BJ10*(1+BJ50),BJ10*(1+(VLOOKUP($A11,'MoM Forecasts'!$2:$25,'Unchained Indices'!BJ$2,0))))</f>
        <v>105.63548556747115</v>
      </c>
      <c r="BK11">
        <f>IF($B11=TRUE,BK10*(1+BK50),BK10*(1+(VLOOKUP($A11,'MoM Forecasts'!$2:$25,'Unchained Indices'!BK$2,0))))</f>
        <v>102.76531771051684</v>
      </c>
      <c r="BL11">
        <f>IF($B11=TRUE,BL10*(1+BL50),BL10*(1+(VLOOKUP($A11,'MoM Forecasts'!$2:$25,'Unchained Indices'!BL$2,0))))</f>
        <v>106.54301325073368</v>
      </c>
      <c r="BM11">
        <f>IF($B11=TRUE,BM10*(1+BM50),BM10*(1+(VLOOKUP($A11,'MoM Forecasts'!$2:$25,'Unchained Indices'!BM$2,0))))</f>
        <v>109.58002561218329</v>
      </c>
      <c r="BN11">
        <f>IF($B11=TRUE,BN10*(1+BN50),BN10*(1+(VLOOKUP($A11,'MoM Forecasts'!$2:$25,'Unchained Indices'!BN$2,0))))</f>
        <v>107.1879954670096</v>
      </c>
      <c r="BO11">
        <f>IF($B11=TRUE,BO10*(1+BO50),BO10*(1+(VLOOKUP($A11,'MoM Forecasts'!$2:$25,'Unchained Indices'!BO$2,0))))</f>
        <v>105.65328335077317</v>
      </c>
      <c r="BP11">
        <f>IF($B11=TRUE,BP10*(1+BP50),BP10*(1+(VLOOKUP($A11,'MoM Forecasts'!$2:$25,'Unchained Indices'!BP$2,0))))</f>
        <v>104.90869499914297</v>
      </c>
      <c r="BQ11">
        <f>IF($B11=TRUE,BQ10*(1+BQ50),BQ10*(1+(VLOOKUP($A11,'MoM Forecasts'!$2:$25,'Unchained Indices'!BQ$2,0))))</f>
        <v>103.69263206471327</v>
      </c>
      <c r="BR11">
        <f>IF($B11=TRUE,BR10*(1+BR50),BR10*(1+(VLOOKUP($A11,'MoM Forecasts'!$2:$25,'Unchained Indices'!BR$2,0))))</f>
        <v>102.10457200734213</v>
      </c>
      <c r="BS11">
        <f>IF($B11=TRUE,BS10*(1+BS50),BS10*(1+(VLOOKUP($A11,'MoM Forecasts'!$2:$25,'Unchained Indices'!BS$2,0))))</f>
        <v>112.51051583454779</v>
      </c>
      <c r="BT11">
        <f>IF($B11=TRUE,BT10*(1+BT50),BT10*(1+(VLOOKUP($A11,'MoM Forecasts'!$2:$25,'Unchained Indices'!BT$2,0))))</f>
        <v>114.04623975585271</v>
      </c>
      <c r="BU11">
        <f>IF($B11=TRUE,BU10*(1+BU50),BU10*(1+(VLOOKUP($A11,'MoM Forecasts'!$2:$25,'Unchained Indices'!BU$2,0))))</f>
        <v>107.37426672932973</v>
      </c>
      <c r="BV11">
        <f>IF($B11=TRUE,BV10*(1+BV50),BV10*(1+(VLOOKUP($A11,'MoM Forecasts'!$2:$25,'Unchained Indices'!BV$2,0))))</f>
        <v>104.80522903543361</v>
      </c>
      <c r="BW11">
        <f>IF($B11=TRUE,BW10*(1+BW50),BW10*(1+(VLOOKUP($A11,'MoM Forecasts'!$2:$25,'Unchained Indices'!BW$2,0))))</f>
        <v>105.43944779835239</v>
      </c>
      <c r="BX11">
        <f>IF($B11=TRUE,BX10*(1+BX50),BX10*(1+(VLOOKUP($A11,'MoM Forecasts'!$2:$25,'Unchained Indices'!BX$2,0))))</f>
        <v>103.90378480128446</v>
      </c>
      <c r="BY11">
        <f>IF($B11=TRUE,BY10*(1+BY50),BY10*(1+(VLOOKUP($A11,'MoM Forecasts'!$2:$25,'Unchained Indices'!BY$2,0))))</f>
        <v>103.65911948239724</v>
      </c>
      <c r="BZ11">
        <f>IF($B11=TRUE,BZ10*(1+BZ50),BZ10*(1+(VLOOKUP($A11,'MoM Forecasts'!$2:$25,'Unchained Indices'!BZ$2,0))))</f>
        <v>102.8598740860938</v>
      </c>
      <c r="CA11">
        <f>IF($B11=TRUE,CA10*(1+CA50),CA10*(1+(VLOOKUP($A11,'MoM Forecasts'!$2:$25,'Unchained Indices'!CA$2,0))))</f>
        <v>98.060809353669725</v>
      </c>
      <c r="CB11">
        <f>IF($B11=TRUE,CB10*(1+CB50),CB10*(1+(VLOOKUP($A11,'MoM Forecasts'!$2:$25,'Unchained Indices'!CB$2,0))))</f>
        <v>103.78368513772824</v>
      </c>
      <c r="CC11">
        <f>IF($B11=TRUE,CC10*(1+CC50),CC10*(1+(VLOOKUP($A11,'MoM Forecasts'!$2:$25,'Unchained Indices'!CC$2,0))))</f>
        <v>132.36132955926851</v>
      </c>
      <c r="CD11">
        <f>IF($B11=TRUE,CD10*(1+CD50),CD10*(1+(VLOOKUP($A11,'MoM Forecasts'!$2:$25,'Unchained Indices'!CD$2,0))))</f>
        <v>111.90183691666994</v>
      </c>
      <c r="CE11">
        <f>IF($B11=TRUE,CE10*(1+CE50),CE10*(1+(VLOOKUP($A11,'MoM Forecasts'!$2:$25,'Unchained Indices'!CE$2,0))))</f>
        <v>108.71707363111662</v>
      </c>
      <c r="CF11">
        <f>IF($B11=TRUE,CF10*(1+CF50),CF10*(1+(VLOOKUP($A11,'MoM Forecasts'!$2:$25,'Unchained Indices'!CF$2,0))))</f>
        <v>107.92924920985791</v>
      </c>
      <c r="CG11">
        <f>IF($B11=TRUE,CG10*(1+CG50),CG10*(1+(VLOOKUP($A11,'MoM Forecasts'!$2:$25,'Unchained Indices'!CG$2,0))))</f>
        <v>132.67713775954888</v>
      </c>
      <c r="CH11">
        <f>IF($B11=TRUE,CH10*(1+CH50),CH10*(1+(VLOOKUP($A11,'MoM Forecasts'!$2:$25,'Unchained Indices'!CH$2,0))))</f>
        <v>91.885456601518811</v>
      </c>
      <c r="CI11">
        <f>IF($B11=TRUE,CI10*(1+CI50),CI10*(1+(VLOOKUP($A11,'MoM Forecasts'!$2:$25,'Unchained Indices'!CI$2,0))))</f>
        <v>103.98072781770948</v>
      </c>
      <c r="CJ11">
        <f>IF($B11=TRUE,CJ10*(1+CJ50),CJ10*(1+(VLOOKUP($A11,'MoM Forecasts'!$2:$25,'Unchained Indices'!CJ$2,0))))</f>
        <v>103.13661736873196</v>
      </c>
      <c r="CK11">
        <f>IF($B11=TRUE,CK10*(1+CK50),CK10*(1+(VLOOKUP($A11,'MoM Forecasts'!$2:$25,'Unchained Indices'!CK$2,0))))</f>
        <v>105.1334742155458</v>
      </c>
      <c r="CL11">
        <f>IF($B11=TRUE,CL10*(1+CL50),CL10*(1+(VLOOKUP($A11,'MoM Forecasts'!$2:$25,'Unchained Indices'!CL$2,0))))</f>
        <v>104.56229295756749</v>
      </c>
      <c r="CM11">
        <f>IF($B11=TRUE,CM10*(1+CM50),CM10*(1+(VLOOKUP($A11,'MoM Forecasts'!$2:$25,'Unchained Indices'!CM$2,0))))</f>
        <v>101.15860107884602</v>
      </c>
      <c r="CN11">
        <f>IF($B11=TRUE,CN10*(1+CN50),CN10*(1+(VLOOKUP($A11,'MoM Forecasts'!$2:$25,'Unchained Indices'!CN$2,0))))</f>
        <v>104.99914202624575</v>
      </c>
      <c r="CO11">
        <f>IF($B11=TRUE,CO10*(1+CO50),CO10*(1+(VLOOKUP($A11,'MoM Forecasts'!$2:$25,'Unchained Indices'!CO$2,0))))</f>
        <v>103.6489263234274</v>
      </c>
      <c r="CP11">
        <f>IF($B11=TRUE,CP10*(1+CP50),CP10*(1+(VLOOKUP($A11,'MoM Forecasts'!$2:$25,'Unchained Indices'!CP$2,0))))</f>
        <v>113.69543496607687</v>
      </c>
    </row>
    <row r="12" spans="1:109" x14ac:dyDescent="0.25">
      <c r="A12" s="6">
        <f t="shared" si="4"/>
        <v>44835</v>
      </c>
      <c r="B12" s="8" t="str">
        <f>IF(A12&lt;='MoM Forecasts'!$A$2,TRUE,"")</f>
        <v/>
      </c>
      <c r="C12" s="7">
        <f>EDATE(A12,-(MONTH(A12)-1))</f>
        <v>44562</v>
      </c>
      <c r="D12">
        <f>IF($B12=TRUE,D11*(1+D51),D11*(1+(VLOOKUP($A12,'MoM Forecasts'!$2:$25,'Unchained Indices'!D$2,0))))</f>
        <v>107.29330439412915</v>
      </c>
      <c r="E12">
        <f>IF($B12=TRUE,E11*(1+E51),E11*(1+(VLOOKUP($A12,'MoM Forecasts'!$2:$25,'Unchained Indices'!E$2,0))))</f>
        <v>108.01272756298063</v>
      </c>
      <c r="F12">
        <f>IF($B12=TRUE,F11*(1+F51),F11*(1+(VLOOKUP($A12,'MoM Forecasts'!$2:$25,'Unchained Indices'!F$2,0))))</f>
        <v>112.90705640808484</v>
      </c>
      <c r="G12">
        <f>IF($B12=TRUE,G11*(1+G51),G11*(1+(VLOOKUP($A12,'MoM Forecasts'!$2:$25,'Unchained Indices'!G$2,0))))</f>
        <v>106.77765221275941</v>
      </c>
      <c r="H12">
        <f>IF($B12=TRUE,H11*(1+H51),H11*(1+(VLOOKUP($A12,'MoM Forecasts'!$2:$25,'Unchained Indices'!H$2,0))))</f>
        <v>108.12508142580955</v>
      </c>
      <c r="I12">
        <f>IF($B12=TRUE,I11*(1+I51),I11*(1+(VLOOKUP($A12,'MoM Forecasts'!$2:$25,'Unchained Indices'!I$2,0))))</f>
        <v>108.14330683998166</v>
      </c>
      <c r="J12">
        <f>IF($B12=TRUE,J11*(1+J51),J11*(1+(VLOOKUP($A12,'MoM Forecasts'!$2:$25,'Unchained Indices'!J$2,0))))</f>
        <v>110.70210339061219</v>
      </c>
      <c r="K12">
        <f>IF($B12=TRUE,K11*(1+K51),K11*(1+(VLOOKUP($A12,'MoM Forecasts'!$2:$25,'Unchained Indices'!K$2,0))))</f>
        <v>112.20375590787364</v>
      </c>
      <c r="L12">
        <f>IF($B12=TRUE,L11*(1+L51),L11*(1+(VLOOKUP($A12,'MoM Forecasts'!$2:$25,'Unchained Indices'!L$2,0))))</f>
        <v>112.04273046935479</v>
      </c>
      <c r="M12">
        <f>IF($B12=TRUE,M11*(1+M51),M11*(1+(VLOOKUP($A12,'MoM Forecasts'!$2:$25,'Unchained Indices'!M$2,0))))</f>
        <v>108.95584110888687</v>
      </c>
      <c r="N12">
        <f>IF($B12=TRUE,N11*(1+N51),N11*(1+(VLOOKUP($A12,'MoM Forecasts'!$2:$25,'Unchained Indices'!N$2,0))))</f>
        <v>109.83592299958111</v>
      </c>
      <c r="O12">
        <f>IF($B12=TRUE,O11*(1+O51),O11*(1+(VLOOKUP($A12,'MoM Forecasts'!$2:$25,'Unchained Indices'!O$2,0))))</f>
        <v>110.31775464092344</v>
      </c>
      <c r="P12">
        <f>IF($B12=TRUE,P11*(1+P51),P11*(1+(VLOOKUP($A12,'MoM Forecasts'!$2:$25,'Unchained Indices'!P$2,0))))</f>
        <v>109.36479758338697</v>
      </c>
      <c r="Q12">
        <f>IF($B12=TRUE,Q11*(1+Q51),Q11*(1+(VLOOKUP($A12,'MoM Forecasts'!$2:$25,'Unchained Indices'!Q$2,0))))</f>
        <v>122.04898170147773</v>
      </c>
      <c r="R12">
        <f>IF($B12=TRUE,R11*(1+R51),R11*(1+(VLOOKUP($A12,'MoM Forecasts'!$2:$25,'Unchained Indices'!R$2,0))))</f>
        <v>111.90046515465529</v>
      </c>
      <c r="S12">
        <f>IF($B12=TRUE,S11*(1+S51),S11*(1+(VLOOKUP($A12,'MoM Forecasts'!$2:$25,'Unchained Indices'!S$2,0))))</f>
        <v>114.18370750685538</v>
      </c>
      <c r="T12">
        <f>IF($B12=TRUE,T11*(1+T51),T11*(1+(VLOOKUP($A12,'MoM Forecasts'!$2:$25,'Unchained Indices'!T$2,0))))</f>
        <v>108.26630978537175</v>
      </c>
      <c r="U12">
        <f>IF($B12=TRUE,U11*(1+U51),U11*(1+(VLOOKUP($A12,'MoM Forecasts'!$2:$25,'Unchained Indices'!U$2,0))))</f>
        <v>119.88336069326257</v>
      </c>
      <c r="V12">
        <f>IF($B12=TRUE,V11*(1+V51),V11*(1+(VLOOKUP($A12,'MoM Forecasts'!$2:$25,'Unchained Indices'!V$2,0))))</f>
        <v>109.32607300564504</v>
      </c>
      <c r="W12">
        <f>IF($B12=TRUE,W11*(1+W51),W11*(1+(VLOOKUP($A12,'MoM Forecasts'!$2:$25,'Unchained Indices'!W$2,0))))</f>
        <v>106.17609967511366</v>
      </c>
      <c r="X12">
        <f>IF($B12=TRUE,X11*(1+X51),X11*(1+(VLOOKUP($A12,'MoM Forecasts'!$2:$25,'Unchained Indices'!X$2,0))))</f>
        <v>108.47336537118241</v>
      </c>
      <c r="Y12">
        <f>IF($B12=TRUE,Y11*(1+Y51),Y11*(1+(VLOOKUP($A12,'MoM Forecasts'!$2:$25,'Unchained Indices'!Y$2,0))))</f>
        <v>105.87388529111085</v>
      </c>
      <c r="Z12">
        <f>IF($B12=TRUE,Z11*(1+Z51),Z11*(1+(VLOOKUP($A12,'MoM Forecasts'!$2:$25,'Unchained Indices'!Z$2,0))))</f>
        <v>105.68887488819566</v>
      </c>
      <c r="AA12">
        <f>IF($B12=TRUE,AA11*(1+AA51),AA11*(1+(VLOOKUP($A12,'MoM Forecasts'!$2:$25,'Unchained Indices'!AA$2,0))))</f>
        <v>101.29040942064653</v>
      </c>
      <c r="AB12">
        <f>IF($B12=TRUE,AB11*(1+AB51),AB11*(1+(VLOOKUP($A12,'MoM Forecasts'!$2:$25,'Unchained Indices'!AB$2,0))))</f>
        <v>109.40172667597695</v>
      </c>
      <c r="AC12">
        <f>IF($B12=TRUE,AC11*(1+AC51),AC11*(1+(VLOOKUP($A12,'MoM Forecasts'!$2:$25,'Unchained Indices'!AC$2,0))))</f>
        <v>112.55806481392641</v>
      </c>
      <c r="AD12">
        <f>IF($B12=TRUE,AD11*(1+AD51),AD11*(1+(VLOOKUP($A12,'MoM Forecasts'!$2:$25,'Unchained Indices'!AD$2,0))))</f>
        <v>109.38269083182205</v>
      </c>
      <c r="AE12">
        <f>IF($B12=TRUE,AE11*(1+AE51),AE11*(1+(VLOOKUP($A12,'MoM Forecasts'!$2:$25,'Unchained Indices'!AE$2,0))))</f>
        <v>105.12592152508766</v>
      </c>
      <c r="AF12">
        <f>IF($B12=TRUE,AF11*(1+AF51),AF11*(1+(VLOOKUP($A12,'MoM Forecasts'!$2:$25,'Unchained Indices'!AF$2,0))))</f>
        <v>104.69653440505012</v>
      </c>
      <c r="AG12">
        <f>IF($B12=TRUE,AG11*(1+AG51),AG11*(1+(VLOOKUP($A12,'MoM Forecasts'!$2:$25,'Unchained Indices'!AG$2,0))))</f>
        <v>109.40225004659479</v>
      </c>
      <c r="AH12">
        <f>IF($B12=TRUE,AH11*(1+AH51),AH11*(1+(VLOOKUP($A12,'MoM Forecasts'!$2:$25,'Unchained Indices'!AH$2,0))))</f>
        <v>101.02229088542417</v>
      </c>
      <c r="AI12">
        <f>IF($B12=TRUE,AI11*(1+AI51),AI11*(1+(VLOOKUP($A12,'MoM Forecasts'!$2:$25,'Unchained Indices'!AI$2,0))))</f>
        <v>102.12456091306261</v>
      </c>
      <c r="AJ12">
        <f>IF($B12=TRUE,AJ11*(1+AJ51),AJ11*(1+(VLOOKUP($A12,'MoM Forecasts'!$2:$25,'Unchained Indices'!AJ$2,0))))</f>
        <v>102.07465955376939</v>
      </c>
      <c r="AK12">
        <f>IF($B12=TRUE,AK11*(1+AK51),AK11*(1+(VLOOKUP($A12,'MoM Forecasts'!$2:$25,'Unchained Indices'!AK$2,0))))</f>
        <v>111.4016369868977</v>
      </c>
      <c r="AL12">
        <f>IF($B12=TRUE,AL11*(1+AL51),AL11*(1+(VLOOKUP($A12,'MoM Forecasts'!$2:$25,'Unchained Indices'!AL$2,0))))</f>
        <v>105.75182163356899</v>
      </c>
      <c r="AM12">
        <f>IF($B12=TRUE,AM11*(1+AM51),AM11*(1+(VLOOKUP($A12,'MoM Forecasts'!$2:$25,'Unchained Indices'!AM$2,0))))</f>
        <v>102.27399030789782</v>
      </c>
      <c r="AN12">
        <f>IF($B12=TRUE,AN11*(1+AN51),AN11*(1+(VLOOKUP($A12,'MoM Forecasts'!$2:$25,'Unchained Indices'!AN$2,0))))</f>
        <v>107.12547699877071</v>
      </c>
      <c r="AO12">
        <f>IF($B12=TRUE,AO11*(1+AO51),AO11*(1+(VLOOKUP($A12,'MoM Forecasts'!$2:$25,'Unchained Indices'!AO$2,0))))</f>
        <v>102.87580029574876</v>
      </c>
      <c r="AP12">
        <f>IF($B12=TRUE,AP11*(1+AP51),AP11*(1+(VLOOKUP($A12,'MoM Forecasts'!$2:$25,'Unchained Indices'!AP$2,0))))</f>
        <v>103.67020615404644</v>
      </c>
      <c r="AQ12">
        <f>IF($B12=TRUE,AQ11*(1+AQ51),AQ11*(1+(VLOOKUP($A12,'MoM Forecasts'!$2:$25,'Unchained Indices'!AQ$2,0))))</f>
        <v>102.07914197279814</v>
      </c>
      <c r="AR12">
        <f>IF($B12=TRUE,AR11*(1+AR51),AR11*(1+(VLOOKUP($A12,'MoM Forecasts'!$2:$25,'Unchained Indices'!AR$2,0))))</f>
        <v>102.5961077643407</v>
      </c>
      <c r="AS12">
        <f>IF($B12=TRUE,AS11*(1+AS51),AS11*(1+(VLOOKUP($A12,'MoM Forecasts'!$2:$25,'Unchained Indices'!AS$2,0))))</f>
        <v>106.04544233291793</v>
      </c>
      <c r="AT12">
        <f>IF($B12=TRUE,AT11*(1+AT51),AT11*(1+(VLOOKUP($A12,'MoM Forecasts'!$2:$25,'Unchained Indices'!AT$2,0))))</f>
        <v>100.84062495513011</v>
      </c>
      <c r="AU12">
        <f>IF($B12=TRUE,AU11*(1+AU51),AU11*(1+(VLOOKUP($A12,'MoM Forecasts'!$2:$25,'Unchained Indices'!AU$2,0))))</f>
        <v>102.9941394226729</v>
      </c>
      <c r="AV12">
        <f>IF($B12=TRUE,AV11*(1+AV51),AV11*(1+(VLOOKUP($A12,'MoM Forecasts'!$2:$25,'Unchained Indices'!AV$2,0))))</f>
        <v>105.23469999998686</v>
      </c>
      <c r="AW12">
        <f>IF($B12=TRUE,AW11*(1+AW51),AW11*(1+(VLOOKUP($A12,'MoM Forecasts'!$2:$25,'Unchained Indices'!AW$2,0))))</f>
        <v>102.64959809164911</v>
      </c>
      <c r="AX12">
        <f>IF($B12=TRUE,AX11*(1+AX51),AX11*(1+(VLOOKUP($A12,'MoM Forecasts'!$2:$25,'Unchained Indices'!AX$2,0))))</f>
        <v>116.02595968042547</v>
      </c>
      <c r="AY12">
        <f>IF($B12=TRUE,AY11*(1+AY51),AY11*(1+(VLOOKUP($A12,'MoM Forecasts'!$2:$25,'Unchained Indices'!AY$2,0))))</f>
        <v>104.43461148340589</v>
      </c>
      <c r="AZ12">
        <f>IF($B12=TRUE,AZ11*(1+AZ51),AZ11*(1+(VLOOKUP($A12,'MoM Forecasts'!$2:$25,'Unchained Indices'!AZ$2,0))))</f>
        <v>103.69423793401647</v>
      </c>
      <c r="BA12">
        <f>IF($B12=TRUE,BA11*(1+BA51),BA11*(1+(VLOOKUP($A12,'MoM Forecasts'!$2:$25,'Unchained Indices'!BA$2,0))))</f>
        <v>104.12496783911141</v>
      </c>
      <c r="BB12">
        <f>IF($B12=TRUE,BB11*(1+BB51),BB11*(1+(VLOOKUP($A12,'MoM Forecasts'!$2:$25,'Unchained Indices'!BB$2,0))))</f>
        <v>101.60464969051682</v>
      </c>
      <c r="BC12">
        <f>IF($B12=TRUE,BC11*(1+BC51),BC11*(1+(VLOOKUP($A12,'MoM Forecasts'!$2:$25,'Unchained Indices'!BC$2,0))))</f>
        <v>105.72461667135283</v>
      </c>
      <c r="BD12">
        <f>IF($B12=TRUE,BD11*(1+BD51),BD11*(1+(VLOOKUP($A12,'MoM Forecasts'!$2:$25,'Unchained Indices'!BD$2,0))))</f>
        <v>106.75398874335276</v>
      </c>
      <c r="BE12">
        <f>IF($B12=TRUE,BE11*(1+BE51),BE11*(1+(VLOOKUP($A12,'MoM Forecasts'!$2:$25,'Unchained Indices'!BE$2,0))))</f>
        <v>121.29563473195449</v>
      </c>
      <c r="BF12">
        <f>IF($B12=TRUE,BF11*(1+BF51),BF11*(1+(VLOOKUP($A12,'MoM Forecasts'!$2:$25,'Unchained Indices'!BF$2,0))))</f>
        <v>141.41921544171254</v>
      </c>
      <c r="BG12">
        <f>IF($B12=TRUE,BG11*(1+BG51),BG11*(1+(VLOOKUP($A12,'MoM Forecasts'!$2:$25,'Unchained Indices'!BG$2,0))))</f>
        <v>169.14501279083518</v>
      </c>
      <c r="BH12">
        <f>IF($B12=TRUE,BH11*(1+BH51),BH11*(1+(VLOOKUP($A12,'MoM Forecasts'!$2:$25,'Unchained Indices'!BH$2,0))))</f>
        <v>147.07013019034753</v>
      </c>
      <c r="BI12">
        <f>IF($B12=TRUE,BI11*(1+BI51),BI11*(1+(VLOOKUP($A12,'MoM Forecasts'!$2:$25,'Unchained Indices'!BI$2,0))))</f>
        <v>108.22101210874168</v>
      </c>
      <c r="BJ12">
        <f>IF($B12=TRUE,BJ11*(1+BJ51),BJ11*(1+(VLOOKUP($A12,'MoM Forecasts'!$2:$25,'Unchained Indices'!BJ$2,0))))</f>
        <v>105.70402650658097</v>
      </c>
      <c r="BK12">
        <f>IF($B12=TRUE,BK11*(1+BK51),BK11*(1+(VLOOKUP($A12,'MoM Forecasts'!$2:$25,'Unchained Indices'!BK$2,0))))</f>
        <v>102.70954158303648</v>
      </c>
      <c r="BL12">
        <f>IF($B12=TRUE,BL11*(1+BL51),BL11*(1+(VLOOKUP($A12,'MoM Forecasts'!$2:$25,'Unchained Indices'!BL$2,0))))</f>
        <v>106.59764727277714</v>
      </c>
      <c r="BM12">
        <f>IF($B12=TRUE,BM11*(1+BM51),BM11*(1+(VLOOKUP($A12,'MoM Forecasts'!$2:$25,'Unchained Indices'!BM$2,0))))</f>
        <v>109.63905511586309</v>
      </c>
      <c r="BN12">
        <f>IF($B12=TRUE,BN11*(1+BN51),BN11*(1+(VLOOKUP($A12,'MoM Forecasts'!$2:$25,'Unchained Indices'!BN$2,0))))</f>
        <v>107.26592514758433</v>
      </c>
      <c r="BO12">
        <f>IF($B12=TRUE,BO11*(1+BO51),BO11*(1+(VLOOKUP($A12,'MoM Forecasts'!$2:$25,'Unchained Indices'!BO$2,0))))</f>
        <v>105.74874663008772</v>
      </c>
      <c r="BP12">
        <f>IF($B12=TRUE,BP11*(1+BP51),BP11*(1+(VLOOKUP($A12,'MoM Forecasts'!$2:$25,'Unchained Indices'!BP$2,0))))</f>
        <v>104.90675607073774</v>
      </c>
      <c r="BQ12">
        <f>IF($B12=TRUE,BQ11*(1+BQ51),BQ11*(1+(VLOOKUP($A12,'MoM Forecasts'!$2:$25,'Unchained Indices'!BQ$2,0))))</f>
        <v>103.78701344530721</v>
      </c>
      <c r="BR12">
        <f>IF($B12=TRUE,BR11*(1+BR51),BR11*(1+(VLOOKUP($A12,'MoM Forecasts'!$2:$25,'Unchained Indices'!BR$2,0))))</f>
        <v>102.20093660899515</v>
      </c>
      <c r="BS12">
        <f>IF($B12=TRUE,BS11*(1+BS51),BS11*(1+(VLOOKUP($A12,'MoM Forecasts'!$2:$25,'Unchained Indices'!BS$2,0))))</f>
        <v>112.54967971927195</v>
      </c>
      <c r="BT12">
        <f>IF($B12=TRUE,BT11*(1+BT51),BT11*(1+(VLOOKUP($A12,'MoM Forecasts'!$2:$25,'Unchained Indices'!BT$2,0))))</f>
        <v>114.06401204019615</v>
      </c>
      <c r="BU12">
        <f>IF($B12=TRUE,BU11*(1+BU51),BU11*(1+(VLOOKUP($A12,'MoM Forecasts'!$2:$25,'Unchained Indices'!BU$2,0))))</f>
        <v>107.40790744693578</v>
      </c>
      <c r="BV12">
        <f>IF($B12=TRUE,BV11*(1+BV51),BV11*(1+(VLOOKUP($A12,'MoM Forecasts'!$2:$25,'Unchained Indices'!BV$2,0))))</f>
        <v>104.86051530887561</v>
      </c>
      <c r="BW12">
        <f>IF($B12=TRUE,BW11*(1+BW51),BW11*(1+(VLOOKUP($A12,'MoM Forecasts'!$2:$25,'Unchained Indices'!BW$2,0))))</f>
        <v>105.46664129799183</v>
      </c>
      <c r="BX12">
        <f>IF($B12=TRUE,BX11*(1+BX51),BX11*(1+(VLOOKUP($A12,'MoM Forecasts'!$2:$25,'Unchained Indices'!BX$2,0))))</f>
        <v>103.96673773902272</v>
      </c>
      <c r="BY12">
        <f>IF($B12=TRUE,BY11*(1+BY51),BY11*(1+(VLOOKUP($A12,'MoM Forecasts'!$2:$25,'Unchained Indices'!BY$2,0))))</f>
        <v>103.71838561392401</v>
      </c>
      <c r="BZ12">
        <f>IF($B12=TRUE,BZ11*(1+BZ51),BZ11*(1+(VLOOKUP($A12,'MoM Forecasts'!$2:$25,'Unchained Indices'!BZ$2,0))))</f>
        <v>102.95747084446674</v>
      </c>
      <c r="CA12">
        <f>IF($B12=TRUE,CA11*(1+CA51),CA11*(1+(VLOOKUP($A12,'MoM Forecasts'!$2:$25,'Unchained Indices'!CA$2,0))))</f>
        <v>98.023417420335093</v>
      </c>
      <c r="CB12">
        <f>IF($B12=TRUE,CB11*(1+CB51),CB11*(1+(VLOOKUP($A12,'MoM Forecasts'!$2:$25,'Unchained Indices'!CB$2,0))))</f>
        <v>103.88014154811695</v>
      </c>
      <c r="CC12">
        <f>IF($B12=TRUE,CC11*(1+CC51),CC11*(1+(VLOOKUP($A12,'MoM Forecasts'!$2:$25,'Unchained Indices'!CC$2,0))))</f>
        <v>132.45708867852542</v>
      </c>
      <c r="CD12">
        <f>IF($B12=TRUE,CD11*(1+CD51),CD11*(1+(VLOOKUP($A12,'MoM Forecasts'!$2:$25,'Unchained Indices'!CD$2,0))))</f>
        <v>112.00136535047507</v>
      </c>
      <c r="CE12">
        <f>IF($B12=TRUE,CE11*(1+CE51),CE11*(1+(VLOOKUP($A12,'MoM Forecasts'!$2:$25,'Unchained Indices'!CE$2,0))))</f>
        <v>108.81431069403267</v>
      </c>
      <c r="CF12">
        <f>IF($B12=TRUE,CF11*(1+CF51),CF11*(1+(VLOOKUP($A12,'MoM Forecasts'!$2:$25,'Unchained Indices'!CF$2,0))))</f>
        <v>108.02365572397525</v>
      </c>
      <c r="CG12">
        <f>IF($B12=TRUE,CG11*(1+CG51),CG11*(1+(VLOOKUP($A12,'MoM Forecasts'!$2:$25,'Unchained Indices'!CG$2,0))))</f>
        <v>133.4374791748449</v>
      </c>
      <c r="CH12">
        <f>IF($B12=TRUE,CH11*(1+CH51),CH11*(1+(VLOOKUP($A12,'MoM Forecasts'!$2:$25,'Unchained Indices'!CH$2,0))))</f>
        <v>90.034067255219398</v>
      </c>
      <c r="CI12">
        <f>IF($B12=TRUE,CI11*(1+CI51),CI11*(1+(VLOOKUP($A12,'MoM Forecasts'!$2:$25,'Unchained Indices'!CI$2,0))))</f>
        <v>104.12691666494152</v>
      </c>
      <c r="CJ12">
        <f>IF($B12=TRUE,CJ11*(1+CJ51),CJ11*(1+(VLOOKUP($A12,'MoM Forecasts'!$2:$25,'Unchained Indices'!CJ$2,0))))</f>
        <v>103.09516995553696</v>
      </c>
      <c r="CK12">
        <f>IF($B12=TRUE,CK11*(1+CK51),CK11*(1+(VLOOKUP($A12,'MoM Forecasts'!$2:$25,'Unchained Indices'!CK$2,0))))</f>
        <v>105.21848758341874</v>
      </c>
      <c r="CL12">
        <f>IF($B12=TRUE,CL11*(1+CL51),CL11*(1+(VLOOKUP($A12,'MoM Forecasts'!$2:$25,'Unchained Indices'!CL$2,0))))</f>
        <v>104.60395131934939</v>
      </c>
      <c r="CM12">
        <f>IF($B12=TRUE,CM11*(1+CM51),CM11*(1+(VLOOKUP($A12,'MoM Forecasts'!$2:$25,'Unchained Indices'!CM$2,0))))</f>
        <v>101.22704593499954</v>
      </c>
      <c r="CN12">
        <f>IF($B12=TRUE,CN11*(1+CN51),CN11*(1+(VLOOKUP($A12,'MoM Forecasts'!$2:$25,'Unchained Indices'!CN$2,0))))</f>
        <v>105.10289596429449</v>
      </c>
      <c r="CO12">
        <f>IF($B12=TRUE,CO11*(1+CO51),CO11*(1+(VLOOKUP($A12,'MoM Forecasts'!$2:$25,'Unchained Indices'!CO$2,0))))</f>
        <v>103.74581473431056</v>
      </c>
      <c r="CP12">
        <f>IF($B12=TRUE,CP11*(1+CP51),CP11*(1+(VLOOKUP($A12,'MoM Forecasts'!$2:$25,'Unchained Indices'!CP$2,0))))</f>
        <v>113.79725940472522</v>
      </c>
    </row>
    <row r="13" spans="1:109" x14ac:dyDescent="0.25">
      <c r="A13" s="6">
        <f t="shared" si="4"/>
        <v>44866</v>
      </c>
      <c r="B13" s="8" t="str">
        <f>IF(A13&lt;='MoM Forecasts'!$A$2,TRUE,"")</f>
        <v/>
      </c>
      <c r="C13" s="7">
        <f t="shared" ref="C13:C37" si="5">EDATE(A13,-(MONTH(A13)-1))</f>
        <v>44562</v>
      </c>
      <c r="D13">
        <f>IF($B13=TRUE,D12*(1+D52),D12*(1+(VLOOKUP($A13,'MoM Forecasts'!$2:$25,'Unchained Indices'!D$2,0))))</f>
        <v>107.36376877123935</v>
      </c>
      <c r="E13">
        <f>IF($B13=TRUE,E12*(1+E52),E12*(1+(VLOOKUP($A13,'MoM Forecasts'!$2:$25,'Unchained Indices'!E$2,0))))</f>
        <v>108.07603386028583</v>
      </c>
      <c r="F13">
        <f>IF($B13=TRUE,F12*(1+F52),F12*(1+(VLOOKUP($A13,'MoM Forecasts'!$2:$25,'Unchained Indices'!F$2,0))))</f>
        <v>112.98389856877125</v>
      </c>
      <c r="G13">
        <f>IF($B13=TRUE,G12*(1+G52),G12*(1+(VLOOKUP($A13,'MoM Forecasts'!$2:$25,'Unchained Indices'!G$2,0))))</f>
        <v>106.84449660481552</v>
      </c>
      <c r="H13">
        <f>IF($B13=TRUE,H12*(1+H52),H12*(1+(VLOOKUP($A13,'MoM Forecasts'!$2:$25,'Unchained Indices'!H$2,0))))</f>
        <v>108.21399899386671</v>
      </c>
      <c r="I13">
        <f>IF($B13=TRUE,I12*(1+I52),I12*(1+(VLOOKUP($A13,'MoM Forecasts'!$2:$25,'Unchained Indices'!I$2,0))))</f>
        <v>108.2321428572473</v>
      </c>
      <c r="J13">
        <f>IF($B13=TRUE,J12*(1+J52),J12*(1+(VLOOKUP($A13,'MoM Forecasts'!$2:$25,'Unchained Indices'!J$2,0))))</f>
        <v>110.77995381024921</v>
      </c>
      <c r="K13">
        <f>IF($B13=TRUE,K12*(1+K52),K12*(1+(VLOOKUP($A13,'MoM Forecasts'!$2:$25,'Unchained Indices'!K$2,0))))</f>
        <v>112.27431742457152</v>
      </c>
      <c r="L13">
        <f>IF($B13=TRUE,L12*(1+L52),L12*(1+(VLOOKUP($A13,'MoM Forecasts'!$2:$25,'Unchained Indices'!L$2,0))))</f>
        <v>112.07116997333571</v>
      </c>
      <c r="M13">
        <f>IF($B13=TRUE,M12*(1+M52),M12*(1+(VLOOKUP($A13,'MoM Forecasts'!$2:$25,'Unchained Indices'!M$2,0))))</f>
        <v>109.01626015728537</v>
      </c>
      <c r="N13">
        <f>IF($B13=TRUE,N12*(1+N52),N12*(1+(VLOOKUP($A13,'MoM Forecasts'!$2:$25,'Unchained Indices'!N$2,0))))</f>
        <v>109.92190344898276</v>
      </c>
      <c r="O13">
        <f>IF($B13=TRUE,O12*(1+O52),O12*(1+(VLOOKUP($A13,'MoM Forecasts'!$2:$25,'Unchained Indices'!O$2,0))))</f>
        <v>110.40484046285084</v>
      </c>
      <c r="P13">
        <f>IF($B13=TRUE,P12*(1+P52),P12*(1+(VLOOKUP($A13,'MoM Forecasts'!$2:$25,'Unchained Indices'!P$2,0))))</f>
        <v>109.44839145226224</v>
      </c>
      <c r="Q13">
        <f>IF($B13=TRUE,Q12*(1+Q52),Q12*(1+(VLOOKUP($A13,'MoM Forecasts'!$2:$25,'Unchained Indices'!Q$2,0))))</f>
        <v>122.14368986318291</v>
      </c>
      <c r="R13">
        <f>IF($B13=TRUE,R12*(1+R52),R12*(1+(VLOOKUP($A13,'MoM Forecasts'!$2:$25,'Unchained Indices'!R$2,0))))</f>
        <v>111.95952658566027</v>
      </c>
      <c r="S13">
        <f>IF($B13=TRUE,S12*(1+S52),S12*(1+(VLOOKUP($A13,'MoM Forecasts'!$2:$25,'Unchained Indices'!S$2,0))))</f>
        <v>114.2644499402937</v>
      </c>
      <c r="T13">
        <f>IF($B13=TRUE,T12*(1+T52),T12*(1+(VLOOKUP($A13,'MoM Forecasts'!$2:$25,'Unchained Indices'!T$2,0))))</f>
        <v>108.3507060805894</v>
      </c>
      <c r="U13">
        <f>IF($B13=TRUE,U12*(1+U52),U12*(1+(VLOOKUP($A13,'MoM Forecasts'!$2:$25,'Unchained Indices'!U$2,0))))</f>
        <v>119.95933344327466</v>
      </c>
      <c r="V13">
        <f>IF($B13=TRUE,V12*(1+V52),V12*(1+(VLOOKUP($A13,'MoM Forecasts'!$2:$25,'Unchained Indices'!V$2,0))))</f>
        <v>109.37756479648135</v>
      </c>
      <c r="W13">
        <f>IF($B13=TRUE,W12*(1+W52),W12*(1+(VLOOKUP($A13,'MoM Forecasts'!$2:$25,'Unchained Indices'!W$2,0))))</f>
        <v>106.24011871575441</v>
      </c>
      <c r="X13">
        <f>IF($B13=TRUE,X12*(1+X52),X12*(1+(VLOOKUP($A13,'MoM Forecasts'!$2:$25,'Unchained Indices'!X$2,0))))</f>
        <v>108.5410637381531</v>
      </c>
      <c r="Y13">
        <f>IF($B13=TRUE,Y12*(1+Y52),Y12*(1+(VLOOKUP($A13,'MoM Forecasts'!$2:$25,'Unchained Indices'!Y$2,0))))</f>
        <v>105.94222843515784</v>
      </c>
      <c r="Z13">
        <f>IF($B13=TRUE,Z12*(1+Z52),Z12*(1+(VLOOKUP($A13,'MoM Forecasts'!$2:$25,'Unchained Indices'!Z$2,0))))</f>
        <v>105.74336418245196</v>
      </c>
      <c r="AA13">
        <f>IF($B13=TRUE,AA12*(1+AA52),AA12*(1+(VLOOKUP($A13,'MoM Forecasts'!$2:$25,'Unchained Indices'!AA$2,0))))</f>
        <v>101.38384555749504</v>
      </c>
      <c r="AB13">
        <f>IF($B13=TRUE,AB12*(1+AB52),AB12*(1+(VLOOKUP($A13,'MoM Forecasts'!$2:$25,'Unchained Indices'!AB$2,0))))</f>
        <v>109.47638861337347</v>
      </c>
      <c r="AC13">
        <f>IF($B13=TRUE,AC12*(1+AC52),AC12*(1+(VLOOKUP($A13,'MoM Forecasts'!$2:$25,'Unchained Indices'!AC$2,0))))</f>
        <v>112.70753146517109</v>
      </c>
      <c r="AD13">
        <f>IF($B13=TRUE,AD12*(1+AD52),AD12*(1+(VLOOKUP($A13,'MoM Forecasts'!$2:$25,'Unchained Indices'!AD$2,0))))</f>
        <v>109.44697350732261</v>
      </c>
      <c r="AE13">
        <f>IF($B13=TRUE,AE12*(1+AE52),AE12*(1+(VLOOKUP($A13,'MoM Forecasts'!$2:$25,'Unchained Indices'!AE$2,0))))</f>
        <v>105.76057981629502</v>
      </c>
      <c r="AF13">
        <f>IF($B13=TRUE,AF12*(1+AF52),AF12*(1+(VLOOKUP($A13,'MoM Forecasts'!$2:$25,'Unchained Indices'!AF$2,0))))</f>
        <v>105.81317264921275</v>
      </c>
      <c r="AG13">
        <f>IF($B13=TRUE,AG12*(1+AG52),AG12*(1+(VLOOKUP($A13,'MoM Forecasts'!$2:$25,'Unchained Indices'!AG$2,0))))</f>
        <v>109.483262435412</v>
      </c>
      <c r="AH13">
        <f>IF($B13=TRUE,AH12*(1+AH52),AH12*(1+(VLOOKUP($A13,'MoM Forecasts'!$2:$25,'Unchained Indices'!AH$2,0))))</f>
        <v>101.08949412544315</v>
      </c>
      <c r="AI13">
        <f>IF($B13=TRUE,AI12*(1+AI52),AI12*(1+(VLOOKUP($A13,'MoM Forecasts'!$2:$25,'Unchained Indices'!AI$2,0))))</f>
        <v>103.23117641461806</v>
      </c>
      <c r="AJ13">
        <f>IF($B13=TRUE,AJ12*(1+AJ52),AJ12*(1+(VLOOKUP($A13,'MoM Forecasts'!$2:$25,'Unchained Indices'!AJ$2,0))))</f>
        <v>102.15579198405355</v>
      </c>
      <c r="AK13">
        <f>IF($B13=TRUE,AK12*(1+AK52),AK12*(1+(VLOOKUP($A13,'MoM Forecasts'!$2:$25,'Unchained Indices'!AK$2,0))))</f>
        <v>111.45758351333519</v>
      </c>
      <c r="AL13">
        <f>IF($B13=TRUE,AL12*(1+AL52),AL12*(1+(VLOOKUP($A13,'MoM Forecasts'!$2:$25,'Unchained Indices'!AL$2,0))))</f>
        <v>105.83576217809201</v>
      </c>
      <c r="AM13">
        <f>IF($B13=TRUE,AM12*(1+AM52),AM12*(1+(VLOOKUP($A13,'MoM Forecasts'!$2:$25,'Unchained Indices'!AM$2,0))))</f>
        <v>102.36721974576308</v>
      </c>
      <c r="AN13">
        <f>IF($B13=TRUE,AN12*(1+AN52),AN12*(1+(VLOOKUP($A13,'MoM Forecasts'!$2:$25,'Unchained Indices'!AN$2,0))))</f>
        <v>107.2080976441071</v>
      </c>
      <c r="AO13">
        <f>IF($B13=TRUE,AO12*(1+AO52),AO12*(1+(VLOOKUP($A13,'MoM Forecasts'!$2:$25,'Unchained Indices'!AO$2,0))))</f>
        <v>102.95823217003262</v>
      </c>
      <c r="AP13">
        <f>IF($B13=TRUE,AP12*(1+AP52),AP12*(1+(VLOOKUP($A13,'MoM Forecasts'!$2:$25,'Unchained Indices'!AP$2,0))))</f>
        <v>103.75791874018634</v>
      </c>
      <c r="AQ13">
        <f>IF($B13=TRUE,AQ12*(1+AQ52),AQ12*(1+(VLOOKUP($A13,'MoM Forecasts'!$2:$25,'Unchained Indices'!AQ$2,0))))</f>
        <v>102.1151844661463</v>
      </c>
      <c r="AR13">
        <f>IF($B13=TRUE,AR12*(1+AR52),AR12*(1+(VLOOKUP($A13,'MoM Forecasts'!$2:$25,'Unchained Indices'!AR$2,0))))</f>
        <v>102.67091654714454</v>
      </c>
      <c r="AS13">
        <f>IF($B13=TRUE,AS12*(1+AS52),AS12*(1+(VLOOKUP($A13,'MoM Forecasts'!$2:$25,'Unchained Indices'!AS$2,0))))</f>
        <v>106.13370805679379</v>
      </c>
      <c r="AT13">
        <f>IF($B13=TRUE,AT12*(1+AT52),AT12*(1+(VLOOKUP($A13,'MoM Forecasts'!$2:$25,'Unchained Indices'!AT$2,0))))</f>
        <v>100.89808068798574</v>
      </c>
      <c r="AU13">
        <f>IF($B13=TRUE,AU12*(1+AU52),AU12*(1+(VLOOKUP($A13,'MoM Forecasts'!$2:$25,'Unchained Indices'!AU$2,0))))</f>
        <v>103.09833114829387</v>
      </c>
      <c r="AV13">
        <f>IF($B13=TRUE,AV12*(1+AV52),AV12*(1+(VLOOKUP($A13,'MoM Forecasts'!$2:$25,'Unchained Indices'!AV$2,0))))</f>
        <v>105.32841320947679</v>
      </c>
      <c r="AW13">
        <f>IF($B13=TRUE,AW12*(1+AW52),AW12*(1+(VLOOKUP($A13,'MoM Forecasts'!$2:$25,'Unchained Indices'!AW$2,0))))</f>
        <v>102.73571444018405</v>
      </c>
      <c r="AX13">
        <f>IF($B13=TRUE,AX12*(1+AX52),AX12*(1+(VLOOKUP($A13,'MoM Forecasts'!$2:$25,'Unchained Indices'!AX$2,0))))</f>
        <v>115.71643300006282</v>
      </c>
      <c r="AY13">
        <f>IF($B13=TRUE,AY12*(1+AY52),AY12*(1+(VLOOKUP($A13,'MoM Forecasts'!$2:$25,'Unchained Indices'!AY$2,0))))</f>
        <v>104.54825176052907</v>
      </c>
      <c r="AZ13">
        <f>IF($B13=TRUE,AZ12*(1+AZ52),AZ12*(1+(VLOOKUP($A13,'MoM Forecasts'!$2:$25,'Unchained Indices'!AZ$2,0))))</f>
        <v>103.78563773347348</v>
      </c>
      <c r="BA13">
        <f>IF($B13=TRUE,BA12*(1+BA52),BA12*(1+(VLOOKUP($A13,'MoM Forecasts'!$2:$25,'Unchained Indices'!BA$2,0))))</f>
        <v>104.22802729425381</v>
      </c>
      <c r="BB13">
        <f>IF($B13=TRUE,BB12*(1+BB52),BB12*(1+(VLOOKUP($A13,'MoM Forecasts'!$2:$25,'Unchained Indices'!BB$2,0))))</f>
        <v>101.70652222277774</v>
      </c>
      <c r="BC13">
        <f>IF($B13=TRUE,BC12*(1+BC52),BC12*(1+(VLOOKUP($A13,'MoM Forecasts'!$2:$25,'Unchained Indices'!BC$2,0))))</f>
        <v>105.78771419253938</v>
      </c>
      <c r="BD13">
        <f>IF($B13=TRUE,BD12*(1+BD52),BD12*(1+(VLOOKUP($A13,'MoM Forecasts'!$2:$25,'Unchained Indices'!BD$2,0))))</f>
        <v>106.82585398573289</v>
      </c>
      <c r="BE13">
        <f>IF($B13=TRUE,BE12*(1+BE52),BE12*(1+(VLOOKUP($A13,'MoM Forecasts'!$2:$25,'Unchained Indices'!BE$2,0))))</f>
        <v>121.39597405429531</v>
      </c>
      <c r="BF13">
        <f>IF($B13=TRUE,BF12*(1+BF52),BF12*(1+(VLOOKUP($A13,'MoM Forecasts'!$2:$25,'Unchained Indices'!BF$2,0))))</f>
        <v>141.50147739377411</v>
      </c>
      <c r="BG13">
        <f>IF($B13=TRUE,BG12*(1+BG52),BG12*(1+(VLOOKUP($A13,'MoM Forecasts'!$2:$25,'Unchained Indices'!BG$2,0))))</f>
        <v>169.25724446047195</v>
      </c>
      <c r="BH13">
        <f>IF($B13=TRUE,BH12*(1+BH52),BH12*(1+(VLOOKUP($A13,'MoM Forecasts'!$2:$25,'Unchained Indices'!BH$2,0))))</f>
        <v>145.05193457479825</v>
      </c>
      <c r="BI13">
        <f>IF($B13=TRUE,BI12*(1+BI52),BI12*(1+(VLOOKUP($A13,'MoM Forecasts'!$2:$25,'Unchained Indices'!BI$2,0))))</f>
        <v>108.29072633292162</v>
      </c>
      <c r="BJ13">
        <f>IF($B13=TRUE,BJ12*(1+BJ52),BJ12*(1+(VLOOKUP($A13,'MoM Forecasts'!$2:$25,'Unchained Indices'!BJ$2,0))))</f>
        <v>105.77256744569083</v>
      </c>
      <c r="BK13">
        <f>IF($B13=TRUE,BK12*(1+BK52),BK12*(1+(VLOOKUP($A13,'MoM Forecasts'!$2:$25,'Unchained Indices'!BK$2,0))))</f>
        <v>102.65376545555613</v>
      </c>
      <c r="BL13">
        <f>IF($B13=TRUE,BL12*(1+BL52),BL12*(1+(VLOOKUP($A13,'MoM Forecasts'!$2:$25,'Unchained Indices'!BL$2,0))))</f>
        <v>106.65228129482058</v>
      </c>
      <c r="BM13">
        <f>IF($B13=TRUE,BM12*(1+BM52),BM12*(1+(VLOOKUP($A13,'MoM Forecasts'!$2:$25,'Unchained Indices'!BM$2,0))))</f>
        <v>109.69808461954288</v>
      </c>
      <c r="BN13">
        <f>IF($B13=TRUE,BN12*(1+BN52),BN12*(1+(VLOOKUP($A13,'MoM Forecasts'!$2:$25,'Unchained Indices'!BN$2,0))))</f>
        <v>107.34385482815905</v>
      </c>
      <c r="BO13">
        <f>IF($B13=TRUE,BO12*(1+BO52),BO12*(1+(VLOOKUP($A13,'MoM Forecasts'!$2:$25,'Unchained Indices'!BO$2,0))))</f>
        <v>105.84420990940228</v>
      </c>
      <c r="BP13">
        <f>IF($B13=TRUE,BP12*(1+BP52),BP12*(1+(VLOOKUP($A13,'MoM Forecasts'!$2:$25,'Unchained Indices'!BP$2,0))))</f>
        <v>104.90481714233253</v>
      </c>
      <c r="BQ13">
        <f>IF($B13=TRUE,BQ12*(1+BQ52),BQ12*(1+(VLOOKUP($A13,'MoM Forecasts'!$2:$25,'Unchained Indices'!BQ$2,0))))</f>
        <v>103.88139482590117</v>
      </c>
      <c r="BR13">
        <f>IF($B13=TRUE,BR12*(1+BR52),BR12*(1+(VLOOKUP($A13,'MoM Forecasts'!$2:$25,'Unchained Indices'!BR$2,0))))</f>
        <v>102.29730121064813</v>
      </c>
      <c r="BS13">
        <f>IF($B13=TRUE,BS12*(1+BS52),BS12*(1+(VLOOKUP($A13,'MoM Forecasts'!$2:$25,'Unchained Indices'!BS$2,0))))</f>
        <v>112.5888436039961</v>
      </c>
      <c r="BT13">
        <f>IF($B13=TRUE,BT12*(1+BT52),BT12*(1+(VLOOKUP($A13,'MoM Forecasts'!$2:$25,'Unchained Indices'!BT$2,0))))</f>
        <v>114.08178432453961</v>
      </c>
      <c r="BU13">
        <f>IF($B13=TRUE,BU12*(1+BU52),BU12*(1+(VLOOKUP($A13,'MoM Forecasts'!$2:$25,'Unchained Indices'!BU$2,0))))</f>
        <v>107.44154816454183</v>
      </c>
      <c r="BV13">
        <f>IF($B13=TRUE,BV12*(1+BV52),BV12*(1+(VLOOKUP($A13,'MoM Forecasts'!$2:$25,'Unchained Indices'!BV$2,0))))</f>
        <v>104.91580158231761</v>
      </c>
      <c r="BW13">
        <f>IF($B13=TRUE,BW12*(1+BW52),BW12*(1+(VLOOKUP($A13,'MoM Forecasts'!$2:$25,'Unchained Indices'!BW$2,0))))</f>
        <v>105.49383479763128</v>
      </c>
      <c r="BX13">
        <f>IF($B13=TRUE,BX12*(1+BX52),BX12*(1+(VLOOKUP($A13,'MoM Forecasts'!$2:$25,'Unchained Indices'!BX$2,0))))</f>
        <v>104.02969067676098</v>
      </c>
      <c r="BY13">
        <f>IF($B13=TRUE,BY12*(1+BY52),BY12*(1+(VLOOKUP($A13,'MoM Forecasts'!$2:$25,'Unchained Indices'!BY$2,0))))</f>
        <v>103.77765174545078</v>
      </c>
      <c r="BZ13">
        <f>IF($B13=TRUE,BZ12*(1+BZ52),BZ12*(1+(VLOOKUP($A13,'MoM Forecasts'!$2:$25,'Unchained Indices'!BZ$2,0))))</f>
        <v>103.05506760283971</v>
      </c>
      <c r="CA13">
        <f>IF($B13=TRUE,CA12*(1+CA52),CA12*(1+(VLOOKUP($A13,'MoM Forecasts'!$2:$25,'Unchained Indices'!CA$2,0))))</f>
        <v>97.986025487000461</v>
      </c>
      <c r="CB13">
        <f>IF($B13=TRUE,CB12*(1+CB52),CB12*(1+(VLOOKUP($A13,'MoM Forecasts'!$2:$25,'Unchained Indices'!CB$2,0))))</f>
        <v>103.97659795850565</v>
      </c>
      <c r="CC13">
        <f>IF($B13=TRUE,CC12*(1+CC52),CC12*(1+(VLOOKUP($A13,'MoM Forecasts'!$2:$25,'Unchained Indices'!CC$2,0))))</f>
        <v>132.55284779778236</v>
      </c>
      <c r="CD13">
        <f>IF($B13=TRUE,CD12*(1+CD52),CD12*(1+(VLOOKUP($A13,'MoM Forecasts'!$2:$25,'Unchained Indices'!CD$2,0))))</f>
        <v>112.10089378428019</v>
      </c>
      <c r="CE13">
        <f>IF($B13=TRUE,CE12*(1+CE52),CE12*(1+(VLOOKUP($A13,'MoM Forecasts'!$2:$25,'Unchained Indices'!CE$2,0))))</f>
        <v>108.91154775694871</v>
      </c>
      <c r="CF13">
        <f>IF($B13=TRUE,CF12*(1+CF52),CF12*(1+(VLOOKUP($A13,'MoM Forecasts'!$2:$25,'Unchained Indices'!CF$2,0))))</f>
        <v>108.11806223809262</v>
      </c>
      <c r="CG13">
        <f>IF($B13=TRUE,CG12*(1+CG52),CG12*(1+(VLOOKUP($A13,'MoM Forecasts'!$2:$25,'Unchained Indices'!CG$2,0))))</f>
        <v>134.20374182546013</v>
      </c>
      <c r="CH13">
        <f>IF($B13=TRUE,CH12*(1+CH52),CH12*(1+(VLOOKUP($A13,'MoM Forecasts'!$2:$25,'Unchained Indices'!CH$2,0))))</f>
        <v>88.182677908919985</v>
      </c>
      <c r="CI13">
        <f>IF($B13=TRUE,CI12*(1+CI52),CI12*(1+(VLOOKUP($A13,'MoM Forecasts'!$2:$25,'Unchained Indices'!CI$2,0))))</f>
        <v>104.65562346485193</v>
      </c>
      <c r="CJ13">
        <f>IF($B13=TRUE,CJ12*(1+CJ52),CJ12*(1+(VLOOKUP($A13,'MoM Forecasts'!$2:$25,'Unchained Indices'!CJ$2,0))))</f>
        <v>103.05372254234196</v>
      </c>
      <c r="CK13">
        <f>IF($B13=TRUE,CK12*(1+CK52),CK12*(1+(VLOOKUP($A13,'MoM Forecasts'!$2:$25,'Unchained Indices'!CK$2,0))))</f>
        <v>105.30350095129168</v>
      </c>
      <c r="CL13">
        <f>IF($B13=TRUE,CL12*(1+CL52),CL12*(1+(VLOOKUP($A13,'MoM Forecasts'!$2:$25,'Unchained Indices'!CL$2,0))))</f>
        <v>104.64560968113129</v>
      </c>
      <c r="CM13">
        <f>IF($B13=TRUE,CM12*(1+CM52),CM12*(1+(VLOOKUP($A13,'MoM Forecasts'!$2:$25,'Unchained Indices'!CM$2,0))))</f>
        <v>101.29549079115306</v>
      </c>
      <c r="CN13">
        <f>IF($B13=TRUE,CN12*(1+CN52),CN12*(1+(VLOOKUP($A13,'MoM Forecasts'!$2:$25,'Unchained Indices'!CN$2,0))))</f>
        <v>105.20664990234326</v>
      </c>
      <c r="CO13">
        <f>IF($B13=TRUE,CO12*(1+CO52),CO12*(1+(VLOOKUP($A13,'MoM Forecasts'!$2:$25,'Unchained Indices'!CO$2,0))))</f>
        <v>103.8427031451937</v>
      </c>
      <c r="CP13">
        <f>IF($B13=TRUE,CP12*(1+CP52),CP12*(1+(VLOOKUP($A13,'MoM Forecasts'!$2:$25,'Unchained Indices'!CP$2,0))))</f>
        <v>113.89908384337357</v>
      </c>
    </row>
    <row r="14" spans="1:109" x14ac:dyDescent="0.25">
      <c r="A14" s="6">
        <f t="shared" si="4"/>
        <v>44896</v>
      </c>
      <c r="B14" s="8" t="str">
        <f>IF(A14&lt;='MoM Forecasts'!$A$2,TRUE,"")</f>
        <v/>
      </c>
      <c r="C14" s="7">
        <f t="shared" si="5"/>
        <v>44562</v>
      </c>
      <c r="D14">
        <f>IF($B14=TRUE,D13*(1+D53),D13*(1+(VLOOKUP($A14,'MoM Forecasts'!$2:$25,'Unchained Indices'!D$2,0))))</f>
        <v>107.43423314834953</v>
      </c>
      <c r="E14">
        <f>IF($B14=TRUE,E13*(1+E53),E13*(1+(VLOOKUP($A14,'MoM Forecasts'!$2:$25,'Unchained Indices'!E$2,0))))</f>
        <v>108.13934015759104</v>
      </c>
      <c r="F14">
        <f>IF($B14=TRUE,F13*(1+F53),F13*(1+(VLOOKUP($A14,'MoM Forecasts'!$2:$25,'Unchained Indices'!F$2,0))))</f>
        <v>113.06074072945768</v>
      </c>
      <c r="G14">
        <f>IF($B14=TRUE,G13*(1+G53),G13*(1+(VLOOKUP($A14,'MoM Forecasts'!$2:$25,'Unchained Indices'!G$2,0))))</f>
        <v>106.91134099687164</v>
      </c>
      <c r="H14">
        <f>IF($B14=TRUE,H13*(1+H53),H13*(1+(VLOOKUP($A14,'MoM Forecasts'!$2:$25,'Unchained Indices'!H$2,0))))</f>
        <v>108.30291656192388</v>
      </c>
      <c r="I14">
        <f>IF($B14=TRUE,I13*(1+I53),I13*(1+(VLOOKUP($A14,'MoM Forecasts'!$2:$25,'Unchained Indices'!I$2,0))))</f>
        <v>108.32097887451293</v>
      </c>
      <c r="J14">
        <f>IF($B14=TRUE,J13*(1+J53),J13*(1+(VLOOKUP($A14,'MoM Forecasts'!$2:$25,'Unchained Indices'!J$2,0))))</f>
        <v>110.85780422988623</v>
      </c>
      <c r="K14">
        <f>IF($B14=TRUE,K13*(1+K53),K13*(1+(VLOOKUP($A14,'MoM Forecasts'!$2:$25,'Unchained Indices'!K$2,0))))</f>
        <v>112.3448789412694</v>
      </c>
      <c r="L14">
        <f>IF($B14=TRUE,L13*(1+L53),L13*(1+(VLOOKUP($A14,'MoM Forecasts'!$2:$25,'Unchained Indices'!L$2,0))))</f>
        <v>112.09960947731668</v>
      </c>
      <c r="M14">
        <f>IF($B14=TRUE,M13*(1+M53),M13*(1+(VLOOKUP($A14,'MoM Forecasts'!$2:$25,'Unchained Indices'!M$2,0))))</f>
        <v>109.07667920568389</v>
      </c>
      <c r="N14">
        <f>IF($B14=TRUE,N13*(1+N53),N13*(1+(VLOOKUP($A14,'MoM Forecasts'!$2:$25,'Unchained Indices'!N$2,0))))</f>
        <v>110.00788389838441</v>
      </c>
      <c r="O14">
        <f>IF($B14=TRUE,O13*(1+O53),O13*(1+(VLOOKUP($A14,'MoM Forecasts'!$2:$25,'Unchained Indices'!O$2,0))))</f>
        <v>110.49192628477826</v>
      </c>
      <c r="P14">
        <f>IF($B14=TRUE,P13*(1+P53),P13*(1+(VLOOKUP($A14,'MoM Forecasts'!$2:$25,'Unchained Indices'!P$2,0))))</f>
        <v>109.53198532113754</v>
      </c>
      <c r="Q14">
        <f>IF($B14=TRUE,Q13*(1+Q53),Q13*(1+(VLOOKUP($A14,'MoM Forecasts'!$2:$25,'Unchained Indices'!Q$2,0))))</f>
        <v>122.23839802488808</v>
      </c>
      <c r="R14">
        <f>IF($B14=TRUE,R13*(1+R53),R13*(1+(VLOOKUP($A14,'MoM Forecasts'!$2:$25,'Unchained Indices'!R$2,0))))</f>
        <v>112.01858801666523</v>
      </c>
      <c r="S14">
        <f>IF($B14=TRUE,S13*(1+S53),S13*(1+(VLOOKUP($A14,'MoM Forecasts'!$2:$25,'Unchained Indices'!S$2,0))))</f>
        <v>114.345192373732</v>
      </c>
      <c r="T14">
        <f>IF($B14=TRUE,T13*(1+T53),T13*(1+(VLOOKUP($A14,'MoM Forecasts'!$2:$25,'Unchained Indices'!T$2,0))))</f>
        <v>108.43510237580706</v>
      </c>
      <c r="U14">
        <f>IF($B14=TRUE,U13*(1+U53),U13*(1+(VLOOKUP($A14,'MoM Forecasts'!$2:$25,'Unchained Indices'!U$2,0))))</f>
        <v>120.03530619328674</v>
      </c>
      <c r="V14">
        <f>IF($B14=TRUE,V13*(1+V53),V13*(1+(VLOOKUP($A14,'MoM Forecasts'!$2:$25,'Unchained Indices'!V$2,0))))</f>
        <v>109.42905658731767</v>
      </c>
      <c r="W14">
        <f>IF($B14=TRUE,W13*(1+W53),W13*(1+(VLOOKUP($A14,'MoM Forecasts'!$2:$25,'Unchained Indices'!W$2,0))))</f>
        <v>106.30413775639512</v>
      </c>
      <c r="X14">
        <f>IF($B14=TRUE,X13*(1+X53),X13*(1+(VLOOKUP($A14,'MoM Forecasts'!$2:$25,'Unchained Indices'!X$2,0))))</f>
        <v>108.60876210512379</v>
      </c>
      <c r="Y14">
        <f>IF($B14=TRUE,Y13*(1+Y53),Y13*(1+(VLOOKUP($A14,'MoM Forecasts'!$2:$25,'Unchained Indices'!Y$2,0))))</f>
        <v>106.01057157920481</v>
      </c>
      <c r="Z14">
        <f>IF($B14=TRUE,Z13*(1+Z53),Z13*(1+(VLOOKUP($A14,'MoM Forecasts'!$2:$25,'Unchained Indices'!Z$2,0))))</f>
        <v>105.79785347670826</v>
      </c>
      <c r="AA14">
        <f>IF($B14=TRUE,AA13*(1+AA53),AA13*(1+(VLOOKUP($A14,'MoM Forecasts'!$2:$25,'Unchained Indices'!AA$2,0))))</f>
        <v>101.47728169434353</v>
      </c>
      <c r="AB14">
        <f>IF($B14=TRUE,AB13*(1+AB53),AB13*(1+(VLOOKUP($A14,'MoM Forecasts'!$2:$25,'Unchained Indices'!AB$2,0))))</f>
        <v>109.55105055077</v>
      </c>
      <c r="AC14">
        <f>IF($B14=TRUE,AC13*(1+AC53),AC13*(1+(VLOOKUP($A14,'MoM Forecasts'!$2:$25,'Unchained Indices'!AC$2,0))))</f>
        <v>114.50025507603222</v>
      </c>
      <c r="AD14">
        <f>IF($B14=TRUE,AD13*(1+AD53),AD13*(1+(VLOOKUP($A14,'MoM Forecasts'!$2:$25,'Unchained Indices'!AD$2,0))))</f>
        <v>109.51125618282316</v>
      </c>
      <c r="AE14">
        <f>IF($B14=TRUE,AE13*(1+AE53),AE13*(1+(VLOOKUP($A14,'MoM Forecasts'!$2:$25,'Unchained Indices'!AE$2,0))))</f>
        <v>105.09520513514869</v>
      </c>
      <c r="AF14">
        <f>IF($B14=TRUE,AF13*(1+AF53),AF13*(1+(VLOOKUP($A14,'MoM Forecasts'!$2:$25,'Unchained Indices'!AF$2,0))))</f>
        <v>105.984898317919</v>
      </c>
      <c r="AG14">
        <f>IF($B14=TRUE,AG13*(1+AG53),AG13*(1+(VLOOKUP($A14,'MoM Forecasts'!$2:$25,'Unchained Indices'!AG$2,0))))</f>
        <v>109.56427482422922</v>
      </c>
      <c r="AH14">
        <f>IF($B14=TRUE,AH13*(1+AH53),AH13*(1+(VLOOKUP($A14,'MoM Forecasts'!$2:$25,'Unchained Indices'!AH$2,0))))</f>
        <v>101.15669736546214</v>
      </c>
      <c r="AI14">
        <f>IF($B14=TRUE,AI13*(1+AI53),AI13*(1+(VLOOKUP($A14,'MoM Forecasts'!$2:$25,'Unchained Indices'!AI$2,0))))</f>
        <v>104.47344641144221</v>
      </c>
      <c r="AJ14">
        <f>IF($B14=TRUE,AJ13*(1+AJ53),AJ13*(1+(VLOOKUP($A14,'MoM Forecasts'!$2:$25,'Unchained Indices'!AJ$2,0))))</f>
        <v>102.23692441433771</v>
      </c>
      <c r="AK14">
        <f>IF($B14=TRUE,AK13*(1+AK53),AK13*(1+(VLOOKUP($A14,'MoM Forecasts'!$2:$25,'Unchained Indices'!AK$2,0))))</f>
        <v>111.51353003977269</v>
      </c>
      <c r="AL14">
        <f>IF($B14=TRUE,AL13*(1+AL53),AL13*(1+(VLOOKUP($A14,'MoM Forecasts'!$2:$25,'Unchained Indices'!AL$2,0))))</f>
        <v>105.919702722615</v>
      </c>
      <c r="AM14">
        <f>IF($B14=TRUE,AM13*(1+AM53),AM13*(1+(VLOOKUP($A14,'MoM Forecasts'!$2:$25,'Unchained Indices'!AM$2,0))))</f>
        <v>102.46044918362834</v>
      </c>
      <c r="AN14">
        <f>IF($B14=TRUE,AN13*(1+AN53),AN13*(1+(VLOOKUP($A14,'MoM Forecasts'!$2:$25,'Unchained Indices'!AN$2,0))))</f>
        <v>107.29071828944349</v>
      </c>
      <c r="AO14">
        <f>IF($B14=TRUE,AO13*(1+AO53),AO13*(1+(VLOOKUP($A14,'MoM Forecasts'!$2:$25,'Unchained Indices'!AO$2,0))))</f>
        <v>103.04066404431647</v>
      </c>
      <c r="AP14">
        <f>IF($B14=TRUE,AP13*(1+AP53),AP13*(1+(VLOOKUP($A14,'MoM Forecasts'!$2:$25,'Unchained Indices'!AP$2,0))))</f>
        <v>103.84563132632623</v>
      </c>
      <c r="AQ14">
        <f>IF($B14=TRUE,AQ13*(1+AQ53),AQ13*(1+(VLOOKUP($A14,'MoM Forecasts'!$2:$25,'Unchained Indices'!AQ$2,0))))</f>
        <v>102.15122695949447</v>
      </c>
      <c r="AR14">
        <f>IF($B14=TRUE,AR13*(1+AR53),AR13*(1+(VLOOKUP($A14,'MoM Forecasts'!$2:$25,'Unchained Indices'!AR$2,0))))</f>
        <v>102.74572532994836</v>
      </c>
      <c r="AS14">
        <f>IF($B14=TRUE,AS13*(1+AS53),AS13*(1+(VLOOKUP($A14,'MoM Forecasts'!$2:$25,'Unchained Indices'!AS$2,0))))</f>
        <v>106.22197378066966</v>
      </c>
      <c r="AT14">
        <f>IF($B14=TRUE,AT13*(1+AT53),AT13*(1+(VLOOKUP($A14,'MoM Forecasts'!$2:$25,'Unchained Indices'!AT$2,0))))</f>
        <v>100.95553642084137</v>
      </c>
      <c r="AU14">
        <f>IF($B14=TRUE,AU13*(1+AU53),AU13*(1+(VLOOKUP($A14,'MoM Forecasts'!$2:$25,'Unchained Indices'!AU$2,0))))</f>
        <v>103.20252287391483</v>
      </c>
      <c r="AV14">
        <f>IF($B14=TRUE,AV13*(1+AV53),AV13*(1+(VLOOKUP($A14,'MoM Forecasts'!$2:$25,'Unchained Indices'!AV$2,0))))</f>
        <v>105.42212641896674</v>
      </c>
      <c r="AW14">
        <f>IF($B14=TRUE,AW13*(1+AW53),AW13*(1+(VLOOKUP($A14,'MoM Forecasts'!$2:$25,'Unchained Indices'!AW$2,0))))</f>
        <v>102.82183078871901</v>
      </c>
      <c r="AX14">
        <f>IF($B14=TRUE,AX13*(1+AX53),AX13*(1+(VLOOKUP($A14,'MoM Forecasts'!$2:$25,'Unchained Indices'!AX$2,0))))</f>
        <v>114.52661895948332</v>
      </c>
      <c r="AY14">
        <f>IF($B14=TRUE,AY13*(1+AY53),AY13*(1+(VLOOKUP($A14,'MoM Forecasts'!$2:$25,'Unchained Indices'!AY$2,0))))</f>
        <v>104.66189203765225</v>
      </c>
      <c r="AZ14">
        <f>IF($B14=TRUE,AZ13*(1+AZ53),AZ13*(1+(VLOOKUP($A14,'MoM Forecasts'!$2:$25,'Unchained Indices'!AZ$2,0))))</f>
        <v>103.87703753293049</v>
      </c>
      <c r="BA14">
        <f>IF($B14=TRUE,BA13*(1+BA53),BA13*(1+(VLOOKUP($A14,'MoM Forecasts'!$2:$25,'Unchained Indices'!BA$2,0))))</f>
        <v>104.33108674939619</v>
      </c>
      <c r="BB14">
        <f>IF($B14=TRUE,BB13*(1+BB53),BB13*(1+(VLOOKUP($A14,'MoM Forecasts'!$2:$25,'Unchained Indices'!BB$2,0))))</f>
        <v>101.80839475503866</v>
      </c>
      <c r="BC14">
        <f>IF($B14=TRUE,BC13*(1+BC53),BC13*(1+(VLOOKUP($A14,'MoM Forecasts'!$2:$25,'Unchained Indices'!BC$2,0))))</f>
        <v>105.85081171372595</v>
      </c>
      <c r="BD14">
        <f>IF($B14=TRUE,BD13*(1+BD53),BD13*(1+(VLOOKUP($A14,'MoM Forecasts'!$2:$25,'Unchained Indices'!BD$2,0))))</f>
        <v>106.89771922811303</v>
      </c>
      <c r="BE14">
        <f>IF($B14=TRUE,BE13*(1+BE53),BE13*(1+(VLOOKUP($A14,'MoM Forecasts'!$2:$25,'Unchained Indices'!BE$2,0))))</f>
        <v>121.49631337663611</v>
      </c>
      <c r="BF14">
        <f>IF($B14=TRUE,BF13*(1+BF53),BF13*(1+(VLOOKUP($A14,'MoM Forecasts'!$2:$25,'Unchained Indices'!BF$2,0))))</f>
        <v>141.58373934583565</v>
      </c>
      <c r="BG14">
        <f>IF($B14=TRUE,BG13*(1+BG53),BG13*(1+(VLOOKUP($A14,'MoM Forecasts'!$2:$25,'Unchained Indices'!BG$2,0))))</f>
        <v>169.36947613010878</v>
      </c>
      <c r="BH14">
        <f>IF($B14=TRUE,BH13*(1+BH53),BH13*(1+(VLOOKUP($A14,'MoM Forecasts'!$2:$25,'Unchained Indices'!BH$2,0))))</f>
        <v>146.94100977070968</v>
      </c>
      <c r="BI14">
        <f>IF($B14=TRUE,BI13*(1+BI53),BI13*(1+(VLOOKUP($A14,'MoM Forecasts'!$2:$25,'Unchained Indices'!BI$2,0))))</f>
        <v>108.36044055710158</v>
      </c>
      <c r="BJ14">
        <f>IF($B14=TRUE,BJ13*(1+BJ53),BJ13*(1+(VLOOKUP($A14,'MoM Forecasts'!$2:$25,'Unchained Indices'!BJ$2,0))))</f>
        <v>105.84110838480063</v>
      </c>
      <c r="BK14">
        <f>IF($B14=TRUE,BK13*(1+BK53),BK13*(1+(VLOOKUP($A14,'MoM Forecasts'!$2:$25,'Unchained Indices'!BK$2,0))))</f>
        <v>102.59798932807577</v>
      </c>
      <c r="BL14">
        <f>IF($B14=TRUE,BL13*(1+BL53),BL13*(1+(VLOOKUP($A14,'MoM Forecasts'!$2:$25,'Unchained Indices'!BL$2,0))))</f>
        <v>106.70691531686403</v>
      </c>
      <c r="BM14">
        <f>IF($B14=TRUE,BM13*(1+BM53),BM13*(1+(VLOOKUP($A14,'MoM Forecasts'!$2:$25,'Unchained Indices'!BM$2,0))))</f>
        <v>109.75711412322266</v>
      </c>
      <c r="BN14">
        <f>IF($B14=TRUE,BN13*(1+BN53),BN13*(1+(VLOOKUP($A14,'MoM Forecasts'!$2:$25,'Unchained Indices'!BN$2,0))))</f>
        <v>107.42178450873381</v>
      </c>
      <c r="BO14">
        <f>IF($B14=TRUE,BO13*(1+BO53),BO13*(1+(VLOOKUP($A14,'MoM Forecasts'!$2:$25,'Unchained Indices'!BO$2,0))))</f>
        <v>105.93967318871684</v>
      </c>
      <c r="BP14">
        <f>IF($B14=TRUE,BP13*(1+BP53),BP13*(1+(VLOOKUP($A14,'MoM Forecasts'!$2:$25,'Unchained Indices'!BP$2,0))))</f>
        <v>104.90287821392732</v>
      </c>
      <c r="BQ14">
        <f>IF($B14=TRUE,BQ13*(1+BQ53),BQ13*(1+(VLOOKUP($A14,'MoM Forecasts'!$2:$25,'Unchained Indices'!BQ$2,0))))</f>
        <v>103.97577620649513</v>
      </c>
      <c r="BR14">
        <f>IF($B14=TRUE,BR13*(1+BR53),BR13*(1+(VLOOKUP($A14,'MoM Forecasts'!$2:$25,'Unchained Indices'!BR$2,0))))</f>
        <v>102.39366581230115</v>
      </c>
      <c r="BS14">
        <f>IF($B14=TRUE,BS13*(1+BS53),BS13*(1+(VLOOKUP($A14,'MoM Forecasts'!$2:$25,'Unchained Indices'!BS$2,0))))</f>
        <v>112.62800748872024</v>
      </c>
      <c r="BT14">
        <f>IF($B14=TRUE,BT13*(1+BT53),BT13*(1+(VLOOKUP($A14,'MoM Forecasts'!$2:$25,'Unchained Indices'!BT$2,0))))</f>
        <v>114.09955660888308</v>
      </c>
      <c r="BU14">
        <f>IF($B14=TRUE,BU13*(1+BU53),BU13*(1+(VLOOKUP($A14,'MoM Forecasts'!$2:$25,'Unchained Indices'!BU$2,0))))</f>
        <v>107.47518888214788</v>
      </c>
      <c r="BV14">
        <f>IF($B14=TRUE,BV13*(1+BV53),BV13*(1+(VLOOKUP($A14,'MoM Forecasts'!$2:$25,'Unchained Indices'!BV$2,0))))</f>
        <v>104.97108785575962</v>
      </c>
      <c r="BW14">
        <f>IF($B14=TRUE,BW13*(1+BW53),BW13*(1+(VLOOKUP($A14,'MoM Forecasts'!$2:$25,'Unchained Indices'!BW$2,0))))</f>
        <v>105.52102829727072</v>
      </c>
      <c r="BX14">
        <f>IF($B14=TRUE,BX13*(1+BX53),BX13*(1+(VLOOKUP($A14,'MoM Forecasts'!$2:$25,'Unchained Indices'!BX$2,0))))</f>
        <v>104.09264361449924</v>
      </c>
      <c r="BY14">
        <f>IF($B14=TRUE,BY13*(1+BY53),BY13*(1+(VLOOKUP($A14,'MoM Forecasts'!$2:$25,'Unchained Indices'!BY$2,0))))</f>
        <v>103.83691787697757</v>
      </c>
      <c r="BZ14">
        <f>IF($B14=TRUE,BZ13*(1+BZ53),BZ13*(1+(VLOOKUP($A14,'MoM Forecasts'!$2:$25,'Unchained Indices'!BZ$2,0))))</f>
        <v>103.15266436121267</v>
      </c>
      <c r="CA14">
        <f>IF($B14=TRUE,CA13*(1+CA53),CA13*(1+(VLOOKUP($A14,'MoM Forecasts'!$2:$25,'Unchained Indices'!CA$2,0))))</f>
        <v>97.948633553665815</v>
      </c>
      <c r="CB14">
        <f>IF($B14=TRUE,CB13*(1+CB53),CB13*(1+(VLOOKUP($A14,'MoM Forecasts'!$2:$25,'Unchained Indices'!CB$2,0))))</f>
        <v>104.07305436889436</v>
      </c>
      <c r="CC14">
        <f>IF($B14=TRUE,CC13*(1+CC53),CC13*(1+(VLOOKUP($A14,'MoM Forecasts'!$2:$25,'Unchained Indices'!CC$2,0))))</f>
        <v>132.64860691703927</v>
      </c>
      <c r="CD14">
        <f>IF($B14=TRUE,CD13*(1+CD53),CD13*(1+(VLOOKUP($A14,'MoM Forecasts'!$2:$25,'Unchained Indices'!CD$2,0))))</f>
        <v>112.20042221808532</v>
      </c>
      <c r="CE14">
        <f>IF($B14=TRUE,CE13*(1+CE53),CE13*(1+(VLOOKUP($A14,'MoM Forecasts'!$2:$25,'Unchained Indices'!CE$2,0))))</f>
        <v>109.00878481986476</v>
      </c>
      <c r="CF14">
        <f>IF($B14=TRUE,CF13*(1+CF53),CF13*(1+(VLOOKUP($A14,'MoM Forecasts'!$2:$25,'Unchained Indices'!CF$2,0))))</f>
        <v>108.21246875220996</v>
      </c>
      <c r="CG14">
        <f>IF($B14=TRUE,CG13*(1+CG53),CG13*(1+(VLOOKUP($A14,'MoM Forecasts'!$2:$25,'Unchained Indices'!CG$2,0))))</f>
        <v>140.12443790850787</v>
      </c>
      <c r="CH14">
        <f>IF($B14=TRUE,CH13*(1+CH53),CH13*(1+(VLOOKUP($A14,'MoM Forecasts'!$2:$25,'Unchained Indices'!CH$2,0))))</f>
        <v>86.331288562620571</v>
      </c>
      <c r="CI14">
        <f>IF($B14=TRUE,CI13*(1+CI53),CI13*(1+(VLOOKUP($A14,'MoM Forecasts'!$2:$25,'Unchained Indices'!CI$2,0))))</f>
        <v>105.81418344274577</v>
      </c>
      <c r="CJ14">
        <f>IF($B14=TRUE,CJ13*(1+CJ53),CJ13*(1+(VLOOKUP($A14,'MoM Forecasts'!$2:$25,'Unchained Indices'!CJ$2,0))))</f>
        <v>103.01227512914694</v>
      </c>
      <c r="CK14">
        <f>IF($B14=TRUE,CK13*(1+CK53),CK13*(1+(VLOOKUP($A14,'MoM Forecasts'!$2:$25,'Unchained Indices'!CK$2,0))))</f>
        <v>105.38851431916461</v>
      </c>
      <c r="CL14">
        <f>IF($B14=TRUE,CL13*(1+CL53),CL13*(1+(VLOOKUP($A14,'MoM Forecasts'!$2:$25,'Unchained Indices'!CL$2,0))))</f>
        <v>104.68726804291322</v>
      </c>
      <c r="CM14">
        <f>IF($B14=TRUE,CM13*(1+CM53),CM13*(1+(VLOOKUP($A14,'MoM Forecasts'!$2:$25,'Unchained Indices'!CM$2,0))))</f>
        <v>101.3639356473066</v>
      </c>
      <c r="CN14">
        <f>IF($B14=TRUE,CN13*(1+CN53),CN13*(1+(VLOOKUP($A14,'MoM Forecasts'!$2:$25,'Unchained Indices'!CN$2,0))))</f>
        <v>105.31040384039201</v>
      </c>
      <c r="CO14">
        <f>IF($B14=TRUE,CO13*(1+CO53),CO13*(1+(VLOOKUP($A14,'MoM Forecasts'!$2:$25,'Unchained Indices'!CO$2,0))))</f>
        <v>103.93959155607685</v>
      </c>
      <c r="CP14">
        <f>IF($B14=TRUE,CP13*(1+CP53),CP13*(1+(VLOOKUP($A14,'MoM Forecasts'!$2:$25,'Unchained Indices'!CP$2,0))))</f>
        <v>114.00090828202192</v>
      </c>
    </row>
    <row r="15" spans="1:109" x14ac:dyDescent="0.25">
      <c r="A15" s="6">
        <f t="shared" si="4"/>
        <v>44927</v>
      </c>
      <c r="B15" s="8" t="str">
        <f>IF(A15&lt;='MoM Forecasts'!$A$2,TRUE,"")</f>
        <v/>
      </c>
      <c r="C15" s="7"/>
      <c r="D15">
        <f>IF($B15=TRUE,D14*(1+D54),D14*(1+(VLOOKUP($A15,'MoM Forecasts'!$2:$25,'Unchained Indices'!D$2,0))))</f>
        <v>107.5046975254597</v>
      </c>
      <c r="E15">
        <f>IF($B15=TRUE,E14*(1+E54),E14*(1+(VLOOKUP($A15,'MoM Forecasts'!$2:$25,'Unchained Indices'!E$2,0))))</f>
        <v>108.20264645489624</v>
      </c>
      <c r="F15">
        <f>IF($B15=TRUE,F14*(1+F54),F14*(1+(VLOOKUP($A15,'MoM Forecasts'!$2:$25,'Unchained Indices'!F$2,0))))</f>
        <v>113.13758289014409</v>
      </c>
      <c r="G15">
        <f>IF($B15=TRUE,G14*(1+G54),G14*(1+(VLOOKUP($A15,'MoM Forecasts'!$2:$25,'Unchained Indices'!G$2,0))))</f>
        <v>106.97818538892778</v>
      </c>
      <c r="H15">
        <f>IF($B15=TRUE,H14*(1+H54),H14*(1+(VLOOKUP($A15,'MoM Forecasts'!$2:$25,'Unchained Indices'!H$2,0))))</f>
        <v>108.39183412998104</v>
      </c>
      <c r="I15">
        <f>IF($B15=TRUE,I14*(1+I54),I14*(1+(VLOOKUP($A15,'MoM Forecasts'!$2:$25,'Unchained Indices'!I$2,0))))</f>
        <v>108.40981489177857</v>
      </c>
      <c r="J15">
        <f>IF($B15=TRUE,J14*(1+J54),J14*(1+(VLOOKUP($A15,'MoM Forecasts'!$2:$25,'Unchained Indices'!J$2,0))))</f>
        <v>110.93565464952324</v>
      </c>
      <c r="K15">
        <f>IF($B15=TRUE,K14*(1+K54),K14*(1+(VLOOKUP($A15,'MoM Forecasts'!$2:$25,'Unchained Indices'!K$2,0))))</f>
        <v>112.41544045796726</v>
      </c>
      <c r="L15">
        <f>IF($B15=TRUE,L14*(1+L54),L14*(1+(VLOOKUP($A15,'MoM Forecasts'!$2:$25,'Unchained Indices'!L$2,0))))</f>
        <v>112.1280489812976</v>
      </c>
      <c r="M15">
        <f>IF($B15=TRUE,M14*(1+M54),M14*(1+(VLOOKUP($A15,'MoM Forecasts'!$2:$25,'Unchained Indices'!M$2,0))))</f>
        <v>109.13709825408237</v>
      </c>
      <c r="N15">
        <f>IF($B15=TRUE,N14*(1+N54),N14*(1+(VLOOKUP($A15,'MoM Forecasts'!$2:$25,'Unchained Indices'!N$2,0))))</f>
        <v>110.09386434778607</v>
      </c>
      <c r="O15">
        <f>IF($B15=TRUE,O14*(1+O54),O14*(1+(VLOOKUP($A15,'MoM Forecasts'!$2:$25,'Unchained Indices'!O$2,0))))</f>
        <v>110.57901210670565</v>
      </c>
      <c r="P15">
        <f>IF($B15=TRUE,P14*(1+P54),P14*(1+(VLOOKUP($A15,'MoM Forecasts'!$2:$25,'Unchained Indices'!P$2,0))))</f>
        <v>109.61557919001281</v>
      </c>
      <c r="Q15">
        <f>IF($B15=TRUE,Q14*(1+Q54),Q14*(1+(VLOOKUP($A15,'MoM Forecasts'!$2:$25,'Unchained Indices'!Q$2,0))))</f>
        <v>122.33310618659327</v>
      </c>
      <c r="R15">
        <f>IF($B15=TRUE,R14*(1+R54),R14*(1+(VLOOKUP($A15,'MoM Forecasts'!$2:$25,'Unchained Indices'!R$2,0))))</f>
        <v>112.07764944767021</v>
      </c>
      <c r="S15">
        <f>IF($B15=TRUE,S14*(1+S54),S14*(1+(VLOOKUP($A15,'MoM Forecasts'!$2:$25,'Unchained Indices'!S$2,0))))</f>
        <v>114.42593480717031</v>
      </c>
      <c r="T15">
        <f>IF($B15=TRUE,T14*(1+T54),T14*(1+(VLOOKUP($A15,'MoM Forecasts'!$2:$25,'Unchained Indices'!T$2,0))))</f>
        <v>108.51949867102471</v>
      </c>
      <c r="U15">
        <f>IF($B15=TRUE,U14*(1+U54),U14*(1+(VLOOKUP($A15,'MoM Forecasts'!$2:$25,'Unchained Indices'!U$2,0))))</f>
        <v>120.11127894329883</v>
      </c>
      <c r="V15">
        <f>IF($B15=TRUE,V14*(1+V54),V14*(1+(VLOOKUP($A15,'MoM Forecasts'!$2:$25,'Unchained Indices'!V$2,0))))</f>
        <v>109.480548378154</v>
      </c>
      <c r="W15">
        <f>IF($B15=TRUE,W14*(1+W54),W14*(1+(VLOOKUP($A15,'MoM Forecasts'!$2:$25,'Unchained Indices'!W$2,0))))</f>
        <v>106.36815679703585</v>
      </c>
      <c r="X15">
        <f>IF($B15=TRUE,X14*(1+X54),X14*(1+(VLOOKUP($A15,'MoM Forecasts'!$2:$25,'Unchained Indices'!X$2,0))))</f>
        <v>108.6764604720945</v>
      </c>
      <c r="Y15">
        <f>IF($B15=TRUE,Y14*(1+Y54),Y14*(1+(VLOOKUP($A15,'MoM Forecasts'!$2:$25,'Unchained Indices'!Y$2,0))))</f>
        <v>106.07891472325176</v>
      </c>
      <c r="Z15">
        <f>IF($B15=TRUE,Z14*(1+Z54),Z14*(1+(VLOOKUP($A15,'MoM Forecasts'!$2:$25,'Unchained Indices'!Z$2,0))))</f>
        <v>105.85234277096454</v>
      </c>
      <c r="AA15">
        <f>IF($B15=TRUE,AA14*(1+AA54),AA14*(1+(VLOOKUP($A15,'MoM Forecasts'!$2:$25,'Unchained Indices'!AA$2,0))))</f>
        <v>101.57071783119206</v>
      </c>
      <c r="AB15">
        <f>IF($B15=TRUE,AB14*(1+AB54),AB14*(1+(VLOOKUP($A15,'MoM Forecasts'!$2:$25,'Unchained Indices'!AB$2,0))))</f>
        <v>109.62571248816654</v>
      </c>
      <c r="AC15">
        <f>IF($B15=TRUE,AC14*(1+AC54),AC14*(1+(VLOOKUP($A15,'MoM Forecasts'!$2:$25,'Unchained Indices'!AC$2,0))))</f>
        <v>114.89533863133992</v>
      </c>
      <c r="AD15">
        <f>IF($B15=TRUE,AD14*(1+AD54),AD14*(1+(VLOOKUP($A15,'MoM Forecasts'!$2:$25,'Unchained Indices'!AD$2,0))))</f>
        <v>109.5755388583237</v>
      </c>
      <c r="AE15">
        <f>IF($B15=TRUE,AE14*(1+AE54),AE14*(1+(VLOOKUP($A15,'MoM Forecasts'!$2:$25,'Unchained Indices'!AE$2,0))))</f>
        <v>105.8235680828427</v>
      </c>
      <c r="AF15">
        <f>IF($B15=TRUE,AF14*(1+AF54),AF14*(1+(VLOOKUP($A15,'MoM Forecasts'!$2:$25,'Unchained Indices'!AF$2,0))))</f>
        <v>106.75002410665411</v>
      </c>
      <c r="AG15">
        <f>IF($B15=TRUE,AG14*(1+AG54),AG14*(1+(VLOOKUP($A15,'MoM Forecasts'!$2:$25,'Unchained Indices'!AG$2,0))))</f>
        <v>109.64528721304643</v>
      </c>
      <c r="AH15">
        <f>IF($B15=TRUE,AH14*(1+AH54),AH14*(1+(VLOOKUP($A15,'MoM Forecasts'!$2:$25,'Unchained Indices'!AH$2,0))))</f>
        <v>101.22390060548112</v>
      </c>
      <c r="AI15">
        <f>IF($B15=TRUE,AI14*(1+AI54),AI14*(1+(VLOOKUP($A15,'MoM Forecasts'!$2:$25,'Unchained Indices'!AI$2,0))))</f>
        <v>105.53379735416068</v>
      </c>
      <c r="AJ15">
        <f>IF($B15=TRUE,AJ14*(1+AJ54),AJ14*(1+(VLOOKUP($A15,'MoM Forecasts'!$2:$25,'Unchained Indices'!AJ$2,0))))</f>
        <v>102.31805684462186</v>
      </c>
      <c r="AK15">
        <f>IF($B15=TRUE,AK14*(1+AK54),AK14*(1+(VLOOKUP($A15,'MoM Forecasts'!$2:$25,'Unchained Indices'!AK$2,0))))</f>
        <v>111.56947656621018</v>
      </c>
      <c r="AL15">
        <f>IF($B15=TRUE,AL14*(1+AL54),AL14*(1+(VLOOKUP($A15,'MoM Forecasts'!$2:$25,'Unchained Indices'!AL$2,0))))</f>
        <v>106.00364326713802</v>
      </c>
      <c r="AM15">
        <f>IF($B15=TRUE,AM14*(1+AM54),AM14*(1+(VLOOKUP($A15,'MoM Forecasts'!$2:$25,'Unchained Indices'!AM$2,0))))</f>
        <v>102.55367862149359</v>
      </c>
      <c r="AN15">
        <f>IF($B15=TRUE,AN14*(1+AN54),AN14*(1+(VLOOKUP($A15,'MoM Forecasts'!$2:$25,'Unchained Indices'!AN$2,0))))</f>
        <v>107.37333893477989</v>
      </c>
      <c r="AO15">
        <f>IF($B15=TRUE,AO14*(1+AO54),AO14*(1+(VLOOKUP($A15,'MoM Forecasts'!$2:$25,'Unchained Indices'!AO$2,0))))</f>
        <v>103.12309591860034</v>
      </c>
      <c r="AP15">
        <f>IF($B15=TRUE,AP14*(1+AP54),AP14*(1+(VLOOKUP($A15,'MoM Forecasts'!$2:$25,'Unchained Indices'!AP$2,0))))</f>
        <v>103.93334391246613</v>
      </c>
      <c r="AQ15">
        <f>IF($B15=TRUE,AQ14*(1+AQ54),AQ14*(1+(VLOOKUP($A15,'MoM Forecasts'!$2:$25,'Unchained Indices'!AQ$2,0))))</f>
        <v>102.18726945284264</v>
      </c>
      <c r="AR15">
        <f>IF($B15=TRUE,AR14*(1+AR54),AR14*(1+(VLOOKUP($A15,'MoM Forecasts'!$2:$25,'Unchained Indices'!AR$2,0))))</f>
        <v>102.82053411275217</v>
      </c>
      <c r="AS15">
        <f>IF($B15=TRUE,AS14*(1+AS54),AS14*(1+(VLOOKUP($A15,'MoM Forecasts'!$2:$25,'Unchained Indices'!AS$2,0))))</f>
        <v>106.31023950454554</v>
      </c>
      <c r="AT15">
        <f>IF($B15=TRUE,AT14*(1+AT54),AT14*(1+(VLOOKUP($A15,'MoM Forecasts'!$2:$25,'Unchained Indices'!AT$2,0))))</f>
        <v>101.01299215369698</v>
      </c>
      <c r="AU15">
        <f>IF($B15=TRUE,AU14*(1+AU54),AU14*(1+(VLOOKUP($A15,'MoM Forecasts'!$2:$25,'Unchained Indices'!AU$2,0))))</f>
        <v>103.30671459953578</v>
      </c>
      <c r="AV15">
        <f>IF($B15=TRUE,AV14*(1+AV54),AV14*(1+(VLOOKUP($A15,'MoM Forecasts'!$2:$25,'Unchained Indices'!AV$2,0))))</f>
        <v>105.51583962845667</v>
      </c>
      <c r="AW15">
        <f>IF($B15=TRUE,AW14*(1+AW54),AW14*(1+(VLOOKUP($A15,'MoM Forecasts'!$2:$25,'Unchained Indices'!AW$2,0))))</f>
        <v>102.90794713725397</v>
      </c>
      <c r="AX15">
        <f>IF($B15=TRUE,AX14*(1+AX54),AX14*(1+(VLOOKUP($A15,'MoM Forecasts'!$2:$25,'Unchained Indices'!AX$2,0))))</f>
        <v>113.60797821048183</v>
      </c>
      <c r="AY15">
        <f>IF($B15=TRUE,AY14*(1+AY54),AY14*(1+(VLOOKUP($A15,'MoM Forecasts'!$2:$25,'Unchained Indices'!AY$2,0))))</f>
        <v>104.77553231477543</v>
      </c>
      <c r="AZ15">
        <f>IF($B15=TRUE,AZ14*(1+AZ54),AZ14*(1+(VLOOKUP($A15,'MoM Forecasts'!$2:$25,'Unchained Indices'!AZ$2,0))))</f>
        <v>103.96843733238748</v>
      </c>
      <c r="BA15">
        <f>IF($B15=TRUE,BA14*(1+BA54),BA14*(1+(VLOOKUP($A15,'MoM Forecasts'!$2:$25,'Unchained Indices'!BA$2,0))))</f>
        <v>104.43414620453861</v>
      </c>
      <c r="BB15">
        <f>IF($B15=TRUE,BB14*(1+BB54),BB14*(1+(VLOOKUP($A15,'MoM Forecasts'!$2:$25,'Unchained Indices'!BB$2,0))))</f>
        <v>101.91026728729958</v>
      </c>
      <c r="BC15">
        <f>IF($B15=TRUE,BC14*(1+BC54),BC14*(1+(VLOOKUP($A15,'MoM Forecasts'!$2:$25,'Unchained Indices'!BC$2,0))))</f>
        <v>105.91390923491251</v>
      </c>
      <c r="BD15">
        <f>IF($B15=TRUE,BD14*(1+BD54),BD14*(1+(VLOOKUP($A15,'MoM Forecasts'!$2:$25,'Unchained Indices'!BD$2,0))))</f>
        <v>106.96958447049316</v>
      </c>
      <c r="BE15">
        <f>IF($B15=TRUE,BE14*(1+BE54),BE14*(1+(VLOOKUP($A15,'MoM Forecasts'!$2:$25,'Unchained Indices'!BE$2,0))))</f>
        <v>121.59665269897691</v>
      </c>
      <c r="BF15">
        <f>IF($B15=TRUE,BF14*(1+BF54),BF14*(1+(VLOOKUP($A15,'MoM Forecasts'!$2:$25,'Unchained Indices'!BF$2,0))))</f>
        <v>141.66600129789722</v>
      </c>
      <c r="BG15">
        <f>IF($B15=TRUE,BG14*(1+BG54),BG14*(1+(VLOOKUP($A15,'MoM Forecasts'!$2:$25,'Unchained Indices'!BG$2,0))))</f>
        <v>169.48170779974558</v>
      </c>
      <c r="BH15">
        <f>IF($B15=TRUE,BH14*(1+BH54),BH14*(1+(VLOOKUP($A15,'MoM Forecasts'!$2:$25,'Unchained Indices'!BH$2,0))))</f>
        <v>151.44496001622403</v>
      </c>
      <c r="BI15">
        <f>IF($B15=TRUE,BI14*(1+BI54),BI14*(1+(VLOOKUP($A15,'MoM Forecasts'!$2:$25,'Unchained Indices'!BI$2,0))))</f>
        <v>108.43015478128153</v>
      </c>
      <c r="BJ15">
        <f>IF($B15=TRUE,BJ14*(1+BJ54),BJ14*(1+(VLOOKUP($A15,'MoM Forecasts'!$2:$25,'Unchained Indices'!BJ$2,0))))</f>
        <v>105.90964932391049</v>
      </c>
      <c r="BK15">
        <f>IF($B15=TRUE,BK14*(1+BK54),BK14*(1+(VLOOKUP($A15,'MoM Forecasts'!$2:$25,'Unchained Indices'!BK$2,0))))</f>
        <v>102.54221320059541</v>
      </c>
      <c r="BL15">
        <f>IF($B15=TRUE,BL14*(1+BL54),BL14*(1+(VLOOKUP($A15,'MoM Forecasts'!$2:$25,'Unchained Indices'!BL$2,0))))</f>
        <v>106.76154933890747</v>
      </c>
      <c r="BM15">
        <f>IF($B15=TRUE,BM14*(1+BM54),BM14*(1+(VLOOKUP($A15,'MoM Forecasts'!$2:$25,'Unchained Indices'!BM$2,0))))</f>
        <v>109.81614362690246</v>
      </c>
      <c r="BN15">
        <f>IF($B15=TRUE,BN14*(1+BN54),BN14*(1+(VLOOKUP($A15,'MoM Forecasts'!$2:$25,'Unchained Indices'!BN$2,0))))</f>
        <v>107.49971418930853</v>
      </c>
      <c r="BO15">
        <f>IF($B15=TRUE,BO14*(1+BO54),BO14*(1+(VLOOKUP($A15,'MoM Forecasts'!$2:$25,'Unchained Indices'!BO$2,0))))</f>
        <v>106.0351364680314</v>
      </c>
      <c r="BP15">
        <f>IF($B15=TRUE,BP14*(1+BP54),BP14*(1+(VLOOKUP($A15,'MoM Forecasts'!$2:$25,'Unchained Indices'!BP$2,0))))</f>
        <v>104.9009392855221</v>
      </c>
      <c r="BQ15">
        <f>IF($B15=TRUE,BQ14*(1+BQ54),BQ14*(1+(VLOOKUP($A15,'MoM Forecasts'!$2:$25,'Unchained Indices'!BQ$2,0))))</f>
        <v>104.07015758708907</v>
      </c>
      <c r="BR15">
        <f>IF($B15=TRUE,BR14*(1+BR54),BR14*(1+(VLOOKUP($A15,'MoM Forecasts'!$2:$25,'Unchained Indices'!BR$2,0))))</f>
        <v>102.49003041395413</v>
      </c>
      <c r="BS15">
        <f>IF($B15=TRUE,BS14*(1+BS54),BS14*(1+(VLOOKUP($A15,'MoM Forecasts'!$2:$25,'Unchained Indices'!BS$2,0))))</f>
        <v>112.66717137344442</v>
      </c>
      <c r="BT15">
        <f>IF($B15=TRUE,BT14*(1+BT54),BT14*(1+(VLOOKUP($A15,'MoM Forecasts'!$2:$25,'Unchained Indices'!BT$2,0))))</f>
        <v>114.11732889322654</v>
      </c>
      <c r="BU15">
        <f>IF($B15=TRUE,BU14*(1+BU54),BU14*(1+(VLOOKUP($A15,'MoM Forecasts'!$2:$25,'Unchained Indices'!BU$2,0))))</f>
        <v>107.50882959975392</v>
      </c>
      <c r="BV15">
        <f>IF($B15=TRUE,BV14*(1+BV54),BV14*(1+(VLOOKUP($A15,'MoM Forecasts'!$2:$25,'Unchained Indices'!BV$2,0))))</f>
        <v>105.0263741292016</v>
      </c>
      <c r="BW15">
        <f>IF($B15=TRUE,BW14*(1+BW54),BW14*(1+(VLOOKUP($A15,'MoM Forecasts'!$2:$25,'Unchained Indices'!BW$2,0))))</f>
        <v>105.54822179691016</v>
      </c>
      <c r="BX15">
        <f>IF($B15=TRUE,BX14*(1+BX54),BX14*(1+(VLOOKUP($A15,'MoM Forecasts'!$2:$25,'Unchained Indices'!BX$2,0))))</f>
        <v>104.1555965522375</v>
      </c>
      <c r="BY15">
        <f>IF($B15=TRUE,BY14*(1+BY54),BY14*(1+(VLOOKUP($A15,'MoM Forecasts'!$2:$25,'Unchained Indices'!BY$2,0))))</f>
        <v>103.89618400850433</v>
      </c>
      <c r="BZ15">
        <f>IF($B15=TRUE,BZ14*(1+BZ54),BZ14*(1+(VLOOKUP($A15,'MoM Forecasts'!$2:$25,'Unchained Indices'!BZ$2,0))))</f>
        <v>103.25026111958563</v>
      </c>
      <c r="CA15">
        <f>IF($B15=TRUE,CA14*(1+CA54),CA14*(1+(VLOOKUP($A15,'MoM Forecasts'!$2:$25,'Unchained Indices'!CA$2,0))))</f>
        <v>97.911241620331168</v>
      </c>
      <c r="CB15">
        <f>IF($B15=TRUE,CB14*(1+CB54),CB14*(1+(VLOOKUP($A15,'MoM Forecasts'!$2:$25,'Unchained Indices'!CB$2,0))))</f>
        <v>104.16951077928306</v>
      </c>
      <c r="CC15">
        <f>IF($B15=TRUE,CC14*(1+CC54),CC14*(1+(VLOOKUP($A15,'MoM Forecasts'!$2:$25,'Unchained Indices'!CC$2,0))))</f>
        <v>132.74436603629624</v>
      </c>
      <c r="CD15">
        <f>IF($B15=TRUE,CD14*(1+CD54),CD14*(1+(VLOOKUP($A15,'MoM Forecasts'!$2:$25,'Unchained Indices'!CD$2,0))))</f>
        <v>112.29995065189043</v>
      </c>
      <c r="CE15">
        <f>IF($B15=TRUE,CE14*(1+CE54),CE14*(1+(VLOOKUP($A15,'MoM Forecasts'!$2:$25,'Unchained Indices'!CE$2,0))))</f>
        <v>109.10602188278081</v>
      </c>
      <c r="CF15">
        <f>IF($B15=TRUE,CF14*(1+CF54),CF14*(1+(VLOOKUP($A15,'MoM Forecasts'!$2:$25,'Unchained Indices'!CF$2,0))))</f>
        <v>108.30687526632732</v>
      </c>
      <c r="CG15">
        <f>IF($B15=TRUE,CG14*(1+CG54),CG14*(1+(VLOOKUP($A15,'MoM Forecasts'!$2:$25,'Unchained Indices'!CG$2,0))))</f>
        <v>133.09435807046972</v>
      </c>
      <c r="CH15">
        <f>IF($B15=TRUE,CH14*(1+CH54),CH14*(1+(VLOOKUP($A15,'MoM Forecasts'!$2:$25,'Unchained Indices'!CH$2,0))))</f>
        <v>84.479899216321158</v>
      </c>
      <c r="CI15">
        <f>IF($B15=TRUE,CI14*(1+CI54),CI14*(1+(VLOOKUP($A15,'MoM Forecasts'!$2:$25,'Unchained Indices'!CI$2,0))))</f>
        <v>102.59607701613621</v>
      </c>
      <c r="CJ15">
        <f>IF($B15=TRUE,CJ14*(1+CJ54),CJ14*(1+(VLOOKUP($A15,'MoM Forecasts'!$2:$25,'Unchained Indices'!CJ$2,0))))</f>
        <v>102.97082771595194</v>
      </c>
      <c r="CK15">
        <f>IF($B15=TRUE,CK14*(1+CK54),CK14*(1+(VLOOKUP($A15,'MoM Forecasts'!$2:$25,'Unchained Indices'!CK$2,0))))</f>
        <v>105.47352768703755</v>
      </c>
      <c r="CL15">
        <f>IF($B15=TRUE,CL14*(1+CL54),CL14*(1+(VLOOKUP($A15,'MoM Forecasts'!$2:$25,'Unchained Indices'!CL$2,0))))</f>
        <v>104.72892640469512</v>
      </c>
      <c r="CM15">
        <f>IF($B15=TRUE,CM14*(1+CM54),CM14*(1+(VLOOKUP($A15,'MoM Forecasts'!$2:$25,'Unchained Indices'!CM$2,0))))</f>
        <v>101.43238050346014</v>
      </c>
      <c r="CN15">
        <f>IF($B15=TRUE,CN14*(1+CN54),CN14*(1+(VLOOKUP($A15,'MoM Forecasts'!$2:$25,'Unchained Indices'!CN$2,0))))</f>
        <v>105.41415777844078</v>
      </c>
      <c r="CO15">
        <f>IF($B15=TRUE,CO14*(1+CO54),CO14*(1+(VLOOKUP($A15,'MoM Forecasts'!$2:$25,'Unchained Indices'!CO$2,0))))</f>
        <v>104.03647996695999</v>
      </c>
      <c r="CP15">
        <f>IF($B15=TRUE,CP14*(1+CP54),CP14*(1+(VLOOKUP($A15,'MoM Forecasts'!$2:$25,'Unchained Indices'!CP$2,0))))</f>
        <v>114.10273272067028</v>
      </c>
    </row>
    <row r="16" spans="1:109" x14ac:dyDescent="0.25">
      <c r="A16" s="6"/>
      <c r="B16" s="8"/>
      <c r="C16" s="7"/>
    </row>
    <row r="17" spans="1:94" x14ac:dyDescent="0.25">
      <c r="A17" s="6">
        <f>EDATE(A14,1)</f>
        <v>44927</v>
      </c>
      <c r="B17" s="8" t="str">
        <f>IF(A17&lt;='MoM Forecasts'!$A$2,TRUE,"")</f>
        <v/>
      </c>
      <c r="C17" s="7">
        <f t="shared" si="5"/>
        <v>44927</v>
      </c>
      <c r="D17">
        <v>100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100</v>
      </c>
      <c r="L17">
        <v>100</v>
      </c>
      <c r="M17">
        <v>100</v>
      </c>
      <c r="N17">
        <v>100</v>
      </c>
      <c r="O17">
        <v>100</v>
      </c>
      <c r="P17">
        <v>100</v>
      </c>
      <c r="Q17">
        <v>100</v>
      </c>
      <c r="R17">
        <v>100</v>
      </c>
      <c r="S17">
        <v>100</v>
      </c>
      <c r="T17">
        <v>100</v>
      </c>
      <c r="U17">
        <v>100</v>
      </c>
      <c r="V17">
        <v>100</v>
      </c>
      <c r="W17">
        <v>100</v>
      </c>
      <c r="X17">
        <v>100</v>
      </c>
      <c r="Y17">
        <v>100</v>
      </c>
      <c r="Z17">
        <v>100</v>
      </c>
      <c r="AA17">
        <v>100</v>
      </c>
      <c r="AB17">
        <v>100</v>
      </c>
      <c r="AC17">
        <v>100</v>
      </c>
      <c r="AD17">
        <v>100</v>
      </c>
      <c r="AE17">
        <v>100</v>
      </c>
      <c r="AF17">
        <v>100</v>
      </c>
      <c r="AG17">
        <v>100</v>
      </c>
      <c r="AH17">
        <v>100</v>
      </c>
      <c r="AI17">
        <v>100</v>
      </c>
      <c r="AJ17">
        <v>100</v>
      </c>
      <c r="AK17">
        <v>100</v>
      </c>
      <c r="AL17">
        <v>100</v>
      </c>
      <c r="AM17">
        <v>100</v>
      </c>
      <c r="AN17">
        <v>100</v>
      </c>
      <c r="AO17">
        <v>100</v>
      </c>
      <c r="AP17">
        <v>100</v>
      </c>
      <c r="AQ17">
        <v>100</v>
      </c>
      <c r="AR17">
        <v>100</v>
      </c>
      <c r="AS17">
        <v>100</v>
      </c>
      <c r="AT17">
        <v>100</v>
      </c>
      <c r="AU17">
        <v>100</v>
      </c>
      <c r="AV17">
        <v>100</v>
      </c>
      <c r="AW17">
        <v>100</v>
      </c>
      <c r="AX17">
        <v>100</v>
      </c>
      <c r="AY17">
        <v>100</v>
      </c>
      <c r="AZ17">
        <v>100</v>
      </c>
      <c r="BA17">
        <v>100</v>
      </c>
      <c r="BB17">
        <v>100</v>
      </c>
      <c r="BC17">
        <v>100</v>
      </c>
      <c r="BD17">
        <v>100</v>
      </c>
      <c r="BE17">
        <v>100</v>
      </c>
      <c r="BF17">
        <v>100</v>
      </c>
      <c r="BG17">
        <v>100</v>
      </c>
      <c r="BH17">
        <v>100</v>
      </c>
      <c r="BI17">
        <v>100</v>
      </c>
      <c r="BJ17">
        <v>100</v>
      </c>
      <c r="BK17">
        <v>100</v>
      </c>
      <c r="BL17">
        <v>100</v>
      </c>
      <c r="BM17">
        <v>100</v>
      </c>
      <c r="BN17">
        <v>100</v>
      </c>
      <c r="BO17">
        <v>100</v>
      </c>
      <c r="BP17">
        <v>100</v>
      </c>
      <c r="BQ17">
        <v>100</v>
      </c>
      <c r="BR17">
        <v>100</v>
      </c>
      <c r="BS17">
        <v>100</v>
      </c>
      <c r="BT17">
        <v>100</v>
      </c>
      <c r="BU17">
        <v>100</v>
      </c>
      <c r="BV17">
        <v>100</v>
      </c>
      <c r="BW17">
        <v>100</v>
      </c>
      <c r="BX17">
        <v>100</v>
      </c>
      <c r="BY17">
        <v>100</v>
      </c>
      <c r="BZ17">
        <v>100</v>
      </c>
      <c r="CA17">
        <v>100</v>
      </c>
      <c r="CB17">
        <v>100</v>
      </c>
      <c r="CC17">
        <v>100</v>
      </c>
      <c r="CD17">
        <v>100</v>
      </c>
      <c r="CE17">
        <v>100</v>
      </c>
      <c r="CF17">
        <v>100</v>
      </c>
      <c r="CG17">
        <v>100</v>
      </c>
      <c r="CH17">
        <v>100</v>
      </c>
      <c r="CI17">
        <v>100</v>
      </c>
      <c r="CJ17">
        <v>100</v>
      </c>
      <c r="CK17">
        <v>100</v>
      </c>
      <c r="CL17">
        <v>100</v>
      </c>
      <c r="CM17">
        <v>100</v>
      </c>
      <c r="CN17">
        <v>100</v>
      </c>
      <c r="CO17">
        <v>100</v>
      </c>
      <c r="CP17">
        <v>100</v>
      </c>
    </row>
    <row r="18" spans="1:94" x14ac:dyDescent="0.25">
      <c r="A18" s="6">
        <f t="shared" si="4"/>
        <v>44958</v>
      </c>
      <c r="B18" s="8" t="str">
        <f>IF(A18&lt;='MoM Forecasts'!$A$2,TRUE,"")</f>
        <v/>
      </c>
      <c r="C18" s="7">
        <f t="shared" si="5"/>
        <v>44927</v>
      </c>
      <c r="D18">
        <f>IF($B18=TRUE,D17*(1+VLOOKUP($A18,$C$43:$CP$69,D$2,0)),D17*(1+(VLOOKUP($A18,'MoM Forecasts'!$2:$25,'Unchained Indices'!D$2,0))))</f>
        <v>100.06554539358012</v>
      </c>
      <c r="E18">
        <f>IF($B18=TRUE,E17*(1+VLOOKUP($A18,$C$43:$CP$69,E$2,0)),E17*(1+(VLOOKUP($A18,'MoM Forecasts'!$2:$25,'Unchained Indices'!E$2,0))))</f>
        <v>100.05850716168166</v>
      </c>
      <c r="F18">
        <f>IF($B18=TRUE,F17*(1+VLOOKUP($A18,$C$43:$CP$69,F$2,0)),F17*(1+(VLOOKUP($A18,'MoM Forecasts'!$2:$25,'Unchained Indices'!F$2,0))))</f>
        <v>100.06791921722515</v>
      </c>
      <c r="G18">
        <f>IF($B18=TRUE,G17*(1+VLOOKUP($A18,$C$43:$CP$69,G$2,0)),G17*(1+(VLOOKUP($A18,'MoM Forecasts'!$2:$25,'Unchained Indices'!G$2,0))))</f>
        <v>100.06248413338955</v>
      </c>
      <c r="H18">
        <f>IF($B18=TRUE,H17*(1+VLOOKUP($A18,$C$43:$CP$69,H$2,0)),H17*(1+(VLOOKUP($A18,'MoM Forecasts'!$2:$25,'Unchained Indices'!H$2,0))))</f>
        <v>100.08203345645997</v>
      </c>
      <c r="I18">
        <f>IF($B18=TRUE,I17*(1+VLOOKUP($A18,$C$43:$CP$69,I$2,0)),I17*(1+(VLOOKUP($A18,'MoM Forecasts'!$2:$25,'Unchained Indices'!I$2,0))))</f>
        <v>100.08194462591263</v>
      </c>
      <c r="J18">
        <f>IF($B18=TRUE,J17*(1+VLOOKUP($A18,$C$43:$CP$69,J$2,0)),J17*(1+(VLOOKUP($A18,'MoM Forecasts'!$2:$25,'Unchained Indices'!J$2,0))))</f>
        <v>100.07017619347268</v>
      </c>
      <c r="K18">
        <f>IF($B18=TRUE,K17*(1+VLOOKUP($A18,$C$43:$CP$69,K$2,0)),K17*(1+(VLOOKUP($A18,'MoM Forecasts'!$2:$25,'Unchained Indices'!K$2,0))))</f>
        <v>100.06276852753537</v>
      </c>
      <c r="L18">
        <f>IF($B18=TRUE,L17*(1+VLOOKUP($A18,$C$43:$CP$69,L$2,0)),L17*(1+(VLOOKUP($A18,'MoM Forecasts'!$2:$25,'Unchained Indices'!L$2,0))))</f>
        <v>100.02536341641483</v>
      </c>
      <c r="M18">
        <f>IF($B18=TRUE,M17*(1+VLOOKUP($A18,$C$43:$CP$69,M$2,0)),M17*(1+(VLOOKUP($A18,'MoM Forecasts'!$2:$25,'Unchained Indices'!M$2,0))))</f>
        <v>100.05536068794669</v>
      </c>
      <c r="N18">
        <f>IF($B18=TRUE,N17*(1+VLOOKUP($A18,$C$43:$CP$69,N$2,0)),N17*(1+(VLOOKUP($A18,'MoM Forecasts'!$2:$25,'Unchained Indices'!N$2,0))))</f>
        <v>100.07809740343933</v>
      </c>
      <c r="O18">
        <f>IF($B18=TRUE,O17*(1+VLOOKUP($A18,$C$43:$CP$69,O$2,0)),O17*(1+(VLOOKUP($A18,'MoM Forecasts'!$2:$25,'Unchained Indices'!O$2,0))))</f>
        <v>100.07875438590767</v>
      </c>
      <c r="P18">
        <f>IF($B18=TRUE,P17*(1+VLOOKUP($A18,$C$43:$CP$69,P$2,0)),P17*(1+(VLOOKUP($A18,'MoM Forecasts'!$2:$25,'Unchained Indices'!P$2,0))))</f>
        <v>100.07626093799166</v>
      </c>
      <c r="Q18">
        <f>IF($B18=TRUE,Q17*(1+VLOOKUP($A18,$C$43:$CP$69,Q$2,0)),Q17*(1+(VLOOKUP($A18,'MoM Forecasts'!$2:$25,'Unchained Indices'!Q$2,0))))</f>
        <v>100.07741825958438</v>
      </c>
      <c r="R18">
        <f>IF($B18=TRUE,R17*(1+VLOOKUP($A18,$C$43:$CP$69,R$2,0)),R17*(1+(VLOOKUP($A18,'MoM Forecasts'!$2:$25,'Unchained Indices'!R$2,0))))</f>
        <v>100.05269688586085</v>
      </c>
      <c r="S18">
        <f>IF($B18=TRUE,S17*(1+VLOOKUP($A18,$C$43:$CP$69,S$2,0)),S17*(1+(VLOOKUP($A18,'MoM Forecasts'!$2:$25,'Unchained Indices'!S$2,0))))</f>
        <v>100.07056305336231</v>
      </c>
      <c r="T18">
        <f>IF($B18=TRUE,T17*(1+VLOOKUP($A18,$C$43:$CP$69,T$2,0)),T17*(1+(VLOOKUP($A18,'MoM Forecasts'!$2:$25,'Unchained Indices'!T$2,0))))</f>
        <v>100.07777062763023</v>
      </c>
      <c r="U18">
        <f>IF($B18=TRUE,U17*(1+VLOOKUP($A18,$C$43:$CP$69,U$2,0)),U17*(1+(VLOOKUP($A18,'MoM Forecasts'!$2:$25,'Unchained Indices'!U$2,0))))</f>
        <v>100.06325196990696</v>
      </c>
      <c r="V18">
        <f>IF($B18=TRUE,V17*(1+VLOOKUP($A18,$C$43:$CP$69,V$2,0)),V17*(1+(VLOOKUP($A18,'MoM Forecasts'!$2:$25,'Unchained Indices'!V$2,0))))</f>
        <v>100.04703282144555</v>
      </c>
      <c r="W18">
        <f>IF($B18=TRUE,W17*(1+VLOOKUP($A18,$C$43:$CP$69,W$2,0)),W17*(1+(VLOOKUP($A18,'MoM Forecasts'!$2:$25,'Unchained Indices'!W$2,0))))</f>
        <v>100.06018628372293</v>
      </c>
      <c r="X18">
        <f>IF($B18=TRUE,X17*(1+VLOOKUP($A18,$C$43:$CP$69,X$2,0)),X17*(1+(VLOOKUP($A18,'MoM Forecasts'!$2:$25,'Unchained Indices'!X$2,0))))</f>
        <v>100.06229349638056</v>
      </c>
      <c r="Y18">
        <f>IF($B18=TRUE,Y17*(1+VLOOKUP($A18,$C$43:$CP$69,Y$2,0)),Y17*(1+(VLOOKUP($A18,'MoM Forecasts'!$2:$25,'Unchained Indices'!Y$2,0))))</f>
        <v>100.06442669990099</v>
      </c>
      <c r="Z18">
        <f>IF($B18=TRUE,Z17*(1+VLOOKUP($A18,$C$43:$CP$69,Z$2,0)),Z17*(1+(VLOOKUP($A18,'MoM Forecasts'!$2:$25,'Unchained Indices'!Z$2,0))))</f>
        <v>100.05147670125186</v>
      </c>
      <c r="AA18">
        <f>IF($B18=TRUE,AA17*(1+VLOOKUP($A18,$C$43:$CP$69,AA$2,0)),AA17*(1+(VLOOKUP($A18,'MoM Forecasts'!$2:$25,'Unchained Indices'!AA$2,0))))</f>
        <v>100.09199121444017</v>
      </c>
      <c r="AB18">
        <f>IF($B18=TRUE,AB17*(1+VLOOKUP($A18,$C$43:$CP$69,AB$2,0)),AB17*(1+(VLOOKUP($A18,'MoM Forecasts'!$2:$25,'Unchained Indices'!AB$2,0))))</f>
        <v>100.06810622772882</v>
      </c>
      <c r="AC18">
        <f>IF($B18=TRUE,AC17*(1+VLOOKUP($A18,$C$43:$CP$69,AC$2,0)),AC17*(1+(VLOOKUP($A18,'MoM Forecasts'!$2:$25,'Unchained Indices'!AC$2,0))))</f>
        <v>100.18356188935016</v>
      </c>
      <c r="AD18">
        <f>IF($B18=TRUE,AD17*(1+VLOOKUP($A18,$C$43:$CP$69,AD$2,0)),AD17*(1+(VLOOKUP($A18,'MoM Forecasts'!$2:$25,'Unchained Indices'!AD$2,0))))</f>
        <v>100.0586651694076</v>
      </c>
      <c r="AE18">
        <f>IF($B18=TRUE,AE17*(1+VLOOKUP($A18,$C$43:$CP$69,AE$2,0)),AE17*(1+(VLOOKUP($A18,'MoM Forecasts'!$2:$25,'Unchained Indices'!AE$2,0))))</f>
        <v>100.39585626953318</v>
      </c>
      <c r="AF18">
        <f>IF($B18=TRUE,AF17*(1+VLOOKUP($A18,$C$43:$CP$69,AF$2,0)),AF17*(1+(VLOOKUP($A18,'MoM Forecasts'!$2:$25,'Unchained Indices'!AF$2,0))))</f>
        <v>100.72141751101643</v>
      </c>
      <c r="AG18">
        <f>IF($B18=TRUE,AG17*(1+VLOOKUP($A18,$C$43:$CP$69,AG$2,0)),AG17*(1+(VLOOKUP($A18,'MoM Forecasts'!$2:$25,'Unchained Indices'!AG$2,0))))</f>
        <v>100.07388588317509</v>
      </c>
      <c r="AH18">
        <f>IF($B18=TRUE,AH17*(1+VLOOKUP($A18,$C$43:$CP$69,AH$2,0)),AH17*(1+(VLOOKUP($A18,'MoM Forecasts'!$2:$25,'Unchained Indices'!AH$2,0))))</f>
        <v>100.06639068403511</v>
      </c>
      <c r="AI18">
        <f>IF($B18=TRUE,AI17*(1+VLOOKUP($A18,$C$43:$CP$69,AI$2,0)),AI17*(1+(VLOOKUP($A18,'MoM Forecasts'!$2:$25,'Unchained Indices'!AI$2,0))))</f>
        <v>98.788787613529777</v>
      </c>
      <c r="AJ18">
        <f>IF($B18=TRUE,AJ17*(1+VLOOKUP($A18,$C$43:$CP$69,AJ$2,0)),AJ17*(1+(VLOOKUP($A18,'MoM Forecasts'!$2:$25,'Unchained Indices'!AJ$2,0))))</f>
        <v>100.07929434235383</v>
      </c>
      <c r="AK18">
        <f>IF($B18=TRUE,AK17*(1+VLOOKUP($A18,$C$43:$CP$69,AK$2,0)),AK17*(1+(VLOOKUP($A18,'MoM Forecasts'!$2:$25,'Unchained Indices'!AK$2,0))))</f>
        <v>100.05014501112612</v>
      </c>
      <c r="AL18">
        <f>IF($B18=TRUE,AL17*(1+VLOOKUP($A18,$C$43:$CP$69,AL$2,0)),AL17*(1+(VLOOKUP($A18,'MoM Forecasts'!$2:$25,'Unchained Indices'!AL$2,0))))</f>
        <v>100.07918647127201</v>
      </c>
      <c r="AM18">
        <f>IF($B18=TRUE,AM17*(1+VLOOKUP($A18,$C$43:$CP$69,AM$2,0)),AM17*(1+(VLOOKUP($A18,'MoM Forecasts'!$2:$25,'Unchained Indices'!AM$2,0))))</f>
        <v>100.09090794120546</v>
      </c>
      <c r="AN18">
        <f>IF($B18=TRUE,AN17*(1+VLOOKUP($A18,$C$43:$CP$69,AN$2,0)),AN17*(1+(VLOOKUP($A18,'MoM Forecasts'!$2:$25,'Unchained Indices'!AN$2,0))))</f>
        <v>100.07694707657977</v>
      </c>
      <c r="AO18">
        <f>IF($B18=TRUE,AO17*(1+VLOOKUP($A18,$C$43:$CP$69,AO$2,0)),AO17*(1+(VLOOKUP($A18,'MoM Forecasts'!$2:$25,'Unchained Indices'!AO$2,0))))</f>
        <v>100.07993541461258</v>
      </c>
      <c r="AP18">
        <f>IF($B18=TRUE,AP17*(1+VLOOKUP($A18,$C$43:$CP$69,AP$2,0)),AP17*(1+(VLOOKUP($A18,'MoM Forecasts'!$2:$25,'Unchained Indices'!AP$2,0))))</f>
        <v>100.08439311470028</v>
      </c>
      <c r="AQ18">
        <f>IF($B18=TRUE,AQ17*(1+VLOOKUP($A18,$C$43:$CP$69,AQ$2,0)),AQ17*(1+(VLOOKUP($A18,'MoM Forecasts'!$2:$25,'Unchained Indices'!AQ$2,0))))</f>
        <v>100.03527102107842</v>
      </c>
      <c r="AR18">
        <f>IF($B18=TRUE,AR17*(1+VLOOKUP($A18,$C$43:$CP$69,AR$2,0)),AR17*(1+(VLOOKUP($A18,'MoM Forecasts'!$2:$25,'Unchained Indices'!AR$2,0))))</f>
        <v>100.07275665648827</v>
      </c>
      <c r="AS18">
        <f>IF($B18=TRUE,AS17*(1+VLOOKUP($A18,$C$43:$CP$69,AS$2,0)),AS17*(1+(VLOOKUP($A18,'MoM Forecasts'!$2:$25,'Unchained Indices'!AS$2,0))))</f>
        <v>100.08302654973522</v>
      </c>
      <c r="AT18">
        <f>IF($B18=TRUE,AT17*(1+VLOOKUP($A18,$C$43:$CP$69,AT$2,0)),AT17*(1+(VLOOKUP($A18,'MoM Forecasts'!$2:$25,'Unchained Indices'!AT$2,0))))</f>
        <v>100.05687954750235</v>
      </c>
      <c r="AU18">
        <f>IF($B18=TRUE,AU17*(1+VLOOKUP($A18,$C$43:$CP$69,AU$2,0)),AU17*(1+(VLOOKUP($A18,'MoM Forecasts'!$2:$25,'Unchained Indices'!AU$2,0))))</f>
        <v>100.1008566829609</v>
      </c>
      <c r="AV18">
        <f>IF($B18=TRUE,AV17*(1+VLOOKUP($A18,$C$43:$CP$69,AV$2,0)),AV17*(1+(VLOOKUP($A18,'MoM Forecasts'!$2:$25,'Unchained Indices'!AV$2,0))))</f>
        <v>100.08881435225263</v>
      </c>
      <c r="AW18">
        <f>IF($B18=TRUE,AW17*(1+VLOOKUP($A18,$C$43:$CP$69,AW$2,0)),AW17*(1+(VLOOKUP($A18,'MoM Forecasts'!$2:$25,'Unchained Indices'!AW$2,0))))</f>
        <v>100.08368289420847</v>
      </c>
      <c r="AX18">
        <f>IF($B18=TRUE,AX17*(1+VLOOKUP($A18,$C$43:$CP$69,AX$2,0)),AX17*(1+(VLOOKUP($A18,'MoM Forecasts'!$2:$25,'Unchained Indices'!AX$2,0))))</f>
        <v>101.8726250248788</v>
      </c>
      <c r="AY18">
        <f>IF($B18=TRUE,AY17*(1+VLOOKUP($A18,$C$43:$CP$69,AY$2,0)),AY17*(1+(VLOOKUP($A18,'MoM Forecasts'!$2:$25,'Unchained Indices'!AY$2,0))))</f>
        <v>100.10846070128451</v>
      </c>
      <c r="AZ18">
        <f>IF($B18=TRUE,AZ17*(1+VLOOKUP($A18,$C$43:$CP$69,AZ$2,0)),AZ17*(1+(VLOOKUP($A18,'MoM Forecasts'!$2:$25,'Unchained Indices'!AZ$2,0))))</f>
        <v>100.08791110244812</v>
      </c>
      <c r="BA18">
        <f>IF($B18=TRUE,BA17*(1+VLOOKUP($A18,$C$43:$CP$69,BA$2,0)),BA17*(1+(VLOOKUP($A18,'MoM Forecasts'!$2:$25,'Unchained Indices'!BA$2,0))))</f>
        <v>100.09868367664015</v>
      </c>
      <c r="BB18">
        <f>IF($B18=TRUE,BB17*(1+VLOOKUP($A18,$C$43:$CP$69,BB$2,0)),BB17*(1+(VLOOKUP($A18,'MoM Forecasts'!$2:$25,'Unchained Indices'!BB$2,0))))</f>
        <v>100.09996297230161</v>
      </c>
      <c r="BC18">
        <f>IF($B18=TRUE,BC17*(1+VLOOKUP($A18,$C$43:$CP$69,BC$2,0)),BC17*(1+(VLOOKUP($A18,'MoM Forecasts'!$2:$25,'Unchained Indices'!BC$2,0))))</f>
        <v>100.05957434830076</v>
      </c>
      <c r="BD18">
        <f>IF($B18=TRUE,BD17*(1+VLOOKUP($A18,$C$43:$CP$69,BD$2,0)),BD17*(1+(VLOOKUP($A18,'MoM Forecasts'!$2:$25,'Unchained Indices'!BD$2,0))))</f>
        <v>100.06718287514704</v>
      </c>
      <c r="BE18">
        <f>IF($B18=TRUE,BE17*(1+VLOOKUP($A18,$C$43:$CP$69,BE$2,0)),BE17*(1+(VLOOKUP($A18,'MoM Forecasts'!$2:$25,'Unchained Indices'!BE$2,0))))</f>
        <v>100.08251816157244</v>
      </c>
      <c r="BF18">
        <f>IF($B18=TRUE,BF17*(1+VLOOKUP($A18,$C$43:$CP$69,BF$2,0)),BF17*(1+(VLOOKUP($A18,'MoM Forecasts'!$2:$25,'Unchained Indices'!BF$2,0))))</f>
        <v>100.05806753300574</v>
      </c>
      <c r="BG18">
        <f>IF($B18=TRUE,BG17*(1+VLOOKUP($A18,$C$43:$CP$69,BG$2,0)),BG17*(1+(VLOOKUP($A18,'MoM Forecasts'!$2:$25,'Unchained Indices'!BG$2,0))))</f>
        <v>100.06622052084195</v>
      </c>
      <c r="BH18">
        <f>IF($B18=TRUE,BH17*(1+VLOOKUP($A18,$C$43:$CP$69,BH$2,0)),BH17*(1+(VLOOKUP($A18,'MoM Forecasts'!$2:$25,'Unchained Indices'!BH$2,0))))</f>
        <v>99.875911825903813</v>
      </c>
      <c r="BI18">
        <f>IF($B18=TRUE,BI17*(1+VLOOKUP($A18,$C$43:$CP$69,BI$2,0)),BI17*(1+(VLOOKUP($A18,'MoM Forecasts'!$2:$25,'Unchained Indices'!BI$2,0))))</f>
        <v>100.06429412954409</v>
      </c>
      <c r="BJ18">
        <f>IF($B18=TRUE,BJ17*(1+VLOOKUP($A18,$C$43:$CP$69,BJ$2,0)),BJ17*(1+(VLOOKUP($A18,'MoM Forecasts'!$2:$25,'Unchained Indices'!BJ$2,0))))</f>
        <v>100.06471642531855</v>
      </c>
      <c r="BK18">
        <f>IF($B18=TRUE,BK17*(1+VLOOKUP($A18,$C$43:$CP$69,BK$2,0)),BK17*(1+(VLOOKUP($A18,'MoM Forecasts'!$2:$25,'Unchained Indices'!BK$2,0))))</f>
        <v>99.94560666701112</v>
      </c>
      <c r="BL18">
        <f>IF($B18=TRUE,BL17*(1+VLOOKUP($A18,$C$43:$CP$69,BL$2,0)),BL17*(1+(VLOOKUP($A18,'MoM Forecasts'!$2:$25,'Unchained Indices'!BL$2,0))))</f>
        <v>100.05117387522169</v>
      </c>
      <c r="BM18">
        <f>IF($B18=TRUE,BM17*(1+VLOOKUP($A18,$C$43:$CP$69,BM$2,0)),BM17*(1+(VLOOKUP($A18,'MoM Forecasts'!$2:$25,'Unchained Indices'!BM$2,0))))</f>
        <v>100.05375302913599</v>
      </c>
      <c r="BN18">
        <f>IF($B18=TRUE,BN17*(1+VLOOKUP($A18,$C$43:$CP$69,BN$2,0)),BN17*(1+(VLOOKUP($A18,'MoM Forecasts'!$2:$25,'Unchained Indices'!BN$2,0))))</f>
        <v>100.07249291885326</v>
      </c>
      <c r="BO18">
        <f>IF($B18=TRUE,BO17*(1+VLOOKUP($A18,$C$43:$CP$69,BO$2,0)),BO17*(1+(VLOOKUP($A18,'MoM Forecasts'!$2:$25,'Unchained Indices'!BO$2,0))))</f>
        <v>100.09002985472021</v>
      </c>
      <c r="BP18">
        <f>IF($B18=TRUE,BP17*(1+VLOOKUP($A18,$C$43:$CP$69,BP$2,0)),BP17*(1+(VLOOKUP($A18,'MoM Forecasts'!$2:$25,'Unchained Indices'!BP$2,0))))</f>
        <v>99.998151657727348</v>
      </c>
      <c r="BQ18">
        <f>IF($B18=TRUE,BQ17*(1+VLOOKUP($A18,$C$43:$CP$69,BQ$2,0)),BQ17*(1+(VLOOKUP($A18,'MoM Forecasts'!$2:$25,'Unchained Indices'!BQ$2,0))))</f>
        <v>100.09069014862879</v>
      </c>
      <c r="BR18">
        <f>IF($B18=TRUE,BR17*(1+VLOOKUP($A18,$C$43:$CP$69,BR$2,0)),BR17*(1+(VLOOKUP($A18,'MoM Forecasts'!$2:$25,'Unchained Indices'!BR$2,0))))</f>
        <v>100.09402339063007</v>
      </c>
      <c r="BS18">
        <f>IF($B18=TRUE,BS17*(1+VLOOKUP($A18,$C$43:$CP$69,BS$2,0)),BS17*(1+(VLOOKUP($A18,'MoM Forecasts'!$2:$25,'Unchained Indices'!BS$2,0))))</f>
        <v>100.03476068871416</v>
      </c>
      <c r="BT18">
        <f>IF($B18=TRUE,BT17*(1+VLOOKUP($A18,$C$43:$CP$69,BT$2,0)),BT17*(1+(VLOOKUP($A18,'MoM Forecasts'!$2:$25,'Unchained Indices'!BT$2,0))))</f>
        <v>100.01557369464904</v>
      </c>
      <c r="BU18">
        <f>IF($B18=TRUE,BU17*(1+VLOOKUP($A18,$C$43:$CP$69,BU$2,0)),BU17*(1+(VLOOKUP($A18,'MoM Forecasts'!$2:$25,'Unchained Indices'!BU$2,0))))</f>
        <v>100.03129112067472</v>
      </c>
      <c r="BV18">
        <f>IF($B18=TRUE,BV17*(1+VLOOKUP($A18,$C$43:$CP$69,BV$2,0)),BV17*(1+(VLOOKUP($A18,'MoM Forecasts'!$2:$25,'Unchained Indices'!BV$2,0))))</f>
        <v>100.0526403714309</v>
      </c>
      <c r="BW18">
        <f>IF($B18=TRUE,BW17*(1+VLOOKUP($A18,$C$43:$CP$69,BW$2,0)),BW17*(1+(VLOOKUP($A18,'MoM Forecasts'!$2:$25,'Unchained Indices'!BW$2,0))))</f>
        <v>100.0257640528438</v>
      </c>
      <c r="BX18">
        <f>IF($B18=TRUE,BX17*(1+VLOOKUP($A18,$C$43:$CP$69,BX$2,0)),BX17*(1+(VLOOKUP($A18,'MoM Forecasts'!$2:$25,'Unchained Indices'!BX$2,0))))</f>
        <v>100.06044124350694</v>
      </c>
      <c r="BY18">
        <f>IF($B18=TRUE,BY17*(1+VLOOKUP($A18,$C$43:$CP$69,BY$2,0)),BY17*(1+(VLOOKUP($A18,'MoM Forecasts'!$2:$25,'Unchained Indices'!BY$2,0))))</f>
        <v>100.05704360760923</v>
      </c>
      <c r="BZ18">
        <f>IF($B18=TRUE,BZ17*(1+VLOOKUP($A18,$C$43:$CP$69,BZ$2,0)),BZ17*(1+(VLOOKUP($A18,'MoM Forecasts'!$2:$25,'Unchained Indices'!BZ$2,0))))</f>
        <v>100.09452446639327</v>
      </c>
      <c r="CA18">
        <f>IF($B18=TRUE,CA17*(1+VLOOKUP($A18,$C$43:$CP$69,CA$2,0)),CA17*(1+(VLOOKUP($A18,'MoM Forecasts'!$2:$25,'Unchained Indices'!CA$2,0))))</f>
        <v>99.961810377730032</v>
      </c>
      <c r="CB18">
        <f>IF($B18=TRUE,CB17*(1+VLOOKUP($A18,$C$43:$CP$69,CB$2,0)),CB17*(1+(VLOOKUP($A18,'MoM Forecasts'!$2:$25,'Unchained Indices'!CB$2,0))))</f>
        <v>100.09259562579022</v>
      </c>
      <c r="CC18">
        <f>IF($B18=TRUE,CC17*(1+VLOOKUP($A18,$C$43:$CP$69,CC$2,0)),CC17*(1+(VLOOKUP($A18,'MoM Forecasts'!$2:$25,'Unchained Indices'!CC$2,0))))</f>
        <v>100.07213799132593</v>
      </c>
      <c r="CD18">
        <f>IF($B18=TRUE,CD17*(1+VLOOKUP($A18,$C$43:$CP$69,CD$2,0)),CD17*(1+(VLOOKUP($A18,'MoM Forecasts'!$2:$25,'Unchained Indices'!CD$2,0))))</f>
        <v>100.0886273174898</v>
      </c>
      <c r="CE18">
        <f>IF($B18=TRUE,CE17*(1+VLOOKUP($A18,$C$43:$CP$69,CE$2,0)),CE17*(1+(VLOOKUP($A18,'MoM Forecasts'!$2:$25,'Unchained Indices'!CE$2,0))))</f>
        <v>100.08912162797074</v>
      </c>
      <c r="CF18">
        <f>IF($B18=TRUE,CF17*(1+VLOOKUP($A18,$C$43:$CP$69,CF$2,0)),CF17*(1+(VLOOKUP($A18,'MoM Forecasts'!$2:$25,'Unchained Indices'!CF$2,0))))</f>
        <v>100.0871657629169</v>
      </c>
      <c r="CG18">
        <f>IF($B18=TRUE,CG17*(1+VLOOKUP($A18,$C$43:$CP$69,CG$2,0)),CG17*(1+(VLOOKUP($A18,'MoM Forecasts'!$2:$25,'Unchained Indices'!CG$2,0))))</f>
        <v>100.57282877829181</v>
      </c>
      <c r="CH18">
        <f>IF($B18=TRUE,CH17*(1+VLOOKUP($A18,$C$43:$CP$69,CH$2,0)),CH17*(1+(VLOOKUP($A18,'MoM Forecasts'!$2:$25,'Unchained Indices'!CH$2,0))))</f>
        <v>97.80848537525037</v>
      </c>
      <c r="CI18">
        <f>IF($B18=TRUE,CI17*(1+VLOOKUP($A18,$C$43:$CP$69,CI$2,0)),CI17*(1+(VLOOKUP($A18,'MoM Forecasts'!$2:$25,'Unchained Indices'!CI$2,0))))</f>
        <v>101.89623440453394</v>
      </c>
      <c r="CJ18">
        <f>IF($B18=TRUE,CJ17*(1+VLOOKUP($A18,$C$43:$CP$69,CJ$2,0)),CJ17*(1+(VLOOKUP($A18,'MoM Forecasts'!$2:$25,'Unchained Indices'!CJ$2,0))))</f>
        <v>99.959748392710466</v>
      </c>
      <c r="CK18">
        <f>IF($B18=TRUE,CK17*(1+VLOOKUP($A18,$C$43:$CP$69,CK$2,0)),CK17*(1+(VLOOKUP($A18,'MoM Forecasts'!$2:$25,'Unchained Indices'!CK$2,0))))</f>
        <v>100.08060161609953</v>
      </c>
      <c r="CL18">
        <f>IF($B18=TRUE,CL17*(1+VLOOKUP($A18,$C$43:$CP$69,CL$2,0)),CL17*(1+(VLOOKUP($A18,'MoM Forecasts'!$2:$25,'Unchained Indices'!CL$2,0))))</f>
        <v>100.0397773215214</v>
      </c>
      <c r="CM18">
        <f>IF($B18=TRUE,CM17*(1+VLOOKUP($A18,$C$43:$CP$69,CM$2,0)),CM17*(1+(VLOOKUP($A18,'MoM Forecasts'!$2:$25,'Unchained Indices'!CM$2,0))))</f>
        <v>100.06747830999707</v>
      </c>
      <c r="CN18">
        <f>IF($B18=TRUE,CN17*(1+VLOOKUP($A18,$C$43:$CP$69,CN$2,0)),CN17*(1+(VLOOKUP($A18,'MoM Forecasts'!$2:$25,'Unchained Indices'!CN$2,0))))</f>
        <v>100.09842505052006</v>
      </c>
      <c r="CO18">
        <f>IF($B18=TRUE,CO17*(1+VLOOKUP($A18,$C$43:$CP$69,CO$2,0)),CO17*(1+(VLOOKUP($A18,'MoM Forecasts'!$2:$25,'Unchained Indices'!CO$2,0))))</f>
        <v>100.09312926668986</v>
      </c>
      <c r="CP18">
        <f>IF($B18=TRUE,CP17*(1+VLOOKUP($A18,$C$43:$CP$69,CP$2,0)),CP17*(1+(VLOOKUP($A18,'MoM Forecasts'!$2:$25,'Unchained Indices'!CP$2,0))))</f>
        <v>100.08923926379367</v>
      </c>
    </row>
    <row r="19" spans="1:94" x14ac:dyDescent="0.25">
      <c r="A19" s="6">
        <f t="shared" si="4"/>
        <v>44986</v>
      </c>
      <c r="B19" s="8" t="str">
        <f>IF(A19&lt;='MoM Forecasts'!$A$2,TRUE,"")</f>
        <v/>
      </c>
      <c r="C19" s="7">
        <f t="shared" si="5"/>
        <v>44927</v>
      </c>
      <c r="D19">
        <f>IF($B19=TRUE,D18*(1+VLOOKUP($A19,$C$43:$CP$69,D$2,0)),D18*(1+(VLOOKUP($A19,'MoM Forecasts'!$2:$25,'Unchained Indices'!D$2,0))))</f>
        <v>100.13109078716025</v>
      </c>
      <c r="E19">
        <f>IF($B19=TRUE,E18*(1+VLOOKUP($A19,$C$43:$CP$69,E$2,0)),E18*(1+(VLOOKUP($A19,'MoM Forecasts'!$2:$25,'Unchained Indices'!E$2,0))))</f>
        <v>100.11701432336331</v>
      </c>
      <c r="F19">
        <f>IF($B19=TRUE,F18*(1+VLOOKUP($A19,$C$43:$CP$69,F$2,0)),F18*(1+(VLOOKUP($A19,'MoM Forecasts'!$2:$25,'Unchained Indices'!F$2,0))))</f>
        <v>100.13583843445028</v>
      </c>
      <c r="G19">
        <f>IF($B19=TRUE,G18*(1+VLOOKUP($A19,$C$43:$CP$69,G$2,0)),G18*(1+(VLOOKUP($A19,'MoM Forecasts'!$2:$25,'Unchained Indices'!G$2,0))))</f>
        <v>100.12496826677911</v>
      </c>
      <c r="H19">
        <f>IF($B19=TRUE,H18*(1+VLOOKUP($A19,$C$43:$CP$69,H$2,0)),H18*(1+(VLOOKUP($A19,'MoM Forecasts'!$2:$25,'Unchained Indices'!H$2,0))))</f>
        <v>100.16406691291992</v>
      </c>
      <c r="I19">
        <f>IF($B19=TRUE,I18*(1+VLOOKUP($A19,$C$43:$CP$69,I$2,0)),I18*(1+(VLOOKUP($A19,'MoM Forecasts'!$2:$25,'Unchained Indices'!I$2,0))))</f>
        <v>100.16388925182525</v>
      </c>
      <c r="J19">
        <f>IF($B19=TRUE,J18*(1+VLOOKUP($A19,$C$43:$CP$69,J$2,0)),J18*(1+(VLOOKUP($A19,'MoM Forecasts'!$2:$25,'Unchained Indices'!J$2,0))))</f>
        <v>100.14035238694534</v>
      </c>
      <c r="K19">
        <f>IF($B19=TRUE,K18*(1+VLOOKUP($A19,$C$43:$CP$69,K$2,0)),K18*(1+(VLOOKUP($A19,'MoM Forecasts'!$2:$25,'Unchained Indices'!K$2,0))))</f>
        <v>100.12553705507077</v>
      </c>
      <c r="L19">
        <f>IF($B19=TRUE,L18*(1+VLOOKUP($A19,$C$43:$CP$69,L$2,0)),L18*(1+(VLOOKUP($A19,'MoM Forecasts'!$2:$25,'Unchained Indices'!L$2,0))))</f>
        <v>100.05072683282964</v>
      </c>
      <c r="M19">
        <f>IF($B19=TRUE,M18*(1+VLOOKUP($A19,$C$43:$CP$69,M$2,0)),M18*(1+(VLOOKUP($A19,'MoM Forecasts'!$2:$25,'Unchained Indices'!M$2,0))))</f>
        <v>100.11072137589338</v>
      </c>
      <c r="N19">
        <f>IF($B19=TRUE,N18*(1+VLOOKUP($A19,$C$43:$CP$69,N$2,0)),N18*(1+(VLOOKUP($A19,'MoM Forecasts'!$2:$25,'Unchained Indices'!N$2,0))))</f>
        <v>100.15619480687867</v>
      </c>
      <c r="O19">
        <f>IF($B19=TRUE,O18*(1+VLOOKUP($A19,$C$43:$CP$69,O$2,0)),O18*(1+(VLOOKUP($A19,'MoM Forecasts'!$2:$25,'Unchained Indices'!O$2,0))))</f>
        <v>100.15750877181534</v>
      </c>
      <c r="P19">
        <f>IF($B19=TRUE,P18*(1+VLOOKUP($A19,$C$43:$CP$69,P$2,0)),P18*(1+(VLOOKUP($A19,'MoM Forecasts'!$2:$25,'Unchained Indices'!P$2,0))))</f>
        <v>100.15252187598333</v>
      </c>
      <c r="Q19">
        <f>IF($B19=TRUE,Q18*(1+VLOOKUP($A19,$C$43:$CP$69,Q$2,0)),Q18*(1+(VLOOKUP($A19,'MoM Forecasts'!$2:$25,'Unchained Indices'!Q$2,0))))</f>
        <v>100.15483651916877</v>
      </c>
      <c r="R19">
        <f>IF($B19=TRUE,R18*(1+VLOOKUP($A19,$C$43:$CP$69,R$2,0)),R18*(1+(VLOOKUP($A19,'MoM Forecasts'!$2:$25,'Unchained Indices'!R$2,0))))</f>
        <v>100.10539377172171</v>
      </c>
      <c r="S19">
        <f>IF($B19=TRUE,S18*(1+VLOOKUP($A19,$C$43:$CP$69,S$2,0)),S18*(1+(VLOOKUP($A19,'MoM Forecasts'!$2:$25,'Unchained Indices'!S$2,0))))</f>
        <v>100.14112610672458</v>
      </c>
      <c r="T19">
        <f>IF($B19=TRUE,T18*(1+VLOOKUP($A19,$C$43:$CP$69,T$2,0)),T18*(1+(VLOOKUP($A19,'MoM Forecasts'!$2:$25,'Unchained Indices'!T$2,0))))</f>
        <v>100.15554125526049</v>
      </c>
      <c r="U19">
        <f>IF($B19=TRUE,U18*(1+VLOOKUP($A19,$C$43:$CP$69,U$2,0)),U18*(1+(VLOOKUP($A19,'MoM Forecasts'!$2:$25,'Unchained Indices'!U$2,0))))</f>
        <v>100.12650393981393</v>
      </c>
      <c r="V19">
        <f>IF($B19=TRUE,V18*(1+VLOOKUP($A19,$C$43:$CP$69,V$2,0)),V18*(1+(VLOOKUP($A19,'MoM Forecasts'!$2:$25,'Unchained Indices'!V$2,0))))</f>
        <v>100.09406564289112</v>
      </c>
      <c r="W19">
        <f>IF($B19=TRUE,W18*(1+VLOOKUP($A19,$C$43:$CP$69,W$2,0)),W18*(1+(VLOOKUP($A19,'MoM Forecasts'!$2:$25,'Unchained Indices'!W$2,0))))</f>
        <v>100.12037256744588</v>
      </c>
      <c r="X19">
        <f>IF($B19=TRUE,X18*(1+VLOOKUP($A19,$C$43:$CP$69,X$2,0)),X18*(1+(VLOOKUP($A19,'MoM Forecasts'!$2:$25,'Unchained Indices'!X$2,0))))</f>
        <v>100.12458699276112</v>
      </c>
      <c r="Y19">
        <f>IF($B19=TRUE,Y18*(1+VLOOKUP($A19,$C$43:$CP$69,Y$2,0)),Y18*(1+(VLOOKUP($A19,'MoM Forecasts'!$2:$25,'Unchained Indices'!Y$2,0))))</f>
        <v>100.12885339980197</v>
      </c>
      <c r="Z19">
        <f>IF($B19=TRUE,Z18*(1+VLOOKUP($A19,$C$43:$CP$69,Z$2,0)),Z18*(1+(VLOOKUP($A19,'MoM Forecasts'!$2:$25,'Unchained Indices'!Z$2,0))))</f>
        <v>100.10295340250373</v>
      </c>
      <c r="AA19">
        <f>IF($B19=TRUE,AA18*(1+VLOOKUP($A19,$C$43:$CP$69,AA$2,0)),AA18*(1+(VLOOKUP($A19,'MoM Forecasts'!$2:$25,'Unchained Indices'!AA$2,0))))</f>
        <v>100.18398242888034</v>
      </c>
      <c r="AB19">
        <f>IF($B19=TRUE,AB18*(1+VLOOKUP($A19,$C$43:$CP$69,AB$2,0)),AB18*(1+(VLOOKUP($A19,'MoM Forecasts'!$2:$25,'Unchained Indices'!AB$2,0))))</f>
        <v>100.13621245545762</v>
      </c>
      <c r="AC19">
        <f>IF($B19=TRUE,AC18*(1+VLOOKUP($A19,$C$43:$CP$69,AC$2,0)),AC18*(1+(VLOOKUP($A19,'MoM Forecasts'!$2:$25,'Unchained Indices'!AC$2,0))))</f>
        <v>99.710130006935387</v>
      </c>
      <c r="AD19">
        <f>IF($B19=TRUE,AD18*(1+VLOOKUP($A19,$C$43:$CP$69,AD$2,0)),AD18*(1+(VLOOKUP($A19,'MoM Forecasts'!$2:$25,'Unchained Indices'!AD$2,0))))</f>
        <v>100.11733033881522</v>
      </c>
      <c r="AE19">
        <f>IF($B19=TRUE,AE18*(1+VLOOKUP($A19,$C$43:$CP$69,AE$2,0)),AE18*(1+(VLOOKUP($A19,'MoM Forecasts'!$2:$25,'Unchained Indices'!AE$2,0))))</f>
        <v>100.41066277451142</v>
      </c>
      <c r="AF19">
        <f>IF($B19=TRUE,AF18*(1+VLOOKUP($A19,$C$43:$CP$69,AF$2,0)),AF18*(1+(VLOOKUP($A19,'MoM Forecasts'!$2:$25,'Unchained Indices'!AF$2,0))))</f>
        <v>100.26166824407161</v>
      </c>
      <c r="AG19">
        <f>IF($B19=TRUE,AG18*(1+VLOOKUP($A19,$C$43:$CP$69,AG$2,0)),AG18*(1+(VLOOKUP($A19,'MoM Forecasts'!$2:$25,'Unchained Indices'!AG$2,0))))</f>
        <v>100.14777176635017</v>
      </c>
      <c r="AH19">
        <f>IF($B19=TRUE,AH18*(1+VLOOKUP($A19,$C$43:$CP$69,AH$2,0)),AH18*(1+(VLOOKUP($A19,'MoM Forecasts'!$2:$25,'Unchained Indices'!AH$2,0))))</f>
        <v>100.13278136807021</v>
      </c>
      <c r="AI19">
        <f>IF($B19=TRUE,AI18*(1+VLOOKUP($A19,$C$43:$CP$69,AI$2,0)),AI18*(1+(VLOOKUP($A19,'MoM Forecasts'!$2:$25,'Unchained Indices'!AI$2,0))))</f>
        <v>97.880206924754987</v>
      </c>
      <c r="AJ19">
        <f>IF($B19=TRUE,AJ18*(1+VLOOKUP($A19,$C$43:$CP$69,AJ$2,0)),AJ18*(1+(VLOOKUP($A19,'MoM Forecasts'!$2:$25,'Unchained Indices'!AJ$2,0))))</f>
        <v>100.15858868470765</v>
      </c>
      <c r="AK19">
        <f>IF($B19=TRUE,AK18*(1+VLOOKUP($A19,$C$43:$CP$69,AK$2,0)),AK18*(1+(VLOOKUP($A19,'MoM Forecasts'!$2:$25,'Unchained Indices'!AK$2,0))))</f>
        <v>100.10029002225227</v>
      </c>
      <c r="AL19">
        <f>IF($B19=TRUE,AL18*(1+VLOOKUP($A19,$C$43:$CP$69,AL$2,0)),AL18*(1+(VLOOKUP($A19,'MoM Forecasts'!$2:$25,'Unchained Indices'!AL$2,0))))</f>
        <v>100.15837294254401</v>
      </c>
      <c r="AM19">
        <f>IF($B19=TRUE,AM18*(1+VLOOKUP($A19,$C$43:$CP$69,AM$2,0)),AM18*(1+(VLOOKUP($A19,'MoM Forecasts'!$2:$25,'Unchained Indices'!AM$2,0))))</f>
        <v>100.18181588241092</v>
      </c>
      <c r="AN19">
        <f>IF($B19=TRUE,AN18*(1+VLOOKUP($A19,$C$43:$CP$69,AN$2,0)),AN18*(1+(VLOOKUP($A19,'MoM Forecasts'!$2:$25,'Unchained Indices'!AN$2,0))))</f>
        <v>100.15389415315954</v>
      </c>
      <c r="AO19">
        <f>IF($B19=TRUE,AO18*(1+VLOOKUP($A19,$C$43:$CP$69,AO$2,0)),AO18*(1+(VLOOKUP($A19,'MoM Forecasts'!$2:$25,'Unchained Indices'!AO$2,0))))</f>
        <v>100.15987082922516</v>
      </c>
      <c r="AP19">
        <f>IF($B19=TRUE,AP18*(1+VLOOKUP($A19,$C$43:$CP$69,AP$2,0)),AP18*(1+(VLOOKUP($A19,'MoM Forecasts'!$2:$25,'Unchained Indices'!AP$2,0))))</f>
        <v>100.16878622940057</v>
      </c>
      <c r="AQ19">
        <f>IF($B19=TRUE,AQ18*(1+VLOOKUP($A19,$C$43:$CP$69,AQ$2,0)),AQ18*(1+(VLOOKUP($A19,'MoM Forecasts'!$2:$25,'Unchained Indices'!AQ$2,0))))</f>
        <v>100.07054204215682</v>
      </c>
      <c r="AR19">
        <f>IF($B19=TRUE,AR18*(1+VLOOKUP($A19,$C$43:$CP$69,AR$2,0)),AR18*(1+(VLOOKUP($A19,'MoM Forecasts'!$2:$25,'Unchained Indices'!AR$2,0))))</f>
        <v>100.14551331297656</v>
      </c>
      <c r="AS19">
        <f>IF($B19=TRUE,AS18*(1+VLOOKUP($A19,$C$43:$CP$69,AS$2,0)),AS18*(1+(VLOOKUP($A19,'MoM Forecasts'!$2:$25,'Unchained Indices'!AS$2,0))))</f>
        <v>100.16605309947045</v>
      </c>
      <c r="AT19">
        <f>IF($B19=TRUE,AT18*(1+VLOOKUP($A19,$C$43:$CP$69,AT$2,0)),AT18*(1+(VLOOKUP($A19,'MoM Forecasts'!$2:$25,'Unchained Indices'!AT$2,0))))</f>
        <v>100.11375909500471</v>
      </c>
      <c r="AU19">
        <f>IF($B19=TRUE,AU18*(1+VLOOKUP($A19,$C$43:$CP$69,AU$2,0)),AU18*(1+(VLOOKUP($A19,'MoM Forecasts'!$2:$25,'Unchained Indices'!AU$2,0))))</f>
        <v>100.20171336592176</v>
      </c>
      <c r="AV19">
        <f>IF($B19=TRUE,AV18*(1+VLOOKUP($A19,$C$43:$CP$69,AV$2,0)),AV18*(1+(VLOOKUP($A19,'MoM Forecasts'!$2:$25,'Unchained Indices'!AV$2,0))))</f>
        <v>100.17762870450525</v>
      </c>
      <c r="AW19">
        <f>IF($B19=TRUE,AW18*(1+VLOOKUP($A19,$C$43:$CP$69,AW$2,0)),AW18*(1+(VLOOKUP($A19,'MoM Forecasts'!$2:$25,'Unchained Indices'!AW$2,0))))</f>
        <v>100.1673657884169</v>
      </c>
      <c r="AX19">
        <f>IF($B19=TRUE,AX18*(1+VLOOKUP($A19,$C$43:$CP$69,AX$2,0)),AX18*(1+(VLOOKUP($A19,'MoM Forecasts'!$2:$25,'Unchained Indices'!AX$2,0))))</f>
        <v>103.15999129354044</v>
      </c>
      <c r="AY19">
        <f>IF($B19=TRUE,AY18*(1+VLOOKUP($A19,$C$43:$CP$69,AY$2,0)),AY18*(1+(VLOOKUP($A19,'MoM Forecasts'!$2:$25,'Unchained Indices'!AY$2,0))))</f>
        <v>100.21692140256904</v>
      </c>
      <c r="AZ19">
        <f>IF($B19=TRUE,AZ18*(1+VLOOKUP($A19,$C$43:$CP$69,AZ$2,0)),AZ18*(1+(VLOOKUP($A19,'MoM Forecasts'!$2:$25,'Unchained Indices'!AZ$2,0))))</f>
        <v>100.17582220489626</v>
      </c>
      <c r="BA19">
        <f>IF($B19=TRUE,BA18*(1+VLOOKUP($A19,$C$43:$CP$69,BA$2,0)),BA18*(1+(VLOOKUP($A19,'MoM Forecasts'!$2:$25,'Unchained Indices'!BA$2,0))))</f>
        <v>100.19736735328033</v>
      </c>
      <c r="BB19">
        <f>IF($B19=TRUE,BB18*(1+VLOOKUP($A19,$C$43:$CP$69,BB$2,0)),BB18*(1+(VLOOKUP($A19,'MoM Forecasts'!$2:$25,'Unchained Indices'!BB$2,0))))</f>
        <v>100.19992594460325</v>
      </c>
      <c r="BC19">
        <f>IF($B19=TRUE,BC18*(1+VLOOKUP($A19,$C$43:$CP$69,BC$2,0)),BC18*(1+(VLOOKUP($A19,'MoM Forecasts'!$2:$25,'Unchained Indices'!BC$2,0))))</f>
        <v>100.11914869660153</v>
      </c>
      <c r="BD19">
        <f>IF($B19=TRUE,BD18*(1+VLOOKUP($A19,$C$43:$CP$69,BD$2,0)),BD18*(1+(VLOOKUP($A19,'MoM Forecasts'!$2:$25,'Unchained Indices'!BD$2,0))))</f>
        <v>100.13436575029408</v>
      </c>
      <c r="BE19">
        <f>IF($B19=TRUE,BE18*(1+VLOOKUP($A19,$C$43:$CP$69,BE$2,0)),BE18*(1+(VLOOKUP($A19,'MoM Forecasts'!$2:$25,'Unchained Indices'!BE$2,0))))</f>
        <v>100.16503632314486</v>
      </c>
      <c r="BF19">
        <f>IF($B19=TRUE,BF18*(1+VLOOKUP($A19,$C$43:$CP$69,BF$2,0)),BF18*(1+(VLOOKUP($A19,'MoM Forecasts'!$2:$25,'Unchained Indices'!BF$2,0))))</f>
        <v>100.11613506601147</v>
      </c>
      <c r="BG19">
        <f>IF($B19=TRUE,BG18*(1+VLOOKUP($A19,$C$43:$CP$69,BG$2,0)),BG18*(1+(VLOOKUP($A19,'MoM Forecasts'!$2:$25,'Unchained Indices'!BG$2,0))))</f>
        <v>100.13244104168386</v>
      </c>
      <c r="BH19">
        <f>IF($B19=TRUE,BH18*(1+VLOOKUP($A19,$C$43:$CP$69,BH$2,0)),BH18*(1+(VLOOKUP($A19,'MoM Forecasts'!$2:$25,'Unchained Indices'!BH$2,0))))</f>
        <v>102.5354159582289</v>
      </c>
      <c r="BI19">
        <f>IF($B19=TRUE,BI18*(1+VLOOKUP($A19,$C$43:$CP$69,BI$2,0)),BI18*(1+(VLOOKUP($A19,'MoM Forecasts'!$2:$25,'Unchained Indices'!BI$2,0))))</f>
        <v>100.12858825908819</v>
      </c>
      <c r="BJ19">
        <f>IF($B19=TRUE,BJ18*(1+VLOOKUP($A19,$C$43:$CP$69,BJ$2,0)),BJ18*(1+(VLOOKUP($A19,'MoM Forecasts'!$2:$25,'Unchained Indices'!BJ$2,0))))</f>
        <v>100.12943285063707</v>
      </c>
      <c r="BK19">
        <f>IF($B19=TRUE,BK18*(1+VLOOKUP($A19,$C$43:$CP$69,BK$2,0)),BK18*(1+(VLOOKUP($A19,'MoM Forecasts'!$2:$25,'Unchained Indices'!BK$2,0))))</f>
        <v>99.89121333402224</v>
      </c>
      <c r="BL19">
        <f>IF($B19=TRUE,BL18*(1+VLOOKUP($A19,$C$43:$CP$69,BL$2,0)),BL18*(1+(VLOOKUP($A19,'MoM Forecasts'!$2:$25,'Unchained Indices'!BL$2,0))))</f>
        <v>100.10234775044339</v>
      </c>
      <c r="BM19">
        <f>IF($B19=TRUE,BM18*(1+VLOOKUP($A19,$C$43:$CP$69,BM$2,0)),BM18*(1+(VLOOKUP($A19,'MoM Forecasts'!$2:$25,'Unchained Indices'!BM$2,0))))</f>
        <v>100.10750605827199</v>
      </c>
      <c r="BN19">
        <f>IF($B19=TRUE,BN18*(1+VLOOKUP($A19,$C$43:$CP$69,BN$2,0)),BN18*(1+(VLOOKUP($A19,'MoM Forecasts'!$2:$25,'Unchained Indices'!BN$2,0))))</f>
        <v>100.1449858377065</v>
      </c>
      <c r="BO19">
        <f>IF($B19=TRUE,BO18*(1+VLOOKUP($A19,$C$43:$CP$69,BO$2,0)),BO18*(1+(VLOOKUP($A19,'MoM Forecasts'!$2:$25,'Unchained Indices'!BO$2,0))))</f>
        <v>100.18005970944046</v>
      </c>
      <c r="BP19">
        <f>IF($B19=TRUE,BP18*(1+VLOOKUP($A19,$C$43:$CP$69,BP$2,0)),BP18*(1+(VLOOKUP($A19,'MoM Forecasts'!$2:$25,'Unchained Indices'!BP$2,0))))</f>
        <v>99.996303315454711</v>
      </c>
      <c r="BQ19">
        <f>IF($B19=TRUE,BQ18*(1+VLOOKUP($A19,$C$43:$CP$69,BQ$2,0)),BQ18*(1+(VLOOKUP($A19,'MoM Forecasts'!$2:$25,'Unchained Indices'!BQ$2,0))))</f>
        <v>100.18138029725758</v>
      </c>
      <c r="BR19">
        <f>IF($B19=TRUE,BR18*(1+VLOOKUP($A19,$C$43:$CP$69,BR$2,0)),BR18*(1+(VLOOKUP($A19,'MoM Forecasts'!$2:$25,'Unchained Indices'!BR$2,0))))</f>
        <v>100.18804678126016</v>
      </c>
      <c r="BS19">
        <f>IF($B19=TRUE,BS18*(1+VLOOKUP($A19,$C$43:$CP$69,BS$2,0)),BS18*(1+(VLOOKUP($A19,'MoM Forecasts'!$2:$25,'Unchained Indices'!BS$2,0))))</f>
        <v>100.0695213774283</v>
      </c>
      <c r="BT19">
        <f>IF($B19=TRUE,BT18*(1+VLOOKUP($A19,$C$43:$CP$69,BT$2,0)),BT18*(1+(VLOOKUP($A19,'MoM Forecasts'!$2:$25,'Unchained Indices'!BT$2,0))))</f>
        <v>100.03114738929807</v>
      </c>
      <c r="BU19">
        <f>IF($B19=TRUE,BU18*(1+VLOOKUP($A19,$C$43:$CP$69,BU$2,0)),BU18*(1+(VLOOKUP($A19,'MoM Forecasts'!$2:$25,'Unchained Indices'!BU$2,0))))</f>
        <v>100.06258224134945</v>
      </c>
      <c r="BV19">
        <f>IF($B19=TRUE,BV18*(1+VLOOKUP($A19,$C$43:$CP$69,BV$2,0)),BV18*(1+(VLOOKUP($A19,'MoM Forecasts'!$2:$25,'Unchained Indices'!BV$2,0))))</f>
        <v>100.10528074286177</v>
      </c>
      <c r="BW19">
        <f>IF($B19=TRUE,BW18*(1+VLOOKUP($A19,$C$43:$CP$69,BW$2,0)),BW18*(1+(VLOOKUP($A19,'MoM Forecasts'!$2:$25,'Unchained Indices'!BW$2,0))))</f>
        <v>100.05152810568759</v>
      </c>
      <c r="BX19">
        <f>IF($B19=TRUE,BX18*(1+VLOOKUP($A19,$C$43:$CP$69,BX$2,0)),BX18*(1+(VLOOKUP($A19,'MoM Forecasts'!$2:$25,'Unchained Indices'!BX$2,0))))</f>
        <v>100.1208824870139</v>
      </c>
      <c r="BY19">
        <f>IF($B19=TRUE,BY18*(1+VLOOKUP($A19,$C$43:$CP$69,BY$2,0)),BY18*(1+(VLOOKUP($A19,'MoM Forecasts'!$2:$25,'Unchained Indices'!BY$2,0))))</f>
        <v>100.11408721521843</v>
      </c>
      <c r="BZ19">
        <f>IF($B19=TRUE,BZ18*(1+VLOOKUP($A19,$C$43:$CP$69,BZ$2,0)),BZ18*(1+(VLOOKUP($A19,'MoM Forecasts'!$2:$25,'Unchained Indices'!BZ$2,0))))</f>
        <v>100.18904893278655</v>
      </c>
      <c r="CA19">
        <f>IF($B19=TRUE,CA18*(1+VLOOKUP($A19,$C$43:$CP$69,CA$2,0)),CA18*(1+(VLOOKUP($A19,'MoM Forecasts'!$2:$25,'Unchained Indices'!CA$2,0))))</f>
        <v>99.923620755460064</v>
      </c>
      <c r="CB19">
        <f>IF($B19=TRUE,CB18*(1+VLOOKUP($A19,$C$43:$CP$69,CB$2,0)),CB18*(1+(VLOOKUP($A19,'MoM Forecasts'!$2:$25,'Unchained Indices'!CB$2,0))))</f>
        <v>100.18519125158045</v>
      </c>
      <c r="CC19">
        <f>IF($B19=TRUE,CC18*(1+VLOOKUP($A19,$C$43:$CP$69,CC$2,0)),CC18*(1+(VLOOKUP($A19,'MoM Forecasts'!$2:$25,'Unchained Indices'!CC$2,0))))</f>
        <v>100.14427598265185</v>
      </c>
      <c r="CD19">
        <f>IF($B19=TRUE,CD18*(1+VLOOKUP($A19,$C$43:$CP$69,CD$2,0)),CD18*(1+(VLOOKUP($A19,'MoM Forecasts'!$2:$25,'Unchained Indices'!CD$2,0))))</f>
        <v>100.17725463497959</v>
      </c>
      <c r="CE19">
        <f>IF($B19=TRUE,CE18*(1+VLOOKUP($A19,$C$43:$CP$69,CE$2,0)),CE18*(1+(VLOOKUP($A19,'MoM Forecasts'!$2:$25,'Unchained Indices'!CE$2,0))))</f>
        <v>100.17824325594148</v>
      </c>
      <c r="CF19">
        <f>IF($B19=TRUE,CF18*(1+VLOOKUP($A19,$C$43:$CP$69,CF$2,0)),CF18*(1+(VLOOKUP($A19,'MoM Forecasts'!$2:$25,'Unchained Indices'!CF$2,0))))</f>
        <v>100.17433152583379</v>
      </c>
      <c r="CG19">
        <f>IF($B19=TRUE,CG18*(1+VLOOKUP($A19,$C$43:$CP$69,CG$2,0)),CG18*(1+(VLOOKUP($A19,'MoM Forecasts'!$2:$25,'Unchained Indices'!CG$2,0))))</f>
        <v>101.15011799369506</v>
      </c>
      <c r="CH19">
        <f>IF($B19=TRUE,CH18*(1+VLOOKUP($A19,$C$43:$CP$69,CH$2,0)),CH18*(1+(VLOOKUP($A19,'MoM Forecasts'!$2:$25,'Unchained Indices'!CH$2,0))))</f>
        <v>95.616970750500755</v>
      </c>
      <c r="CI19">
        <f>IF($B19=TRUE,CI18*(1+VLOOKUP($A19,$C$43:$CP$69,CI$2,0)),CI18*(1+(VLOOKUP($A19,'MoM Forecasts'!$2:$25,'Unchained Indices'!CI$2,0))))</f>
        <v>101.90049706257273</v>
      </c>
      <c r="CJ19">
        <f>IF($B19=TRUE,CJ18*(1+VLOOKUP($A19,$C$43:$CP$69,CJ$2,0)),CJ18*(1+(VLOOKUP($A19,'MoM Forecasts'!$2:$25,'Unchained Indices'!CJ$2,0))))</f>
        <v>99.919496785420932</v>
      </c>
      <c r="CK19">
        <f>IF($B19=TRUE,CK18*(1+VLOOKUP($A19,$C$43:$CP$69,CK$2,0)),CK18*(1+(VLOOKUP($A19,'MoM Forecasts'!$2:$25,'Unchained Indices'!CK$2,0))))</f>
        <v>100.16120323219904</v>
      </c>
      <c r="CL19">
        <f>IF($B19=TRUE,CL18*(1+VLOOKUP($A19,$C$43:$CP$69,CL$2,0)),CL18*(1+(VLOOKUP($A19,'MoM Forecasts'!$2:$25,'Unchained Indices'!CL$2,0))))</f>
        <v>100.0795546430428</v>
      </c>
      <c r="CM19">
        <f>IF($B19=TRUE,CM18*(1+VLOOKUP($A19,$C$43:$CP$69,CM$2,0)),CM18*(1+(VLOOKUP($A19,'MoM Forecasts'!$2:$25,'Unchained Indices'!CM$2,0))))</f>
        <v>100.13495661999414</v>
      </c>
      <c r="CN19">
        <f>IF($B19=TRUE,CN18*(1+VLOOKUP($A19,$C$43:$CP$69,CN$2,0)),CN18*(1+(VLOOKUP($A19,'MoM Forecasts'!$2:$25,'Unchained Indices'!CN$2,0))))</f>
        <v>100.19685010104016</v>
      </c>
      <c r="CO19">
        <f>IF($B19=TRUE,CO18*(1+VLOOKUP($A19,$C$43:$CP$69,CO$2,0)),CO18*(1+(VLOOKUP($A19,'MoM Forecasts'!$2:$25,'Unchained Indices'!CO$2,0))))</f>
        <v>100.18625853337969</v>
      </c>
      <c r="CP19">
        <f>IF($B19=TRUE,CP18*(1+VLOOKUP($A19,$C$43:$CP$69,CP$2,0)),CP18*(1+(VLOOKUP($A19,'MoM Forecasts'!$2:$25,'Unchained Indices'!CP$2,0))))</f>
        <v>100.17847852758732</v>
      </c>
    </row>
    <row r="20" spans="1:94" x14ac:dyDescent="0.25">
      <c r="A20" s="6">
        <f t="shared" si="4"/>
        <v>45017</v>
      </c>
      <c r="B20" s="8" t="str">
        <f>IF(A20&lt;='MoM Forecasts'!$A$2,TRUE,"")</f>
        <v/>
      </c>
      <c r="C20" s="7">
        <f t="shared" si="5"/>
        <v>44927</v>
      </c>
      <c r="D20">
        <f>IF($B20=TRUE,D19*(1+VLOOKUP($A20,$C$43:$CP$69,D$2,0)),D19*(1+(VLOOKUP($A20,'MoM Forecasts'!$2:$25,'Unchained Indices'!D$2,0))))</f>
        <v>100.19663618074036</v>
      </c>
      <c r="E20">
        <f>IF($B20=TRUE,E19*(1+VLOOKUP($A20,$C$43:$CP$69,E$2,0)),E19*(1+(VLOOKUP($A20,'MoM Forecasts'!$2:$25,'Unchained Indices'!E$2,0))))</f>
        <v>100.17552148504495</v>
      </c>
      <c r="F20">
        <f>IF($B20=TRUE,F19*(1+VLOOKUP($A20,$C$43:$CP$69,F$2,0)),F19*(1+(VLOOKUP($A20,'MoM Forecasts'!$2:$25,'Unchained Indices'!F$2,0))))</f>
        <v>100.2037576516754</v>
      </c>
      <c r="G20">
        <f>IF($B20=TRUE,G19*(1+VLOOKUP($A20,$C$43:$CP$69,G$2,0)),G19*(1+(VLOOKUP($A20,'MoM Forecasts'!$2:$25,'Unchained Indices'!G$2,0))))</f>
        <v>100.18745240016864</v>
      </c>
      <c r="H20">
        <f>IF($B20=TRUE,H19*(1+VLOOKUP($A20,$C$43:$CP$69,H$2,0)),H19*(1+(VLOOKUP($A20,'MoM Forecasts'!$2:$25,'Unchained Indices'!H$2,0))))</f>
        <v>100.24610036937987</v>
      </c>
      <c r="I20">
        <f>IF($B20=TRUE,I19*(1+VLOOKUP($A20,$C$43:$CP$69,I$2,0)),I19*(1+(VLOOKUP($A20,'MoM Forecasts'!$2:$25,'Unchained Indices'!I$2,0))))</f>
        <v>100.24583387773788</v>
      </c>
      <c r="J20">
        <f>IF($B20=TRUE,J19*(1+VLOOKUP($A20,$C$43:$CP$69,J$2,0)),J19*(1+(VLOOKUP($A20,'MoM Forecasts'!$2:$25,'Unchained Indices'!J$2,0))))</f>
        <v>100.21052858041801</v>
      </c>
      <c r="K20">
        <f>IF($B20=TRUE,K19*(1+VLOOKUP($A20,$C$43:$CP$69,K$2,0)),K19*(1+(VLOOKUP($A20,'MoM Forecasts'!$2:$25,'Unchained Indices'!K$2,0))))</f>
        <v>100.18830558260615</v>
      </c>
      <c r="L20">
        <f>IF($B20=TRUE,L19*(1+VLOOKUP($A20,$C$43:$CP$69,L$2,0)),L19*(1+(VLOOKUP($A20,'MoM Forecasts'!$2:$25,'Unchained Indices'!L$2,0))))</f>
        <v>100.07609024924444</v>
      </c>
      <c r="M20">
        <f>IF($B20=TRUE,M19*(1+VLOOKUP($A20,$C$43:$CP$69,M$2,0)),M19*(1+(VLOOKUP($A20,'MoM Forecasts'!$2:$25,'Unchained Indices'!M$2,0))))</f>
        <v>100.16608206384007</v>
      </c>
      <c r="N20">
        <f>IF($B20=TRUE,N19*(1+VLOOKUP($A20,$C$43:$CP$69,N$2,0)),N19*(1+(VLOOKUP($A20,'MoM Forecasts'!$2:$25,'Unchained Indices'!N$2,0))))</f>
        <v>100.23429221031802</v>
      </c>
      <c r="O20">
        <f>IF($B20=TRUE,O19*(1+VLOOKUP($A20,$C$43:$CP$69,O$2,0)),O19*(1+(VLOOKUP($A20,'MoM Forecasts'!$2:$25,'Unchained Indices'!O$2,0))))</f>
        <v>100.23626315772302</v>
      </c>
      <c r="P20">
        <f>IF($B20=TRUE,P19*(1+VLOOKUP($A20,$C$43:$CP$69,P$2,0)),P19*(1+(VLOOKUP($A20,'MoM Forecasts'!$2:$25,'Unchained Indices'!P$2,0))))</f>
        <v>100.22878281397496</v>
      </c>
      <c r="Q20">
        <f>IF($B20=TRUE,Q19*(1+VLOOKUP($A20,$C$43:$CP$69,Q$2,0)),Q19*(1+(VLOOKUP($A20,'MoM Forecasts'!$2:$25,'Unchained Indices'!Q$2,0))))</f>
        <v>100.23225477875314</v>
      </c>
      <c r="R20">
        <f>IF($B20=TRUE,R19*(1+VLOOKUP($A20,$C$43:$CP$69,R$2,0)),R19*(1+(VLOOKUP($A20,'MoM Forecasts'!$2:$25,'Unchained Indices'!R$2,0))))</f>
        <v>100.15809065758256</v>
      </c>
      <c r="S20">
        <f>IF($B20=TRUE,S19*(1+VLOOKUP($A20,$C$43:$CP$69,S$2,0)),S19*(1+(VLOOKUP($A20,'MoM Forecasts'!$2:$25,'Unchained Indices'!S$2,0))))</f>
        <v>100.21168916008689</v>
      </c>
      <c r="T20">
        <f>IF($B20=TRUE,T19*(1+VLOOKUP($A20,$C$43:$CP$69,T$2,0)),T19*(1+(VLOOKUP($A20,'MoM Forecasts'!$2:$25,'Unchained Indices'!T$2,0))))</f>
        <v>100.23331188289073</v>
      </c>
      <c r="U20">
        <f>IF($B20=TRUE,U19*(1+VLOOKUP($A20,$C$43:$CP$69,U$2,0)),U19*(1+(VLOOKUP($A20,'MoM Forecasts'!$2:$25,'Unchained Indices'!U$2,0))))</f>
        <v>100.18975590972087</v>
      </c>
      <c r="V20">
        <f>IF($B20=TRUE,V19*(1+VLOOKUP($A20,$C$43:$CP$69,V$2,0)),V19*(1+(VLOOKUP($A20,'MoM Forecasts'!$2:$25,'Unchained Indices'!V$2,0))))</f>
        <v>100.14109846433669</v>
      </c>
      <c r="W20">
        <f>IF($B20=TRUE,W19*(1+VLOOKUP($A20,$C$43:$CP$69,W$2,0)),W19*(1+(VLOOKUP($A20,'MoM Forecasts'!$2:$25,'Unchained Indices'!W$2,0))))</f>
        <v>100.18055885116881</v>
      </c>
      <c r="X20">
        <f>IF($B20=TRUE,X19*(1+VLOOKUP($A20,$C$43:$CP$69,X$2,0)),X19*(1+(VLOOKUP($A20,'MoM Forecasts'!$2:$25,'Unchained Indices'!X$2,0))))</f>
        <v>100.18688048914166</v>
      </c>
      <c r="Y20">
        <f>IF($B20=TRUE,Y19*(1+VLOOKUP($A20,$C$43:$CP$69,Y$2,0)),Y19*(1+(VLOOKUP($A20,'MoM Forecasts'!$2:$25,'Unchained Indices'!Y$2,0))))</f>
        <v>100.19328009970297</v>
      </c>
      <c r="Z20">
        <f>IF($B20=TRUE,Z19*(1+VLOOKUP($A20,$C$43:$CP$69,Z$2,0)),Z19*(1+(VLOOKUP($A20,'MoM Forecasts'!$2:$25,'Unchained Indices'!Z$2,0))))</f>
        <v>100.15443010375557</v>
      </c>
      <c r="AA20">
        <f>IF($B20=TRUE,AA19*(1+VLOOKUP($A20,$C$43:$CP$69,AA$2,0)),AA19*(1+(VLOOKUP($A20,'MoM Forecasts'!$2:$25,'Unchained Indices'!AA$2,0))))</f>
        <v>100.27597364332051</v>
      </c>
      <c r="AB20">
        <f>IF($B20=TRUE,AB19*(1+VLOOKUP($A20,$C$43:$CP$69,AB$2,0)),AB19*(1+(VLOOKUP($A20,'MoM Forecasts'!$2:$25,'Unchained Indices'!AB$2,0))))</f>
        <v>100.20431868318646</v>
      </c>
      <c r="AC20">
        <f>IF($B20=TRUE,AC19*(1+VLOOKUP($A20,$C$43:$CP$69,AC$2,0)),AC19*(1+(VLOOKUP($A20,'MoM Forecasts'!$2:$25,'Unchained Indices'!AC$2,0))))</f>
        <v>100.72875171324405</v>
      </c>
      <c r="AD20">
        <f>IF($B20=TRUE,AD19*(1+VLOOKUP($A20,$C$43:$CP$69,AD$2,0)),AD19*(1+(VLOOKUP($A20,'MoM Forecasts'!$2:$25,'Unchained Indices'!AD$2,0))))</f>
        <v>100.17599550822284</v>
      </c>
      <c r="AE20">
        <f>IF($B20=TRUE,AE19*(1+VLOOKUP($A20,$C$43:$CP$69,AE$2,0)),AE19*(1+(VLOOKUP($A20,'MoM Forecasts'!$2:$25,'Unchained Indices'!AE$2,0))))</f>
        <v>99.90881205653281</v>
      </c>
      <c r="AF20">
        <f>IF($B20=TRUE,AF19*(1+VLOOKUP($A20,$C$43:$CP$69,AF$2,0)),AF19*(1+(VLOOKUP($A20,'MoM Forecasts'!$2:$25,'Unchained Indices'!AF$2,0))))</f>
        <v>99.40251997273613</v>
      </c>
      <c r="AG20">
        <f>IF($B20=TRUE,AG19*(1+VLOOKUP($A20,$C$43:$CP$69,AG$2,0)),AG19*(1+(VLOOKUP($A20,'MoM Forecasts'!$2:$25,'Unchained Indices'!AG$2,0))))</f>
        <v>100.22165764952526</v>
      </c>
      <c r="AH20">
        <f>IF($B20=TRUE,AH19*(1+VLOOKUP($A20,$C$43:$CP$69,AH$2,0)),AH19*(1+(VLOOKUP($A20,'MoM Forecasts'!$2:$25,'Unchained Indices'!AH$2,0))))</f>
        <v>100.19917205210531</v>
      </c>
      <c r="AI20">
        <f>IF($B20=TRUE,AI19*(1+VLOOKUP($A20,$C$43:$CP$69,AI$2,0)),AI19*(1+(VLOOKUP($A20,'MoM Forecasts'!$2:$25,'Unchained Indices'!AI$2,0))))</f>
        <v>95.178115879199808</v>
      </c>
      <c r="AJ20">
        <f>IF($B20=TRUE,AJ19*(1+VLOOKUP($A20,$C$43:$CP$69,AJ$2,0)),AJ19*(1+(VLOOKUP($A20,'MoM Forecasts'!$2:$25,'Unchained Indices'!AJ$2,0))))</f>
        <v>100.23788302706147</v>
      </c>
      <c r="AK20">
        <f>IF($B20=TRUE,AK19*(1+VLOOKUP($A20,$C$43:$CP$69,AK$2,0)),AK19*(1+(VLOOKUP($A20,'MoM Forecasts'!$2:$25,'Unchained Indices'!AK$2,0))))</f>
        <v>100.1504350333784</v>
      </c>
      <c r="AL20">
        <f>IF($B20=TRUE,AL19*(1+VLOOKUP($A20,$C$43:$CP$69,AL$2,0)),AL19*(1+(VLOOKUP($A20,'MoM Forecasts'!$2:$25,'Unchained Indices'!AL$2,0))))</f>
        <v>100.23755941381597</v>
      </c>
      <c r="AM20">
        <f>IF($B20=TRUE,AM19*(1+VLOOKUP($A20,$C$43:$CP$69,AM$2,0)),AM19*(1+(VLOOKUP($A20,'MoM Forecasts'!$2:$25,'Unchained Indices'!AM$2,0))))</f>
        <v>100.27272382361637</v>
      </c>
      <c r="AN20">
        <f>IF($B20=TRUE,AN19*(1+VLOOKUP($A20,$C$43:$CP$69,AN$2,0)),AN19*(1+(VLOOKUP($A20,'MoM Forecasts'!$2:$25,'Unchained Indices'!AN$2,0))))</f>
        <v>100.23084122973931</v>
      </c>
      <c r="AO20">
        <f>IF($B20=TRUE,AO19*(1+VLOOKUP($A20,$C$43:$CP$69,AO$2,0)),AO19*(1+(VLOOKUP($A20,'MoM Forecasts'!$2:$25,'Unchained Indices'!AO$2,0))))</f>
        <v>100.23980624383772</v>
      </c>
      <c r="AP20">
        <f>IF($B20=TRUE,AP19*(1+VLOOKUP($A20,$C$43:$CP$69,AP$2,0)),AP19*(1+(VLOOKUP($A20,'MoM Forecasts'!$2:$25,'Unchained Indices'!AP$2,0))))</f>
        <v>100.25317934410087</v>
      </c>
      <c r="AQ20">
        <f>IF($B20=TRUE,AQ19*(1+VLOOKUP($A20,$C$43:$CP$69,AQ$2,0)),AQ19*(1+(VLOOKUP($A20,'MoM Forecasts'!$2:$25,'Unchained Indices'!AQ$2,0))))</f>
        <v>100.10581306323522</v>
      </c>
      <c r="AR20">
        <f>IF($B20=TRUE,AR19*(1+VLOOKUP($A20,$C$43:$CP$69,AR$2,0)),AR19*(1+(VLOOKUP($A20,'MoM Forecasts'!$2:$25,'Unchained Indices'!AR$2,0))))</f>
        <v>100.21826996946484</v>
      </c>
      <c r="AS20">
        <f>IF($B20=TRUE,AS19*(1+VLOOKUP($A20,$C$43:$CP$69,AS$2,0)),AS19*(1+(VLOOKUP($A20,'MoM Forecasts'!$2:$25,'Unchained Indices'!AS$2,0))))</f>
        <v>100.24907964920565</v>
      </c>
      <c r="AT20">
        <f>IF($B20=TRUE,AT19*(1+VLOOKUP($A20,$C$43:$CP$69,AT$2,0)),AT19*(1+(VLOOKUP($A20,'MoM Forecasts'!$2:$25,'Unchained Indices'!AT$2,0))))</f>
        <v>100.17063864250709</v>
      </c>
      <c r="AU20">
        <f>IF($B20=TRUE,AU19*(1+VLOOKUP($A20,$C$43:$CP$69,AU$2,0)),AU19*(1+(VLOOKUP($A20,'MoM Forecasts'!$2:$25,'Unchained Indices'!AU$2,0))))</f>
        <v>100.30257004888266</v>
      </c>
      <c r="AV20">
        <f>IF($B20=TRUE,AV19*(1+VLOOKUP($A20,$C$43:$CP$69,AV$2,0)),AV19*(1+(VLOOKUP($A20,'MoM Forecasts'!$2:$25,'Unchained Indices'!AV$2,0))))</f>
        <v>100.26644305675789</v>
      </c>
      <c r="AW20">
        <f>IF($B20=TRUE,AW19*(1+VLOOKUP($A20,$C$43:$CP$69,AW$2,0)),AW19*(1+(VLOOKUP($A20,'MoM Forecasts'!$2:$25,'Unchained Indices'!AW$2,0))))</f>
        <v>100.25104868262532</v>
      </c>
      <c r="AX20">
        <f>IF($B20=TRUE,AX19*(1+VLOOKUP($A20,$C$43:$CP$69,AX$2,0)),AX19*(1+(VLOOKUP($A20,'MoM Forecasts'!$2:$25,'Unchained Indices'!AX$2,0))))</f>
        <v>103.87846358286193</v>
      </c>
      <c r="AY20">
        <f>IF($B20=TRUE,AY19*(1+VLOOKUP($A20,$C$43:$CP$69,AY$2,0)),AY19*(1+(VLOOKUP($A20,'MoM Forecasts'!$2:$25,'Unchained Indices'!AY$2,0))))</f>
        <v>100.32538210385356</v>
      </c>
      <c r="AZ20">
        <f>IF($B20=TRUE,AZ19*(1+VLOOKUP($A20,$C$43:$CP$69,AZ$2,0)),AZ19*(1+(VLOOKUP($A20,'MoM Forecasts'!$2:$25,'Unchained Indices'!AZ$2,0))))</f>
        <v>100.2637333073444</v>
      </c>
      <c r="BA20">
        <f>IF($B20=TRUE,BA19*(1+VLOOKUP($A20,$C$43:$CP$69,BA$2,0)),BA19*(1+(VLOOKUP($A20,'MoM Forecasts'!$2:$25,'Unchained Indices'!BA$2,0))))</f>
        <v>100.29605102992048</v>
      </c>
      <c r="BB20">
        <f>IF($B20=TRUE,BB19*(1+VLOOKUP($A20,$C$43:$CP$69,BB$2,0)),BB19*(1+(VLOOKUP($A20,'MoM Forecasts'!$2:$25,'Unchained Indices'!BB$2,0))))</f>
        <v>100.29988891690488</v>
      </c>
      <c r="BC20">
        <f>IF($B20=TRUE,BC19*(1+VLOOKUP($A20,$C$43:$CP$69,BC$2,0)),BC19*(1+(VLOOKUP($A20,'MoM Forecasts'!$2:$25,'Unchained Indices'!BC$2,0))))</f>
        <v>100.17872304490228</v>
      </c>
      <c r="BD20">
        <f>IF($B20=TRUE,BD19*(1+VLOOKUP($A20,$C$43:$CP$69,BD$2,0)),BD19*(1+(VLOOKUP($A20,'MoM Forecasts'!$2:$25,'Unchained Indices'!BD$2,0))))</f>
        <v>100.20154862544112</v>
      </c>
      <c r="BE20">
        <f>IF($B20=TRUE,BE19*(1+VLOOKUP($A20,$C$43:$CP$69,BE$2,0)),BE19*(1+(VLOOKUP($A20,'MoM Forecasts'!$2:$25,'Unchained Indices'!BE$2,0))))</f>
        <v>100.2475544847173</v>
      </c>
      <c r="BF20">
        <f>IF($B20=TRUE,BF19*(1+VLOOKUP($A20,$C$43:$CP$69,BF$2,0)),BF19*(1+(VLOOKUP($A20,'MoM Forecasts'!$2:$25,'Unchained Indices'!BF$2,0))))</f>
        <v>100.17420259901721</v>
      </c>
      <c r="BG20">
        <f>IF($B20=TRUE,BG19*(1+VLOOKUP($A20,$C$43:$CP$69,BG$2,0)),BG19*(1+(VLOOKUP($A20,'MoM Forecasts'!$2:$25,'Unchained Indices'!BG$2,0))))</f>
        <v>100.1986615625258</v>
      </c>
      <c r="BH20">
        <f>IF($B20=TRUE,BH19*(1+VLOOKUP($A20,$C$43:$CP$69,BH$2,0)),BH19*(1+(VLOOKUP($A20,'MoM Forecasts'!$2:$25,'Unchained Indices'!BH$2,0))))</f>
        <v>103.9402017347572</v>
      </c>
      <c r="BI20">
        <f>IF($B20=TRUE,BI19*(1+VLOOKUP($A20,$C$43:$CP$69,BI$2,0)),BI19*(1+(VLOOKUP($A20,'MoM Forecasts'!$2:$25,'Unchained Indices'!BI$2,0))))</f>
        <v>100.1928823886323</v>
      </c>
      <c r="BJ20">
        <f>IF($B20=TRUE,BJ19*(1+VLOOKUP($A20,$C$43:$CP$69,BJ$2,0)),BJ19*(1+(VLOOKUP($A20,'MoM Forecasts'!$2:$25,'Unchained Indices'!BJ$2,0))))</f>
        <v>100.19414927595561</v>
      </c>
      <c r="BK20">
        <f>IF($B20=TRUE,BK19*(1+VLOOKUP($A20,$C$43:$CP$69,BK$2,0)),BK19*(1+(VLOOKUP($A20,'MoM Forecasts'!$2:$25,'Unchained Indices'!BK$2,0))))</f>
        <v>99.83682000103336</v>
      </c>
      <c r="BL20">
        <f>IF($B20=TRUE,BL19*(1+VLOOKUP($A20,$C$43:$CP$69,BL$2,0)),BL19*(1+(VLOOKUP($A20,'MoM Forecasts'!$2:$25,'Unchained Indices'!BL$2,0))))</f>
        <v>100.15352162566509</v>
      </c>
      <c r="BM20">
        <f>IF($B20=TRUE,BM19*(1+VLOOKUP($A20,$C$43:$CP$69,BM$2,0)),BM19*(1+(VLOOKUP($A20,'MoM Forecasts'!$2:$25,'Unchained Indices'!BM$2,0))))</f>
        <v>100.16125908740798</v>
      </c>
      <c r="BN20">
        <f>IF($B20=TRUE,BN19*(1+VLOOKUP($A20,$C$43:$CP$69,BN$2,0)),BN19*(1+(VLOOKUP($A20,'MoM Forecasts'!$2:$25,'Unchained Indices'!BN$2,0))))</f>
        <v>100.21747875655976</v>
      </c>
      <c r="BO20">
        <f>IF($B20=TRUE,BO19*(1+VLOOKUP($A20,$C$43:$CP$69,BO$2,0)),BO19*(1+(VLOOKUP($A20,'MoM Forecasts'!$2:$25,'Unchained Indices'!BO$2,0))))</f>
        <v>100.27008956416068</v>
      </c>
      <c r="BP20">
        <f>IF($B20=TRUE,BP19*(1+VLOOKUP($A20,$C$43:$CP$69,BP$2,0)),BP19*(1+(VLOOKUP($A20,'MoM Forecasts'!$2:$25,'Unchained Indices'!BP$2,0))))</f>
        <v>99.994454973182073</v>
      </c>
      <c r="BQ20">
        <f>IF($B20=TRUE,BQ19*(1+VLOOKUP($A20,$C$43:$CP$69,BQ$2,0)),BQ19*(1+(VLOOKUP($A20,'MoM Forecasts'!$2:$25,'Unchained Indices'!BQ$2,0))))</f>
        <v>100.27207044588637</v>
      </c>
      <c r="BR20">
        <f>IF($B20=TRUE,BR19*(1+VLOOKUP($A20,$C$43:$CP$69,BR$2,0)),BR19*(1+(VLOOKUP($A20,'MoM Forecasts'!$2:$25,'Unchained Indices'!BR$2,0))))</f>
        <v>100.28207017189023</v>
      </c>
      <c r="BS20">
        <f>IF($B20=TRUE,BS19*(1+VLOOKUP($A20,$C$43:$CP$69,BS$2,0)),BS19*(1+(VLOOKUP($A20,'MoM Forecasts'!$2:$25,'Unchained Indices'!BS$2,0))))</f>
        <v>100.10428206614246</v>
      </c>
      <c r="BT20">
        <f>IF($B20=TRUE,BT19*(1+VLOOKUP($A20,$C$43:$CP$69,BT$2,0)),BT19*(1+(VLOOKUP($A20,'MoM Forecasts'!$2:$25,'Unchained Indices'!BT$2,0))))</f>
        <v>100.04672108394711</v>
      </c>
      <c r="BU20">
        <f>IF($B20=TRUE,BU19*(1+VLOOKUP($A20,$C$43:$CP$69,BU$2,0)),BU19*(1+(VLOOKUP($A20,'MoM Forecasts'!$2:$25,'Unchained Indices'!BU$2,0))))</f>
        <v>100.09387336202417</v>
      </c>
      <c r="BV20">
        <f>IF($B20=TRUE,BV19*(1+VLOOKUP($A20,$C$43:$CP$69,BV$2,0)),BV19*(1+(VLOOKUP($A20,'MoM Forecasts'!$2:$25,'Unchained Indices'!BV$2,0))))</f>
        <v>100.15792111429263</v>
      </c>
      <c r="BW20">
        <f>IF($B20=TRUE,BW19*(1+VLOOKUP($A20,$C$43:$CP$69,BW$2,0)),BW19*(1+(VLOOKUP($A20,'MoM Forecasts'!$2:$25,'Unchained Indices'!BW$2,0))))</f>
        <v>100.07729215853138</v>
      </c>
      <c r="BX20">
        <f>IF($B20=TRUE,BX19*(1+VLOOKUP($A20,$C$43:$CP$69,BX$2,0)),BX19*(1+(VLOOKUP($A20,'MoM Forecasts'!$2:$25,'Unchained Indices'!BX$2,0))))</f>
        <v>100.18132373052086</v>
      </c>
      <c r="BY20">
        <f>IF($B20=TRUE,BY19*(1+VLOOKUP($A20,$C$43:$CP$69,BY$2,0)),BY19*(1+(VLOOKUP($A20,'MoM Forecasts'!$2:$25,'Unchained Indices'!BY$2,0))))</f>
        <v>100.17113082282765</v>
      </c>
      <c r="BZ20">
        <f>IF($B20=TRUE,BZ19*(1+VLOOKUP($A20,$C$43:$CP$69,BZ$2,0)),BZ19*(1+(VLOOKUP($A20,'MoM Forecasts'!$2:$25,'Unchained Indices'!BZ$2,0))))</f>
        <v>100.28357339917982</v>
      </c>
      <c r="CA20">
        <f>IF($B20=TRUE,CA19*(1+VLOOKUP($A20,$C$43:$CP$69,CA$2,0)),CA19*(1+(VLOOKUP($A20,'MoM Forecasts'!$2:$25,'Unchained Indices'!CA$2,0))))</f>
        <v>99.885431133190096</v>
      </c>
      <c r="CB20">
        <f>IF($B20=TRUE,CB19*(1+VLOOKUP($A20,$C$43:$CP$69,CB$2,0)),CB19*(1+(VLOOKUP($A20,'MoM Forecasts'!$2:$25,'Unchained Indices'!CB$2,0))))</f>
        <v>100.27778687737064</v>
      </c>
      <c r="CC20">
        <f>IF($B20=TRUE,CC19*(1+VLOOKUP($A20,$C$43:$CP$69,CC$2,0)),CC19*(1+(VLOOKUP($A20,'MoM Forecasts'!$2:$25,'Unchained Indices'!CC$2,0))))</f>
        <v>100.21641397397777</v>
      </c>
      <c r="CD20">
        <f>IF($B20=TRUE,CD19*(1+VLOOKUP($A20,$C$43:$CP$69,CD$2,0)),CD19*(1+(VLOOKUP($A20,'MoM Forecasts'!$2:$25,'Unchained Indices'!CD$2,0))))</f>
        <v>100.26588195246939</v>
      </c>
      <c r="CE20">
        <f>IF($B20=TRUE,CE19*(1+VLOOKUP($A20,$C$43:$CP$69,CE$2,0)),CE19*(1+(VLOOKUP($A20,'MoM Forecasts'!$2:$25,'Unchained Indices'!CE$2,0))))</f>
        <v>100.26736488391224</v>
      </c>
      <c r="CF20">
        <f>IF($B20=TRUE,CF19*(1+VLOOKUP($A20,$C$43:$CP$69,CF$2,0)),CF19*(1+(VLOOKUP($A20,'MoM Forecasts'!$2:$25,'Unchained Indices'!CF$2,0))))</f>
        <v>100.26149728875068</v>
      </c>
      <c r="CG20">
        <f>IF($B20=TRUE,CG19*(1+VLOOKUP($A20,$C$43:$CP$69,CG$2,0)),CG19*(1+(VLOOKUP($A20,'MoM Forecasts'!$2:$25,'Unchained Indices'!CG$2,0))))</f>
        <v>105.61232080737453</v>
      </c>
      <c r="CH20">
        <f>IF($B20=TRUE,CH19*(1+VLOOKUP($A20,$C$43:$CP$69,CH$2,0)),CH19*(1+(VLOOKUP($A20,'MoM Forecasts'!$2:$25,'Unchained Indices'!CH$2,0))))</f>
        <v>93.42545612575114</v>
      </c>
      <c r="CI20">
        <f>IF($B20=TRUE,CI19*(1+VLOOKUP($A20,$C$43:$CP$69,CI$2,0)),CI19*(1+(VLOOKUP($A20,'MoM Forecasts'!$2:$25,'Unchained Indices'!CI$2,0))))</f>
        <v>102.49978472364879</v>
      </c>
      <c r="CJ20">
        <f>IF($B20=TRUE,CJ19*(1+VLOOKUP($A20,$C$43:$CP$69,CJ$2,0)),CJ19*(1+(VLOOKUP($A20,'MoM Forecasts'!$2:$25,'Unchained Indices'!CJ$2,0))))</f>
        <v>99.879245178131413</v>
      </c>
      <c r="CK20">
        <f>IF($B20=TRUE,CK19*(1+VLOOKUP($A20,$C$43:$CP$69,CK$2,0)),CK19*(1+(VLOOKUP($A20,'MoM Forecasts'!$2:$25,'Unchained Indices'!CK$2,0))))</f>
        <v>100.24180484829857</v>
      </c>
      <c r="CL20">
        <f>IF($B20=TRUE,CL19*(1+VLOOKUP($A20,$C$43:$CP$69,CL$2,0)),CL19*(1+(VLOOKUP($A20,'MoM Forecasts'!$2:$25,'Unchained Indices'!CL$2,0))))</f>
        <v>100.1193319645642</v>
      </c>
      <c r="CM20">
        <f>IF($B20=TRUE,CM19*(1+VLOOKUP($A20,$C$43:$CP$69,CM$2,0)),CM19*(1+(VLOOKUP($A20,'MoM Forecasts'!$2:$25,'Unchained Indices'!CM$2,0))))</f>
        <v>100.2024349299912</v>
      </c>
      <c r="CN20">
        <f>IF($B20=TRUE,CN19*(1+VLOOKUP($A20,$C$43:$CP$69,CN$2,0)),CN19*(1+(VLOOKUP($A20,'MoM Forecasts'!$2:$25,'Unchained Indices'!CN$2,0))))</f>
        <v>100.29527515156023</v>
      </c>
      <c r="CO20">
        <f>IF($B20=TRUE,CO19*(1+VLOOKUP($A20,$C$43:$CP$69,CO$2,0)),CO19*(1+(VLOOKUP($A20,'MoM Forecasts'!$2:$25,'Unchained Indices'!CO$2,0))))</f>
        <v>100.2793878000695</v>
      </c>
      <c r="CP20">
        <f>IF($B20=TRUE,CP19*(1+VLOOKUP($A20,$C$43:$CP$69,CP$2,0)),CP19*(1+(VLOOKUP($A20,'MoM Forecasts'!$2:$25,'Unchained Indices'!CP$2,0))))</f>
        <v>100.26771779138095</v>
      </c>
    </row>
    <row r="21" spans="1:94" x14ac:dyDescent="0.25">
      <c r="A21" s="6">
        <f t="shared" si="4"/>
        <v>45047</v>
      </c>
      <c r="B21" s="8" t="str">
        <f>IF(A21&lt;='MoM Forecasts'!$A$2,TRUE,"")</f>
        <v/>
      </c>
      <c r="C21" s="7">
        <f t="shared" si="5"/>
        <v>44927</v>
      </c>
      <c r="D21">
        <f>IF($B21=TRUE,D20*(1+VLOOKUP($A21,$C$43:$CP$69,D$2,0)),D20*(1+(VLOOKUP($A21,'MoM Forecasts'!$2:$25,'Unchained Indices'!D$2,0))))</f>
        <v>100.26218157432048</v>
      </c>
      <c r="E21">
        <f>IF($B21=TRUE,E20*(1+VLOOKUP($A21,$C$43:$CP$69,E$2,0)),E20*(1+(VLOOKUP($A21,'MoM Forecasts'!$2:$25,'Unchained Indices'!E$2,0))))</f>
        <v>100.23402864672661</v>
      </c>
      <c r="F21">
        <f>IF($B21=TRUE,F20*(1+VLOOKUP($A21,$C$43:$CP$69,F$2,0)),F20*(1+(VLOOKUP($A21,'MoM Forecasts'!$2:$25,'Unchained Indices'!F$2,0))))</f>
        <v>100.27167686890054</v>
      </c>
      <c r="G21">
        <f>IF($B21=TRUE,G20*(1+VLOOKUP($A21,$C$43:$CP$69,G$2,0)),G20*(1+(VLOOKUP($A21,'MoM Forecasts'!$2:$25,'Unchained Indices'!G$2,0))))</f>
        <v>100.2499365335582</v>
      </c>
      <c r="H21">
        <f>IF($B21=TRUE,H20*(1+VLOOKUP($A21,$C$43:$CP$69,H$2,0)),H20*(1+(VLOOKUP($A21,'MoM Forecasts'!$2:$25,'Unchained Indices'!H$2,0))))</f>
        <v>100.32813382583984</v>
      </c>
      <c r="I21">
        <f>IF($B21=TRUE,I20*(1+VLOOKUP($A21,$C$43:$CP$69,I$2,0)),I20*(1+(VLOOKUP($A21,'MoM Forecasts'!$2:$25,'Unchained Indices'!I$2,0))))</f>
        <v>100.32777850365051</v>
      </c>
      <c r="J21">
        <f>IF($B21=TRUE,J20*(1+VLOOKUP($A21,$C$43:$CP$69,J$2,0)),J20*(1+(VLOOKUP($A21,'MoM Forecasts'!$2:$25,'Unchained Indices'!J$2,0))))</f>
        <v>100.28070477389068</v>
      </c>
      <c r="K21">
        <f>IF($B21=TRUE,K20*(1+VLOOKUP($A21,$C$43:$CP$69,K$2,0)),K20*(1+(VLOOKUP($A21,'MoM Forecasts'!$2:$25,'Unchained Indices'!K$2,0))))</f>
        <v>100.25107411014153</v>
      </c>
      <c r="L21">
        <f>IF($B21=TRUE,L20*(1+VLOOKUP($A21,$C$43:$CP$69,L$2,0)),L20*(1+(VLOOKUP($A21,'MoM Forecasts'!$2:$25,'Unchained Indices'!L$2,0))))</f>
        <v>100.10145366565926</v>
      </c>
      <c r="M21">
        <f>IF($B21=TRUE,M20*(1+VLOOKUP($A21,$C$43:$CP$69,M$2,0)),M20*(1+(VLOOKUP($A21,'MoM Forecasts'!$2:$25,'Unchained Indices'!M$2,0))))</f>
        <v>100.22144275178674</v>
      </c>
      <c r="N21">
        <f>IF($B21=TRUE,N20*(1+VLOOKUP($A21,$C$43:$CP$69,N$2,0)),N20*(1+(VLOOKUP($A21,'MoM Forecasts'!$2:$25,'Unchained Indices'!N$2,0))))</f>
        <v>100.31238961375736</v>
      </c>
      <c r="O21">
        <f>IF($B21=TRUE,O20*(1+VLOOKUP($A21,$C$43:$CP$69,O$2,0)),O20*(1+(VLOOKUP($A21,'MoM Forecasts'!$2:$25,'Unchained Indices'!O$2,0))))</f>
        <v>100.31501754363067</v>
      </c>
      <c r="P21">
        <f>IF($B21=TRUE,P20*(1+VLOOKUP($A21,$C$43:$CP$69,P$2,0)),P20*(1+(VLOOKUP($A21,'MoM Forecasts'!$2:$25,'Unchained Indices'!P$2,0))))</f>
        <v>100.30504375196664</v>
      </c>
      <c r="Q21">
        <f>IF($B21=TRUE,Q20*(1+VLOOKUP($A21,$C$43:$CP$69,Q$2,0)),Q20*(1+(VLOOKUP($A21,'MoM Forecasts'!$2:$25,'Unchained Indices'!Q$2,0))))</f>
        <v>100.30967303833752</v>
      </c>
      <c r="R21">
        <f>IF($B21=TRUE,R20*(1+VLOOKUP($A21,$C$43:$CP$69,R$2,0)),R20*(1+(VLOOKUP($A21,'MoM Forecasts'!$2:$25,'Unchained Indices'!R$2,0))))</f>
        <v>100.2107875434434</v>
      </c>
      <c r="S21">
        <f>IF($B21=TRUE,S20*(1+VLOOKUP($A21,$C$43:$CP$69,S$2,0)),S20*(1+(VLOOKUP($A21,'MoM Forecasts'!$2:$25,'Unchained Indices'!S$2,0))))</f>
        <v>100.2822522134492</v>
      </c>
      <c r="T21">
        <f>IF($B21=TRUE,T20*(1+VLOOKUP($A21,$C$43:$CP$69,T$2,0)),T20*(1+(VLOOKUP($A21,'MoM Forecasts'!$2:$25,'Unchained Indices'!T$2,0))))</f>
        <v>100.31108251052096</v>
      </c>
      <c r="U21">
        <f>IF($B21=TRUE,U20*(1+VLOOKUP($A21,$C$43:$CP$69,U$2,0)),U20*(1+(VLOOKUP($A21,'MoM Forecasts'!$2:$25,'Unchained Indices'!U$2,0))))</f>
        <v>100.25300787962783</v>
      </c>
      <c r="V21">
        <f>IF($B21=TRUE,V20*(1+VLOOKUP($A21,$C$43:$CP$69,V$2,0)),V20*(1+(VLOOKUP($A21,'MoM Forecasts'!$2:$25,'Unchained Indices'!V$2,0))))</f>
        <v>100.18813128578225</v>
      </c>
      <c r="W21">
        <f>IF($B21=TRUE,W20*(1+VLOOKUP($A21,$C$43:$CP$69,W$2,0)),W20*(1+(VLOOKUP($A21,'MoM Forecasts'!$2:$25,'Unchained Indices'!W$2,0))))</f>
        <v>100.24074513489175</v>
      </c>
      <c r="X21">
        <f>IF($B21=TRUE,X20*(1+VLOOKUP($A21,$C$43:$CP$69,X$2,0)),X20*(1+(VLOOKUP($A21,'MoM Forecasts'!$2:$25,'Unchained Indices'!X$2,0))))</f>
        <v>100.24917398552222</v>
      </c>
      <c r="Y21">
        <f>IF($B21=TRUE,Y20*(1+VLOOKUP($A21,$C$43:$CP$69,Y$2,0)),Y20*(1+(VLOOKUP($A21,'MoM Forecasts'!$2:$25,'Unchained Indices'!Y$2,0))))</f>
        <v>100.25770679960395</v>
      </c>
      <c r="Z21">
        <f>IF($B21=TRUE,Z20*(1+VLOOKUP($A21,$C$43:$CP$69,Z$2,0)),Z20*(1+(VLOOKUP($A21,'MoM Forecasts'!$2:$25,'Unchained Indices'!Z$2,0))))</f>
        <v>100.20590680500744</v>
      </c>
      <c r="AA21">
        <f>IF($B21=TRUE,AA20*(1+VLOOKUP($A21,$C$43:$CP$69,AA$2,0)),AA20*(1+(VLOOKUP($A21,'MoM Forecasts'!$2:$25,'Unchained Indices'!AA$2,0))))</f>
        <v>100.36796485776068</v>
      </c>
      <c r="AB21">
        <f>IF($B21=TRUE,AB20*(1+VLOOKUP($A21,$C$43:$CP$69,AB$2,0)),AB20*(1+(VLOOKUP($A21,'MoM Forecasts'!$2:$25,'Unchained Indices'!AB$2,0))))</f>
        <v>100.27242491091526</v>
      </c>
      <c r="AC21">
        <f>IF($B21=TRUE,AC20*(1+VLOOKUP($A21,$C$43:$CP$69,AC$2,0)),AC20*(1+(VLOOKUP($A21,'MoM Forecasts'!$2:$25,'Unchained Indices'!AC$2,0))))</f>
        <v>103.43443667123604</v>
      </c>
      <c r="AD21">
        <f>IF($B21=TRUE,AD20*(1+VLOOKUP($A21,$C$43:$CP$69,AD$2,0)),AD20*(1+(VLOOKUP($A21,'MoM Forecasts'!$2:$25,'Unchained Indices'!AD$2,0))))</f>
        <v>100.23466067763044</v>
      </c>
      <c r="AE21">
        <f>IF($B21=TRUE,AE20*(1+VLOOKUP($A21,$C$43:$CP$69,AE$2,0)),AE20*(1+(VLOOKUP($A21,'MoM Forecasts'!$2:$25,'Unchained Indices'!AE$2,0))))</f>
        <v>100.09776221738562</v>
      </c>
      <c r="AF21">
        <f>IF($B21=TRUE,AF20*(1+VLOOKUP($A21,$C$43:$CP$69,AF$2,0)),AF20*(1+(VLOOKUP($A21,'MoM Forecasts'!$2:$25,'Unchained Indices'!AF$2,0))))</f>
        <v>99.49311494639187</v>
      </c>
      <c r="AG21">
        <f>IF($B21=TRUE,AG20*(1+VLOOKUP($A21,$C$43:$CP$69,AG$2,0)),AG20*(1+(VLOOKUP($A21,'MoM Forecasts'!$2:$25,'Unchained Indices'!AG$2,0))))</f>
        <v>100.29554353270035</v>
      </c>
      <c r="AH21">
        <f>IF($B21=TRUE,AH20*(1+VLOOKUP($A21,$C$43:$CP$69,AH$2,0)),AH20*(1+(VLOOKUP($A21,'MoM Forecasts'!$2:$25,'Unchained Indices'!AH$2,0))))</f>
        <v>100.26556273614041</v>
      </c>
      <c r="AI21">
        <f>IF($B21=TRUE,AI20*(1+VLOOKUP($A21,$C$43:$CP$69,AI$2,0)),AI20*(1+(VLOOKUP($A21,'MoM Forecasts'!$2:$25,'Unchained Indices'!AI$2,0))))</f>
        <v>95.06871479893266</v>
      </c>
      <c r="AJ21">
        <f>IF($B21=TRUE,AJ20*(1+VLOOKUP($A21,$C$43:$CP$69,AJ$2,0)),AJ20*(1+(VLOOKUP($A21,'MoM Forecasts'!$2:$25,'Unchained Indices'!AJ$2,0))))</f>
        <v>100.31717736941529</v>
      </c>
      <c r="AK21">
        <f>IF($B21=TRUE,AK20*(1+VLOOKUP($A21,$C$43:$CP$69,AK$2,0)),AK20*(1+(VLOOKUP($A21,'MoM Forecasts'!$2:$25,'Unchained Indices'!AK$2,0))))</f>
        <v>100.20058004450452</v>
      </c>
      <c r="AL21">
        <f>IF($B21=TRUE,AL20*(1+VLOOKUP($A21,$C$43:$CP$69,AL$2,0)),AL20*(1+(VLOOKUP($A21,'MoM Forecasts'!$2:$25,'Unchained Indices'!AL$2,0))))</f>
        <v>100.31674588508797</v>
      </c>
      <c r="AM21">
        <f>IF($B21=TRUE,AM20*(1+VLOOKUP($A21,$C$43:$CP$69,AM$2,0)),AM20*(1+(VLOOKUP($A21,'MoM Forecasts'!$2:$25,'Unchained Indices'!AM$2,0))))</f>
        <v>100.36363176482182</v>
      </c>
      <c r="AN21">
        <f>IF($B21=TRUE,AN20*(1+VLOOKUP($A21,$C$43:$CP$69,AN$2,0)),AN20*(1+(VLOOKUP($A21,'MoM Forecasts'!$2:$25,'Unchained Indices'!AN$2,0))))</f>
        <v>100.30778830631908</v>
      </c>
      <c r="AO21">
        <f>IF($B21=TRUE,AO20*(1+VLOOKUP($A21,$C$43:$CP$69,AO$2,0)),AO20*(1+(VLOOKUP($A21,'MoM Forecasts'!$2:$25,'Unchained Indices'!AO$2,0))))</f>
        <v>100.3197416584503</v>
      </c>
      <c r="AP21">
        <f>IF($B21=TRUE,AP20*(1+VLOOKUP($A21,$C$43:$CP$69,AP$2,0)),AP20*(1+(VLOOKUP($A21,'MoM Forecasts'!$2:$25,'Unchained Indices'!AP$2,0))))</f>
        <v>100.33757245880116</v>
      </c>
      <c r="AQ21">
        <f>IF($B21=TRUE,AQ20*(1+VLOOKUP($A21,$C$43:$CP$69,AQ$2,0)),AQ20*(1+(VLOOKUP($A21,'MoM Forecasts'!$2:$25,'Unchained Indices'!AQ$2,0))))</f>
        <v>100.14108408431365</v>
      </c>
      <c r="AR21">
        <f>IF($B21=TRUE,AR20*(1+VLOOKUP($A21,$C$43:$CP$69,AR$2,0)),AR20*(1+(VLOOKUP($A21,'MoM Forecasts'!$2:$25,'Unchained Indices'!AR$2,0))))</f>
        <v>100.29102662595312</v>
      </c>
      <c r="AS21">
        <f>IF($B21=TRUE,AS20*(1+VLOOKUP($A21,$C$43:$CP$69,AS$2,0)),AS20*(1+(VLOOKUP($A21,'MoM Forecasts'!$2:$25,'Unchained Indices'!AS$2,0))))</f>
        <v>100.33210619894085</v>
      </c>
      <c r="AT21">
        <f>IF($B21=TRUE,AT20*(1+VLOOKUP($A21,$C$43:$CP$69,AT$2,0)),AT20*(1+(VLOOKUP($A21,'MoM Forecasts'!$2:$25,'Unchained Indices'!AT$2,0))))</f>
        <v>100.22751819000946</v>
      </c>
      <c r="AU21">
        <f>IF($B21=TRUE,AU20*(1+VLOOKUP($A21,$C$43:$CP$69,AU$2,0)),AU20*(1+(VLOOKUP($A21,'MoM Forecasts'!$2:$25,'Unchained Indices'!AU$2,0))))</f>
        <v>100.40342673184352</v>
      </c>
      <c r="AV21">
        <f>IF($B21=TRUE,AV20*(1+VLOOKUP($A21,$C$43:$CP$69,AV$2,0)),AV20*(1+(VLOOKUP($A21,'MoM Forecasts'!$2:$25,'Unchained Indices'!AV$2,0))))</f>
        <v>100.35525740901052</v>
      </c>
      <c r="AW21">
        <f>IF($B21=TRUE,AW20*(1+VLOOKUP($A21,$C$43:$CP$69,AW$2,0)),AW20*(1+(VLOOKUP($A21,'MoM Forecasts'!$2:$25,'Unchained Indices'!AW$2,0))))</f>
        <v>100.33473157683376</v>
      </c>
      <c r="AX21">
        <f>IF($B21=TRUE,AX20*(1+VLOOKUP($A21,$C$43:$CP$69,AX$2,0)),AX20*(1+(VLOOKUP($A21,'MoM Forecasts'!$2:$25,'Unchained Indices'!AX$2,0))))</f>
        <v>103.42136416074665</v>
      </c>
      <c r="AY21">
        <f>IF($B21=TRUE,AY20*(1+VLOOKUP($A21,$C$43:$CP$69,AY$2,0)),AY20*(1+(VLOOKUP($A21,'MoM Forecasts'!$2:$25,'Unchained Indices'!AY$2,0))))</f>
        <v>100.43384280513807</v>
      </c>
      <c r="AZ21">
        <f>IF($B21=TRUE,AZ20*(1+VLOOKUP($A21,$C$43:$CP$69,AZ$2,0)),AZ20*(1+(VLOOKUP($A21,'MoM Forecasts'!$2:$25,'Unchained Indices'!AZ$2,0))))</f>
        <v>100.35164440979254</v>
      </c>
      <c r="BA21">
        <f>IF($B21=TRUE,BA20*(1+VLOOKUP($A21,$C$43:$CP$69,BA$2,0)),BA20*(1+(VLOOKUP($A21,'MoM Forecasts'!$2:$25,'Unchained Indices'!BA$2,0))))</f>
        <v>100.39473470656066</v>
      </c>
      <c r="BB21">
        <f>IF($B21=TRUE,BB20*(1+VLOOKUP($A21,$C$43:$CP$69,BB$2,0)),BB20*(1+(VLOOKUP($A21,'MoM Forecasts'!$2:$25,'Unchained Indices'!BB$2,0))))</f>
        <v>100.39985188920652</v>
      </c>
      <c r="BC21">
        <f>IF($B21=TRUE,BC20*(1+VLOOKUP($A21,$C$43:$CP$69,BC$2,0)),BC20*(1+(VLOOKUP($A21,'MoM Forecasts'!$2:$25,'Unchained Indices'!BC$2,0))))</f>
        <v>100.23829739320304</v>
      </c>
      <c r="BD21">
        <f>IF($B21=TRUE,BD20*(1+VLOOKUP($A21,$C$43:$CP$69,BD$2,0)),BD20*(1+(VLOOKUP($A21,'MoM Forecasts'!$2:$25,'Unchained Indices'!BD$2,0))))</f>
        <v>100.26873150058817</v>
      </c>
      <c r="BE21">
        <f>IF($B21=TRUE,BE20*(1+VLOOKUP($A21,$C$43:$CP$69,BE$2,0)),BE20*(1+(VLOOKUP($A21,'MoM Forecasts'!$2:$25,'Unchained Indices'!BE$2,0))))</f>
        <v>100.33007264628971</v>
      </c>
      <c r="BF21">
        <f>IF($B21=TRUE,BF20*(1+VLOOKUP($A21,$C$43:$CP$69,BF$2,0)),BF20*(1+(VLOOKUP($A21,'MoM Forecasts'!$2:$25,'Unchained Indices'!BF$2,0))))</f>
        <v>100.23227013202296</v>
      </c>
      <c r="BG21">
        <f>IF($B21=TRUE,BG20*(1+VLOOKUP($A21,$C$43:$CP$69,BG$2,0)),BG20*(1+(VLOOKUP($A21,'MoM Forecasts'!$2:$25,'Unchained Indices'!BG$2,0))))</f>
        <v>100.26488208336774</v>
      </c>
      <c r="BH21">
        <f>IF($B21=TRUE,BH20*(1+VLOOKUP($A21,$C$43:$CP$69,BH$2,0)),BH20*(1+(VLOOKUP($A21,'MoM Forecasts'!$2:$25,'Unchained Indices'!BH$2,0))))</f>
        <v>103.01034728581665</v>
      </c>
      <c r="BI21">
        <f>IF($B21=TRUE,BI20*(1+VLOOKUP($A21,$C$43:$CP$69,BI$2,0)),BI20*(1+(VLOOKUP($A21,'MoM Forecasts'!$2:$25,'Unchained Indices'!BI$2,0))))</f>
        <v>100.25717651817639</v>
      </c>
      <c r="BJ21">
        <f>IF($B21=TRUE,BJ20*(1+VLOOKUP($A21,$C$43:$CP$69,BJ$2,0)),BJ20*(1+(VLOOKUP($A21,'MoM Forecasts'!$2:$25,'Unchained Indices'!BJ$2,0))))</f>
        <v>100.25886570127415</v>
      </c>
      <c r="BK21">
        <f>IF($B21=TRUE,BK20*(1+VLOOKUP($A21,$C$43:$CP$69,BK$2,0)),BK20*(1+(VLOOKUP($A21,'MoM Forecasts'!$2:$25,'Unchained Indices'!BK$2,0))))</f>
        <v>99.782426668044479</v>
      </c>
      <c r="BL21">
        <f>IF($B21=TRUE,BL20*(1+VLOOKUP($A21,$C$43:$CP$69,BL$2,0)),BL20*(1+(VLOOKUP($A21,'MoM Forecasts'!$2:$25,'Unchained Indices'!BL$2,0))))</f>
        <v>100.20469550088679</v>
      </c>
      <c r="BM21">
        <f>IF($B21=TRUE,BM20*(1+VLOOKUP($A21,$C$43:$CP$69,BM$2,0)),BM20*(1+(VLOOKUP($A21,'MoM Forecasts'!$2:$25,'Unchained Indices'!BM$2,0))))</f>
        <v>100.21501211654399</v>
      </c>
      <c r="BN21">
        <f>IF($B21=TRUE,BN20*(1+VLOOKUP($A21,$C$43:$CP$69,BN$2,0)),BN20*(1+(VLOOKUP($A21,'MoM Forecasts'!$2:$25,'Unchained Indices'!BN$2,0))))</f>
        <v>100.28997167541303</v>
      </c>
      <c r="BO21">
        <f>IF($B21=TRUE,BO20*(1+VLOOKUP($A21,$C$43:$CP$69,BO$2,0)),BO20*(1+(VLOOKUP($A21,'MoM Forecasts'!$2:$25,'Unchained Indices'!BO$2,0))))</f>
        <v>100.3601194188809</v>
      </c>
      <c r="BP21">
        <f>IF($B21=TRUE,BP20*(1+VLOOKUP($A21,$C$43:$CP$69,BP$2,0)),BP20*(1+(VLOOKUP($A21,'MoM Forecasts'!$2:$25,'Unchained Indices'!BP$2,0))))</f>
        <v>99.992606630909421</v>
      </c>
      <c r="BQ21">
        <f>IF($B21=TRUE,BQ20*(1+VLOOKUP($A21,$C$43:$CP$69,BQ$2,0)),BQ20*(1+(VLOOKUP($A21,'MoM Forecasts'!$2:$25,'Unchained Indices'!BQ$2,0))))</f>
        <v>100.36276059451515</v>
      </c>
      <c r="BR21">
        <f>IF($B21=TRUE,BR20*(1+VLOOKUP($A21,$C$43:$CP$69,BR$2,0)),BR20*(1+(VLOOKUP($A21,'MoM Forecasts'!$2:$25,'Unchained Indices'!BR$2,0))))</f>
        <v>100.37609356252032</v>
      </c>
      <c r="BS21">
        <f>IF($B21=TRUE,BS20*(1+VLOOKUP($A21,$C$43:$CP$69,BS$2,0)),BS20*(1+(VLOOKUP($A21,'MoM Forecasts'!$2:$25,'Unchained Indices'!BS$2,0))))</f>
        <v>100.1390427548566</v>
      </c>
      <c r="BT21">
        <f>IF($B21=TRUE,BT20*(1+VLOOKUP($A21,$C$43:$CP$69,BT$2,0)),BT20*(1+(VLOOKUP($A21,'MoM Forecasts'!$2:$25,'Unchained Indices'!BT$2,0))))</f>
        <v>100.06229477859614</v>
      </c>
      <c r="BU21">
        <f>IF($B21=TRUE,BU20*(1+VLOOKUP($A21,$C$43:$CP$69,BU$2,0)),BU20*(1+(VLOOKUP($A21,'MoM Forecasts'!$2:$25,'Unchained Indices'!BU$2,0))))</f>
        <v>100.12516448269889</v>
      </c>
      <c r="BV21">
        <f>IF($B21=TRUE,BV20*(1+VLOOKUP($A21,$C$43:$CP$69,BV$2,0)),BV20*(1+(VLOOKUP($A21,'MoM Forecasts'!$2:$25,'Unchained Indices'!BV$2,0))))</f>
        <v>100.21056148572352</v>
      </c>
      <c r="BW21">
        <f>IF($B21=TRUE,BW20*(1+VLOOKUP($A21,$C$43:$CP$69,BW$2,0)),BW20*(1+(VLOOKUP($A21,'MoM Forecasts'!$2:$25,'Unchained Indices'!BW$2,0))))</f>
        <v>100.10305621137518</v>
      </c>
      <c r="BX21">
        <f>IF($B21=TRUE,BX20*(1+VLOOKUP($A21,$C$43:$CP$69,BX$2,0)),BX20*(1+(VLOOKUP($A21,'MoM Forecasts'!$2:$25,'Unchained Indices'!BX$2,0))))</f>
        <v>100.2417649740278</v>
      </c>
      <c r="BY21">
        <f>IF($B21=TRUE,BY20*(1+VLOOKUP($A21,$C$43:$CP$69,BY$2,0)),BY20*(1+(VLOOKUP($A21,'MoM Forecasts'!$2:$25,'Unchained Indices'!BY$2,0))))</f>
        <v>100.22817443043687</v>
      </c>
      <c r="BZ21">
        <f>IF($B21=TRUE,BZ20*(1+VLOOKUP($A21,$C$43:$CP$69,BZ$2,0)),BZ20*(1+(VLOOKUP($A21,'MoM Forecasts'!$2:$25,'Unchained Indices'!BZ$2,0))))</f>
        <v>100.37809786557311</v>
      </c>
      <c r="CA21">
        <f>IF($B21=TRUE,CA20*(1+VLOOKUP($A21,$C$43:$CP$69,CA$2,0)),CA20*(1+(VLOOKUP($A21,'MoM Forecasts'!$2:$25,'Unchained Indices'!CA$2,0))))</f>
        <v>99.847241510920142</v>
      </c>
      <c r="CB21">
        <f>IF($B21=TRUE,CB20*(1+VLOOKUP($A21,$C$43:$CP$69,CB$2,0)),CB20*(1+(VLOOKUP($A21,'MoM Forecasts'!$2:$25,'Unchained Indices'!CB$2,0))))</f>
        <v>100.37038250316088</v>
      </c>
      <c r="CC21">
        <f>IF($B21=TRUE,CC20*(1+VLOOKUP($A21,$C$43:$CP$69,CC$2,0)),CC20*(1+(VLOOKUP($A21,'MoM Forecasts'!$2:$25,'Unchained Indices'!CC$2,0))))</f>
        <v>100.2885519653037</v>
      </c>
      <c r="CD21">
        <f>IF($B21=TRUE,CD20*(1+VLOOKUP($A21,$C$43:$CP$69,CD$2,0)),CD20*(1+(VLOOKUP($A21,'MoM Forecasts'!$2:$25,'Unchained Indices'!CD$2,0))))</f>
        <v>100.35450926995918</v>
      </c>
      <c r="CE21">
        <f>IF($B21=TRUE,CE20*(1+VLOOKUP($A21,$C$43:$CP$69,CE$2,0)),CE20*(1+(VLOOKUP($A21,'MoM Forecasts'!$2:$25,'Unchained Indices'!CE$2,0))))</f>
        <v>100.35648651188298</v>
      </c>
      <c r="CF21">
        <f>IF($B21=TRUE,CF20*(1+VLOOKUP($A21,$C$43:$CP$69,CF$2,0)),CF20*(1+(VLOOKUP($A21,'MoM Forecasts'!$2:$25,'Unchained Indices'!CF$2,0))))</f>
        <v>100.34866305166759</v>
      </c>
      <c r="CG21">
        <f>IF($B21=TRUE,CG20*(1+VLOOKUP($A21,$C$43:$CP$69,CG$2,0)),CG20*(1+(VLOOKUP($A21,'MoM Forecasts'!$2:$25,'Unchained Indices'!CG$2,0))))</f>
        <v>100.31347708270242</v>
      </c>
      <c r="CH21">
        <f>IF($B21=TRUE,CH20*(1+VLOOKUP($A21,$C$43:$CP$69,CH$2,0)),CH20*(1+(VLOOKUP($A21,'MoM Forecasts'!$2:$25,'Unchained Indices'!CH$2,0))))</f>
        <v>91.23394150100151</v>
      </c>
      <c r="CI21">
        <f>IF($B21=TRUE,CI20*(1+VLOOKUP($A21,$C$43:$CP$69,CI$2,0)),CI20*(1+(VLOOKUP($A21,'MoM Forecasts'!$2:$25,'Unchained Indices'!CI$2,0))))</f>
        <v>102.42345275461228</v>
      </c>
      <c r="CJ21">
        <f>IF($B21=TRUE,CJ20*(1+VLOOKUP($A21,$C$43:$CP$69,CJ$2,0)),CJ20*(1+(VLOOKUP($A21,'MoM Forecasts'!$2:$25,'Unchained Indices'!CJ$2,0))))</f>
        <v>99.838993570841879</v>
      </c>
      <c r="CK21">
        <f>IF($B21=TRUE,CK20*(1+VLOOKUP($A21,$C$43:$CP$69,CK$2,0)),CK20*(1+(VLOOKUP($A21,'MoM Forecasts'!$2:$25,'Unchained Indices'!CK$2,0))))</f>
        <v>100.3224064643981</v>
      </c>
      <c r="CL21">
        <f>IF($B21=TRUE,CL20*(1+VLOOKUP($A21,$C$43:$CP$69,CL$2,0)),CL20*(1+(VLOOKUP($A21,'MoM Forecasts'!$2:$25,'Unchained Indices'!CL$2,0))))</f>
        <v>100.1591092860856</v>
      </c>
      <c r="CM21">
        <f>IF($B21=TRUE,CM20*(1+VLOOKUP($A21,$C$43:$CP$69,CM$2,0)),CM20*(1+(VLOOKUP($A21,'MoM Forecasts'!$2:$25,'Unchained Indices'!CM$2,0))))</f>
        <v>100.26991323998827</v>
      </c>
      <c r="CN21">
        <f>IF($B21=TRUE,CN20*(1+VLOOKUP($A21,$C$43:$CP$69,CN$2,0)),CN20*(1+(VLOOKUP($A21,'MoM Forecasts'!$2:$25,'Unchained Indices'!CN$2,0))))</f>
        <v>100.39370020208032</v>
      </c>
      <c r="CO21">
        <f>IF($B21=TRUE,CO20*(1+VLOOKUP($A21,$C$43:$CP$69,CO$2,0)),CO20*(1+(VLOOKUP($A21,'MoM Forecasts'!$2:$25,'Unchained Indices'!CO$2,0))))</f>
        <v>100.37251706675934</v>
      </c>
      <c r="CP21">
        <f>IF($B21=TRUE,CP20*(1+VLOOKUP($A21,$C$43:$CP$69,CP$2,0)),CP20*(1+(VLOOKUP($A21,'MoM Forecasts'!$2:$25,'Unchained Indices'!CP$2,0))))</f>
        <v>100.35695705517458</v>
      </c>
    </row>
    <row r="22" spans="1:94" x14ac:dyDescent="0.25">
      <c r="A22" s="6">
        <f t="shared" si="4"/>
        <v>45078</v>
      </c>
      <c r="B22" s="8" t="str">
        <f>IF(A22&lt;='MoM Forecasts'!$A$2,TRUE,"")</f>
        <v/>
      </c>
      <c r="C22" s="7">
        <f>EDATE(A22,-(MONTH(A22)-1))</f>
        <v>44927</v>
      </c>
      <c r="D22">
        <f>IF($B22=TRUE,D21*(1+VLOOKUP($A22,$C$43:$CP$69,D$2,0)),D21*(1+(VLOOKUP($A22,'MoM Forecasts'!$2:$25,'Unchained Indices'!D$2,0))))</f>
        <v>100.3277269679006</v>
      </c>
      <c r="E22">
        <f>IF($B22=TRUE,E21*(1+VLOOKUP($A22,$C$43:$CP$69,E$2,0)),E21*(1+(VLOOKUP($A22,'MoM Forecasts'!$2:$25,'Unchained Indices'!E$2,0))))</f>
        <v>100.29253580840827</v>
      </c>
      <c r="F22">
        <f>IF($B22=TRUE,F21*(1+VLOOKUP($A22,$C$43:$CP$69,F$2,0)),F21*(1+(VLOOKUP($A22,'MoM Forecasts'!$2:$25,'Unchained Indices'!F$2,0))))</f>
        <v>100.33959608612568</v>
      </c>
      <c r="G22">
        <f>IF($B22=TRUE,G21*(1+VLOOKUP($A22,$C$43:$CP$69,G$2,0)),G21*(1+(VLOOKUP($A22,'MoM Forecasts'!$2:$25,'Unchained Indices'!G$2,0))))</f>
        <v>100.31242066694774</v>
      </c>
      <c r="H22">
        <f>IF($B22=TRUE,H21*(1+VLOOKUP($A22,$C$43:$CP$69,H$2,0)),H21*(1+(VLOOKUP($A22,'MoM Forecasts'!$2:$25,'Unchained Indices'!H$2,0))))</f>
        <v>100.41016728229978</v>
      </c>
      <c r="I22">
        <f>IF($B22=TRUE,I21*(1+VLOOKUP($A22,$C$43:$CP$69,I$2,0)),I21*(1+(VLOOKUP($A22,'MoM Forecasts'!$2:$25,'Unchained Indices'!I$2,0))))</f>
        <v>100.40972312956313</v>
      </c>
      <c r="J22">
        <f>IF($B22=TRUE,J21*(1+VLOOKUP($A22,$C$43:$CP$69,J$2,0)),J21*(1+(VLOOKUP($A22,'MoM Forecasts'!$2:$25,'Unchained Indices'!J$2,0))))</f>
        <v>100.35088096736334</v>
      </c>
      <c r="K22">
        <f>IF($B22=TRUE,K21*(1+VLOOKUP($A22,$C$43:$CP$69,K$2,0)),K21*(1+(VLOOKUP($A22,'MoM Forecasts'!$2:$25,'Unchained Indices'!K$2,0))))</f>
        <v>100.3138426376769</v>
      </c>
      <c r="L22">
        <f>IF($B22=TRUE,L21*(1+VLOOKUP($A22,$C$43:$CP$69,L$2,0)),L21*(1+(VLOOKUP($A22,'MoM Forecasts'!$2:$25,'Unchained Indices'!L$2,0))))</f>
        <v>100.12681708207408</v>
      </c>
      <c r="M22">
        <f>IF($B22=TRUE,M21*(1+VLOOKUP($A22,$C$43:$CP$69,M$2,0)),M21*(1+(VLOOKUP($A22,'MoM Forecasts'!$2:$25,'Unchained Indices'!M$2,0))))</f>
        <v>100.2768034397334</v>
      </c>
      <c r="N22">
        <f>IF($B22=TRUE,N21*(1+VLOOKUP($A22,$C$43:$CP$69,N$2,0)),N21*(1+(VLOOKUP($A22,'MoM Forecasts'!$2:$25,'Unchained Indices'!N$2,0))))</f>
        <v>100.3904870171967</v>
      </c>
      <c r="O22">
        <f>IF($B22=TRUE,O21*(1+VLOOKUP($A22,$C$43:$CP$69,O$2,0)),O21*(1+(VLOOKUP($A22,'MoM Forecasts'!$2:$25,'Unchained Indices'!O$2,0))))</f>
        <v>100.39377192953835</v>
      </c>
      <c r="P22">
        <f>IF($B22=TRUE,P21*(1+VLOOKUP($A22,$C$43:$CP$69,P$2,0)),P21*(1+(VLOOKUP($A22,'MoM Forecasts'!$2:$25,'Unchained Indices'!P$2,0))))</f>
        <v>100.38130468995828</v>
      </c>
      <c r="Q22">
        <f>IF($B22=TRUE,Q21*(1+VLOOKUP($A22,$C$43:$CP$69,Q$2,0)),Q21*(1+(VLOOKUP($A22,'MoM Forecasts'!$2:$25,'Unchained Indices'!Q$2,0))))</f>
        <v>100.3870912979219</v>
      </c>
      <c r="R22">
        <f>IF($B22=TRUE,R21*(1+VLOOKUP($A22,$C$43:$CP$69,R$2,0)),R21*(1+(VLOOKUP($A22,'MoM Forecasts'!$2:$25,'Unchained Indices'!R$2,0))))</f>
        <v>100.26348442930424</v>
      </c>
      <c r="S22">
        <f>IF($B22=TRUE,S21*(1+VLOOKUP($A22,$C$43:$CP$69,S$2,0)),S21*(1+(VLOOKUP($A22,'MoM Forecasts'!$2:$25,'Unchained Indices'!S$2,0))))</f>
        <v>100.35281526681152</v>
      </c>
      <c r="T22">
        <f>IF($B22=TRUE,T21*(1+VLOOKUP($A22,$C$43:$CP$69,T$2,0)),T21*(1+(VLOOKUP($A22,'MoM Forecasts'!$2:$25,'Unchained Indices'!T$2,0))))</f>
        <v>100.38885313815122</v>
      </c>
      <c r="U22">
        <f>IF($B22=TRUE,U21*(1+VLOOKUP($A22,$C$43:$CP$69,U$2,0)),U21*(1+(VLOOKUP($A22,'MoM Forecasts'!$2:$25,'Unchained Indices'!U$2,0))))</f>
        <v>100.31625984953477</v>
      </c>
      <c r="V22">
        <f>IF($B22=TRUE,V21*(1+VLOOKUP($A22,$C$43:$CP$69,V$2,0)),V21*(1+(VLOOKUP($A22,'MoM Forecasts'!$2:$25,'Unchained Indices'!V$2,0))))</f>
        <v>100.2351641072278</v>
      </c>
      <c r="W22">
        <f>IF($B22=TRUE,W21*(1+VLOOKUP($A22,$C$43:$CP$69,W$2,0)),W21*(1+(VLOOKUP($A22,'MoM Forecasts'!$2:$25,'Unchained Indices'!W$2,0))))</f>
        <v>100.30093141861471</v>
      </c>
      <c r="X22">
        <f>IF($B22=TRUE,X21*(1+VLOOKUP($A22,$C$43:$CP$69,X$2,0)),X21*(1+(VLOOKUP($A22,'MoM Forecasts'!$2:$25,'Unchained Indices'!X$2,0))))</f>
        <v>100.31146748190278</v>
      </c>
      <c r="Y22">
        <f>IF($B22=TRUE,Y21*(1+VLOOKUP($A22,$C$43:$CP$69,Y$2,0)),Y21*(1+(VLOOKUP($A22,'MoM Forecasts'!$2:$25,'Unchained Indices'!Y$2,0))))</f>
        <v>100.32213349950496</v>
      </c>
      <c r="Z22">
        <f>IF($B22=TRUE,Z21*(1+VLOOKUP($A22,$C$43:$CP$69,Z$2,0)),Z21*(1+(VLOOKUP($A22,'MoM Forecasts'!$2:$25,'Unchained Indices'!Z$2,0))))</f>
        <v>100.25738350625929</v>
      </c>
      <c r="AA22">
        <f>IF($B22=TRUE,AA21*(1+VLOOKUP($A22,$C$43:$CP$69,AA$2,0)),AA21*(1+(VLOOKUP($A22,'MoM Forecasts'!$2:$25,'Unchained Indices'!AA$2,0))))</f>
        <v>100.45995607220087</v>
      </c>
      <c r="AB22">
        <f>IF($B22=TRUE,AB21*(1+VLOOKUP($A22,$C$43:$CP$69,AB$2,0)),AB21*(1+(VLOOKUP($A22,'MoM Forecasts'!$2:$25,'Unchained Indices'!AB$2,0))))</f>
        <v>100.3405311386441</v>
      </c>
      <c r="AC22">
        <f>IF($B22=TRUE,AC21*(1+VLOOKUP($A22,$C$43:$CP$69,AC$2,0)),AC21*(1+(VLOOKUP($A22,'MoM Forecasts'!$2:$25,'Unchained Indices'!AC$2,0))))</f>
        <v>102.12646750633515</v>
      </c>
      <c r="AD22">
        <f>IF($B22=TRUE,AD21*(1+VLOOKUP($A22,$C$43:$CP$69,AD$2,0)),AD21*(1+(VLOOKUP($A22,'MoM Forecasts'!$2:$25,'Unchained Indices'!AD$2,0))))</f>
        <v>100.29332584703808</v>
      </c>
      <c r="AE22">
        <f>IF($B22=TRUE,AE21*(1+VLOOKUP($A22,$C$43:$CP$69,AE$2,0)),AE21*(1+(VLOOKUP($A22,'MoM Forecasts'!$2:$25,'Unchained Indices'!AE$2,0))))</f>
        <v>99.273301758248863</v>
      </c>
      <c r="AF22">
        <f>IF($B22=TRUE,AF21*(1+VLOOKUP($A22,$C$43:$CP$69,AF$2,0)),AF21*(1+(VLOOKUP($A22,'MoM Forecasts'!$2:$25,'Unchained Indices'!AF$2,0))))</f>
        <v>98.190865889858784</v>
      </c>
      <c r="AG22">
        <f>IF($B22=TRUE,AG21*(1+VLOOKUP($A22,$C$43:$CP$69,AG$2,0)),AG21*(1+(VLOOKUP($A22,'MoM Forecasts'!$2:$25,'Unchained Indices'!AG$2,0))))</f>
        <v>100.36942941587542</v>
      </c>
      <c r="AH22">
        <f>IF($B22=TRUE,AH21*(1+VLOOKUP($A22,$C$43:$CP$69,AH$2,0)),AH21*(1+(VLOOKUP($A22,'MoM Forecasts'!$2:$25,'Unchained Indices'!AH$2,0))))</f>
        <v>100.33195342017549</v>
      </c>
      <c r="AI22">
        <f>IF($B22=TRUE,AI21*(1+VLOOKUP($A22,$C$43:$CP$69,AI$2,0)),AI21*(1+(VLOOKUP($A22,'MoM Forecasts'!$2:$25,'Unchained Indices'!AI$2,0))))</f>
        <v>96.270413624343021</v>
      </c>
      <c r="AJ22">
        <f>IF($B22=TRUE,AJ21*(1+VLOOKUP($A22,$C$43:$CP$69,AJ$2,0)),AJ21*(1+(VLOOKUP($A22,'MoM Forecasts'!$2:$25,'Unchained Indices'!AJ$2,0))))</f>
        <v>100.39647171176911</v>
      </c>
      <c r="AK22">
        <f>IF($B22=TRUE,AK21*(1+VLOOKUP($A22,$C$43:$CP$69,AK$2,0)),AK21*(1+(VLOOKUP($A22,'MoM Forecasts'!$2:$25,'Unchained Indices'!AK$2,0))))</f>
        <v>100.25072505563064</v>
      </c>
      <c r="AL22">
        <f>IF($B22=TRUE,AL21*(1+VLOOKUP($A22,$C$43:$CP$69,AL$2,0)),AL21*(1+(VLOOKUP($A22,'MoM Forecasts'!$2:$25,'Unchained Indices'!AL$2,0))))</f>
        <v>100.39593235635996</v>
      </c>
      <c r="AM22">
        <f>IF($B22=TRUE,AM21*(1+VLOOKUP($A22,$C$43:$CP$69,AM$2,0)),AM21*(1+(VLOOKUP($A22,'MoM Forecasts'!$2:$25,'Unchained Indices'!AM$2,0))))</f>
        <v>100.45453970602728</v>
      </c>
      <c r="AN22">
        <f>IF($B22=TRUE,AN21*(1+VLOOKUP($A22,$C$43:$CP$69,AN$2,0)),AN21*(1+(VLOOKUP($A22,'MoM Forecasts'!$2:$25,'Unchained Indices'!AN$2,0))))</f>
        <v>100.38473538289885</v>
      </c>
      <c r="AO22">
        <f>IF($B22=TRUE,AO21*(1+VLOOKUP($A22,$C$43:$CP$69,AO$2,0)),AO21*(1+(VLOOKUP($A22,'MoM Forecasts'!$2:$25,'Unchained Indices'!AO$2,0))))</f>
        <v>100.39967707306288</v>
      </c>
      <c r="AP22">
        <f>IF($B22=TRUE,AP21*(1+VLOOKUP($A22,$C$43:$CP$69,AP$2,0)),AP21*(1+(VLOOKUP($A22,'MoM Forecasts'!$2:$25,'Unchained Indices'!AP$2,0))))</f>
        <v>100.42196557350145</v>
      </c>
      <c r="AQ22">
        <f>IF($B22=TRUE,AQ21*(1+VLOOKUP($A22,$C$43:$CP$69,AQ$2,0)),AQ21*(1+(VLOOKUP($A22,'MoM Forecasts'!$2:$25,'Unchained Indices'!AQ$2,0))))</f>
        <v>100.17635510539205</v>
      </c>
      <c r="AR22">
        <f>IF($B22=TRUE,AR21*(1+VLOOKUP($A22,$C$43:$CP$69,AR$2,0)),AR21*(1+(VLOOKUP($A22,'MoM Forecasts'!$2:$25,'Unchained Indices'!AR$2,0))))</f>
        <v>100.3637832824414</v>
      </c>
      <c r="AS22">
        <f>IF($B22=TRUE,AS21*(1+VLOOKUP($A22,$C$43:$CP$69,AS$2,0)),AS21*(1+(VLOOKUP($A22,'MoM Forecasts'!$2:$25,'Unchained Indices'!AS$2,0))))</f>
        <v>100.41513274867607</v>
      </c>
      <c r="AT22">
        <f>IF($B22=TRUE,AT21*(1+VLOOKUP($A22,$C$43:$CP$69,AT$2,0)),AT21*(1+(VLOOKUP($A22,'MoM Forecasts'!$2:$25,'Unchained Indices'!AT$2,0))))</f>
        <v>100.28439773751181</v>
      </c>
      <c r="AU22">
        <f>IF($B22=TRUE,AU21*(1+VLOOKUP($A22,$C$43:$CP$69,AU$2,0)),AU21*(1+(VLOOKUP($A22,'MoM Forecasts'!$2:$25,'Unchained Indices'!AU$2,0))))</f>
        <v>100.50428341480441</v>
      </c>
      <c r="AV22">
        <f>IF($B22=TRUE,AV21*(1+VLOOKUP($A22,$C$43:$CP$69,AV$2,0)),AV21*(1+(VLOOKUP($A22,'MoM Forecasts'!$2:$25,'Unchained Indices'!AV$2,0))))</f>
        <v>100.44407176126316</v>
      </c>
      <c r="AW22">
        <f>IF($B22=TRUE,AW21*(1+VLOOKUP($A22,$C$43:$CP$69,AW$2,0)),AW21*(1+(VLOOKUP($A22,'MoM Forecasts'!$2:$25,'Unchained Indices'!AW$2,0))))</f>
        <v>100.4184144710422</v>
      </c>
      <c r="AX22">
        <f>IF($B22=TRUE,AX21*(1+VLOOKUP($A22,$C$43:$CP$69,AX$2,0)),AX21*(1+(VLOOKUP($A22,'MoM Forecasts'!$2:$25,'Unchained Indices'!AX$2,0))))</f>
        <v>103.38645981212841</v>
      </c>
      <c r="AY22">
        <f>IF($B22=TRUE,AY21*(1+VLOOKUP($A22,$C$43:$CP$69,AY$2,0)),AY21*(1+(VLOOKUP($A22,'MoM Forecasts'!$2:$25,'Unchained Indices'!AY$2,0))))</f>
        <v>100.54230350642258</v>
      </c>
      <c r="AZ22">
        <f>IF($B22=TRUE,AZ21*(1+VLOOKUP($A22,$C$43:$CP$69,AZ$2,0)),AZ21*(1+(VLOOKUP($A22,'MoM Forecasts'!$2:$25,'Unchained Indices'!AZ$2,0))))</f>
        <v>100.43955551224069</v>
      </c>
      <c r="BA22">
        <f>IF($B22=TRUE,BA21*(1+VLOOKUP($A22,$C$43:$CP$69,BA$2,0)),BA21*(1+(VLOOKUP($A22,'MoM Forecasts'!$2:$25,'Unchained Indices'!BA$2,0))))</f>
        <v>100.4934183832008</v>
      </c>
      <c r="BB22">
        <f>IF($B22=TRUE,BB21*(1+VLOOKUP($A22,$C$43:$CP$69,BB$2,0)),BB21*(1+(VLOOKUP($A22,'MoM Forecasts'!$2:$25,'Unchained Indices'!BB$2,0))))</f>
        <v>100.49981486150814</v>
      </c>
      <c r="BC22">
        <f>IF($B22=TRUE,BC21*(1+VLOOKUP($A22,$C$43:$CP$69,BC$2,0)),BC21*(1+(VLOOKUP($A22,'MoM Forecasts'!$2:$25,'Unchained Indices'!BC$2,0))))</f>
        <v>100.2978717415038</v>
      </c>
      <c r="BD22">
        <f>IF($B22=TRUE,BD21*(1+VLOOKUP($A22,$C$43:$CP$69,BD$2,0)),BD21*(1+(VLOOKUP($A22,'MoM Forecasts'!$2:$25,'Unchained Indices'!BD$2,0))))</f>
        <v>100.3359143757352</v>
      </c>
      <c r="BE22">
        <f>IF($B22=TRUE,BE21*(1+VLOOKUP($A22,$C$43:$CP$69,BE$2,0)),BE21*(1+(VLOOKUP($A22,'MoM Forecasts'!$2:$25,'Unchained Indices'!BE$2,0))))</f>
        <v>100.41259080786213</v>
      </c>
      <c r="BF22">
        <f>IF($B22=TRUE,BF21*(1+VLOOKUP($A22,$C$43:$CP$69,BF$2,0)),BF21*(1+(VLOOKUP($A22,'MoM Forecasts'!$2:$25,'Unchained Indices'!BF$2,0))))</f>
        <v>100.2903376650287</v>
      </c>
      <c r="BG22">
        <f>IF($B22=TRUE,BG21*(1+VLOOKUP($A22,$C$43:$CP$69,BG$2,0)),BG21*(1+(VLOOKUP($A22,'MoM Forecasts'!$2:$25,'Unchained Indices'!BG$2,0))))</f>
        <v>100.33110260420968</v>
      </c>
      <c r="BH22">
        <f>IF($B22=TRUE,BH21*(1+VLOOKUP($A22,$C$43:$CP$69,BH$2,0)),BH21*(1+(VLOOKUP($A22,'MoM Forecasts'!$2:$25,'Unchained Indices'!BH$2,0))))</f>
        <v>103.40818572665276</v>
      </c>
      <c r="BI22">
        <f>IF($B22=TRUE,BI21*(1+VLOOKUP($A22,$C$43:$CP$69,BI$2,0)),BI21*(1+(VLOOKUP($A22,'MoM Forecasts'!$2:$25,'Unchained Indices'!BI$2,0))))</f>
        <v>100.32147064772049</v>
      </c>
      <c r="BJ22">
        <f>IF($B22=TRUE,BJ21*(1+VLOOKUP($A22,$C$43:$CP$69,BJ$2,0)),BJ21*(1+(VLOOKUP($A22,'MoM Forecasts'!$2:$25,'Unchained Indices'!BJ$2,0))))</f>
        <v>100.3235821265927</v>
      </c>
      <c r="BK22">
        <f>IF($B22=TRUE,BK21*(1+VLOOKUP($A22,$C$43:$CP$69,BK$2,0)),BK21*(1+(VLOOKUP($A22,'MoM Forecasts'!$2:$25,'Unchained Indices'!BK$2,0))))</f>
        <v>99.728033335055599</v>
      </c>
      <c r="BL22">
        <f>IF($B22=TRUE,BL21*(1+VLOOKUP($A22,$C$43:$CP$69,BL$2,0)),BL21*(1+(VLOOKUP($A22,'MoM Forecasts'!$2:$25,'Unchained Indices'!BL$2,0))))</f>
        <v>100.25586937610848</v>
      </c>
      <c r="BM22">
        <f>IF($B22=TRUE,BM21*(1+VLOOKUP($A22,$C$43:$CP$69,BM$2,0)),BM21*(1+(VLOOKUP($A22,'MoM Forecasts'!$2:$25,'Unchained Indices'!BM$2,0))))</f>
        <v>100.26876514567998</v>
      </c>
      <c r="BN22">
        <f>IF($B22=TRUE,BN21*(1+VLOOKUP($A22,$C$43:$CP$69,BN$2,0)),BN21*(1+(VLOOKUP($A22,'MoM Forecasts'!$2:$25,'Unchained Indices'!BN$2,0))))</f>
        <v>100.36246459426629</v>
      </c>
      <c r="BO22">
        <f>IF($B22=TRUE,BO21*(1+VLOOKUP($A22,$C$43:$CP$69,BO$2,0)),BO21*(1+(VLOOKUP($A22,'MoM Forecasts'!$2:$25,'Unchained Indices'!BO$2,0))))</f>
        <v>100.45014927360111</v>
      </c>
      <c r="BP22">
        <f>IF($B22=TRUE,BP21*(1+VLOOKUP($A22,$C$43:$CP$69,BP$2,0)),BP21*(1+(VLOOKUP($A22,'MoM Forecasts'!$2:$25,'Unchained Indices'!BP$2,0))))</f>
        <v>99.990758288636769</v>
      </c>
      <c r="BQ22">
        <f>IF($B22=TRUE,BQ21*(1+VLOOKUP($A22,$C$43:$CP$69,BQ$2,0)),BQ21*(1+(VLOOKUP($A22,'MoM Forecasts'!$2:$25,'Unchained Indices'!BQ$2,0))))</f>
        <v>100.45345074314395</v>
      </c>
      <c r="BR22">
        <f>IF($B22=TRUE,BR21*(1+VLOOKUP($A22,$C$43:$CP$69,BR$2,0)),BR21*(1+(VLOOKUP($A22,'MoM Forecasts'!$2:$25,'Unchained Indices'!BR$2,0))))</f>
        <v>100.4701169531504</v>
      </c>
      <c r="BS22">
        <f>IF($B22=TRUE,BS21*(1+VLOOKUP($A22,$C$43:$CP$69,BS$2,0)),BS21*(1+(VLOOKUP($A22,'MoM Forecasts'!$2:$25,'Unchained Indices'!BS$2,0))))</f>
        <v>100.17380344357075</v>
      </c>
      <c r="BT22">
        <f>IF($B22=TRUE,BT21*(1+VLOOKUP($A22,$C$43:$CP$69,BT$2,0)),BT21*(1+(VLOOKUP($A22,'MoM Forecasts'!$2:$25,'Unchained Indices'!BT$2,0))))</f>
        <v>100.07786847324518</v>
      </c>
      <c r="BU22">
        <f>IF($B22=TRUE,BU21*(1+VLOOKUP($A22,$C$43:$CP$69,BU$2,0)),BU21*(1+(VLOOKUP($A22,'MoM Forecasts'!$2:$25,'Unchained Indices'!BU$2,0))))</f>
        <v>100.15645560337363</v>
      </c>
      <c r="BV22">
        <f>IF($B22=TRUE,BV21*(1+VLOOKUP($A22,$C$43:$CP$69,BV$2,0)),BV21*(1+(VLOOKUP($A22,'MoM Forecasts'!$2:$25,'Unchained Indices'!BV$2,0))))</f>
        <v>100.2632018571544</v>
      </c>
      <c r="BW22">
        <f>IF($B22=TRUE,BW21*(1+VLOOKUP($A22,$C$43:$CP$69,BW$2,0)),BW21*(1+(VLOOKUP($A22,'MoM Forecasts'!$2:$25,'Unchained Indices'!BW$2,0))))</f>
        <v>100.12882026421897</v>
      </c>
      <c r="BX22">
        <f>IF($B22=TRUE,BX21*(1+VLOOKUP($A22,$C$43:$CP$69,BX$2,0)),BX21*(1+(VLOOKUP($A22,'MoM Forecasts'!$2:$25,'Unchained Indices'!BX$2,0))))</f>
        <v>100.30220621753476</v>
      </c>
      <c r="BY22">
        <f>IF($B22=TRUE,BY21*(1+VLOOKUP($A22,$C$43:$CP$69,BY$2,0)),BY21*(1+(VLOOKUP($A22,'MoM Forecasts'!$2:$25,'Unchained Indices'!BY$2,0))))</f>
        <v>100.2852180380461</v>
      </c>
      <c r="BZ22">
        <f>IF($B22=TRUE,BZ21*(1+VLOOKUP($A22,$C$43:$CP$69,BZ$2,0)),BZ21*(1+(VLOOKUP($A22,'MoM Forecasts'!$2:$25,'Unchained Indices'!BZ$2,0))))</f>
        <v>100.47262233196639</v>
      </c>
      <c r="CA22">
        <f>IF($B22=TRUE,CA21*(1+VLOOKUP($A22,$C$43:$CP$69,CA$2,0)),CA21*(1+(VLOOKUP($A22,'MoM Forecasts'!$2:$25,'Unchained Indices'!CA$2,0))))</f>
        <v>99.809051888650174</v>
      </c>
      <c r="CB22">
        <f>IF($B22=TRUE,CB21*(1+VLOOKUP($A22,$C$43:$CP$69,CB$2,0)),CB21*(1+(VLOOKUP($A22,'MoM Forecasts'!$2:$25,'Unchained Indices'!CB$2,0))))</f>
        <v>100.46297812895112</v>
      </c>
      <c r="CC22">
        <f>IF($B22=TRUE,CC21*(1+VLOOKUP($A22,$C$43:$CP$69,CC$2,0)),CC21*(1+(VLOOKUP($A22,'MoM Forecasts'!$2:$25,'Unchained Indices'!CC$2,0))))</f>
        <v>100.36068995662964</v>
      </c>
      <c r="CD22">
        <f>IF($B22=TRUE,CD21*(1+VLOOKUP($A22,$C$43:$CP$69,CD$2,0)),CD21*(1+(VLOOKUP($A22,'MoM Forecasts'!$2:$25,'Unchained Indices'!CD$2,0))))</f>
        <v>100.44313658744895</v>
      </c>
      <c r="CE22">
        <f>IF($B22=TRUE,CE21*(1+VLOOKUP($A22,$C$43:$CP$69,CE$2,0)),CE21*(1+(VLOOKUP($A22,'MoM Forecasts'!$2:$25,'Unchained Indices'!CE$2,0))))</f>
        <v>100.44560813985372</v>
      </c>
      <c r="CF22">
        <f>IF($B22=TRUE,CF21*(1+VLOOKUP($A22,$C$43:$CP$69,CF$2,0)),CF21*(1+(VLOOKUP($A22,'MoM Forecasts'!$2:$25,'Unchained Indices'!CF$2,0))))</f>
        <v>100.4358288145845</v>
      </c>
      <c r="CG22">
        <f>IF($B22=TRUE,CG21*(1+VLOOKUP($A22,$C$43:$CP$69,CG$2,0)),CG21*(1+(VLOOKUP($A22,'MoM Forecasts'!$2:$25,'Unchained Indices'!CG$2,0))))</f>
        <v>100.8878546644479</v>
      </c>
      <c r="CH22">
        <f>IF($B22=TRUE,CH21*(1+VLOOKUP($A22,$C$43:$CP$69,CH$2,0)),CH21*(1+(VLOOKUP($A22,'MoM Forecasts'!$2:$25,'Unchained Indices'!CH$2,0))))</f>
        <v>89.042426876251895</v>
      </c>
      <c r="CI22">
        <f>IF($B22=TRUE,CI21*(1+VLOOKUP($A22,$C$43:$CP$69,CI$2,0)),CI21*(1+(VLOOKUP($A22,'MoM Forecasts'!$2:$25,'Unchained Indices'!CI$2,0))))</f>
        <v>102.75922772001417</v>
      </c>
      <c r="CJ22">
        <f>IF($B22=TRUE,CJ21*(1+VLOOKUP($A22,$C$43:$CP$69,CJ$2,0)),CJ21*(1+(VLOOKUP($A22,'MoM Forecasts'!$2:$25,'Unchained Indices'!CJ$2,0))))</f>
        <v>99.798741963552345</v>
      </c>
      <c r="CK22">
        <f>IF($B22=TRUE,CK21*(1+VLOOKUP($A22,$C$43:$CP$69,CK$2,0)),CK21*(1+(VLOOKUP($A22,'MoM Forecasts'!$2:$25,'Unchained Indices'!CK$2,0))))</f>
        <v>100.40300808049761</v>
      </c>
      <c r="CL22">
        <f>IF($B22=TRUE,CL21*(1+VLOOKUP($A22,$C$43:$CP$69,CL$2,0)),CL21*(1+(VLOOKUP($A22,'MoM Forecasts'!$2:$25,'Unchained Indices'!CL$2,0))))</f>
        <v>100.19888660760699</v>
      </c>
      <c r="CM22">
        <f>IF($B22=TRUE,CM21*(1+VLOOKUP($A22,$C$43:$CP$69,CM$2,0)),CM21*(1+(VLOOKUP($A22,'MoM Forecasts'!$2:$25,'Unchained Indices'!CM$2,0))))</f>
        <v>100.33739154998533</v>
      </c>
      <c r="CN22">
        <f>IF($B22=TRUE,CN21*(1+VLOOKUP($A22,$C$43:$CP$69,CN$2,0)),CN21*(1+(VLOOKUP($A22,'MoM Forecasts'!$2:$25,'Unchained Indices'!CN$2,0))))</f>
        <v>100.49212525260039</v>
      </c>
      <c r="CO22">
        <f>IF($B22=TRUE,CO21*(1+VLOOKUP($A22,$C$43:$CP$69,CO$2,0)),CO21*(1+(VLOOKUP($A22,'MoM Forecasts'!$2:$25,'Unchained Indices'!CO$2,0))))</f>
        <v>100.46564633344917</v>
      </c>
      <c r="CP22">
        <f>IF($B22=TRUE,CP21*(1+VLOOKUP($A22,$C$43:$CP$69,CP$2,0)),CP21*(1+(VLOOKUP($A22,'MoM Forecasts'!$2:$25,'Unchained Indices'!CP$2,0))))</f>
        <v>100.44619631896822</v>
      </c>
    </row>
    <row r="23" spans="1:94" x14ac:dyDescent="0.25">
      <c r="A23" s="6">
        <f t="shared" si="4"/>
        <v>45108</v>
      </c>
      <c r="B23" s="8" t="str">
        <f>IF(A23&lt;='MoM Forecasts'!$A$2,TRUE,"")</f>
        <v/>
      </c>
      <c r="C23" s="7">
        <f t="shared" si="5"/>
        <v>44927</v>
      </c>
      <c r="D23">
        <f>IF($B23=TRUE,D22*(1+VLOOKUP($A23,$C$43:$CP$69,D$2,0)),D22*(1+(VLOOKUP($A23,'MoM Forecasts'!$2:$25,'Unchained Indices'!D$2,0))))</f>
        <v>100.39327236148073</v>
      </c>
      <c r="E23">
        <f>IF($B23=TRUE,E22*(1+VLOOKUP($A23,$C$43:$CP$69,E$2,0)),E22*(1+(VLOOKUP($A23,'MoM Forecasts'!$2:$25,'Unchained Indices'!E$2,0))))</f>
        <v>100.35104297008992</v>
      </c>
      <c r="F23">
        <f>IF($B23=TRUE,F22*(1+VLOOKUP($A23,$C$43:$CP$69,F$2,0)),F22*(1+(VLOOKUP($A23,'MoM Forecasts'!$2:$25,'Unchained Indices'!F$2,0))))</f>
        <v>100.40751530335082</v>
      </c>
      <c r="G23">
        <f>IF($B23=TRUE,G22*(1+VLOOKUP($A23,$C$43:$CP$69,G$2,0)),G22*(1+(VLOOKUP($A23,'MoM Forecasts'!$2:$25,'Unchained Indices'!G$2,0))))</f>
        <v>100.3749048003373</v>
      </c>
      <c r="H23">
        <f>IF($B23=TRUE,H22*(1+VLOOKUP($A23,$C$43:$CP$69,H$2,0)),H22*(1+(VLOOKUP($A23,'MoM Forecasts'!$2:$25,'Unchained Indices'!H$2,0))))</f>
        <v>100.49220073875973</v>
      </c>
      <c r="I23">
        <f>IF($B23=TRUE,I22*(1+VLOOKUP($A23,$C$43:$CP$69,I$2,0)),I22*(1+(VLOOKUP($A23,'MoM Forecasts'!$2:$25,'Unchained Indices'!I$2,0))))</f>
        <v>100.49166775547576</v>
      </c>
      <c r="J23">
        <f>IF($B23=TRUE,J22*(1+VLOOKUP($A23,$C$43:$CP$69,J$2,0)),J22*(1+(VLOOKUP($A23,'MoM Forecasts'!$2:$25,'Unchained Indices'!J$2,0))))</f>
        <v>100.421057160836</v>
      </c>
      <c r="K23">
        <f>IF($B23=TRUE,K22*(1+VLOOKUP($A23,$C$43:$CP$69,K$2,0)),K22*(1+(VLOOKUP($A23,'MoM Forecasts'!$2:$25,'Unchained Indices'!K$2,0))))</f>
        <v>100.37661116521228</v>
      </c>
      <c r="L23">
        <f>IF($B23=TRUE,L22*(1+VLOOKUP($A23,$C$43:$CP$69,L$2,0)),L22*(1+(VLOOKUP($A23,'MoM Forecasts'!$2:$25,'Unchained Indices'!L$2,0))))</f>
        <v>100.15218049848892</v>
      </c>
      <c r="M23">
        <f>IF($B23=TRUE,M22*(1+VLOOKUP($A23,$C$43:$CP$69,M$2,0)),M22*(1+(VLOOKUP($A23,'MoM Forecasts'!$2:$25,'Unchained Indices'!M$2,0))))</f>
        <v>100.33216412768009</v>
      </c>
      <c r="N23">
        <f>IF($B23=TRUE,N22*(1+VLOOKUP($A23,$C$43:$CP$69,N$2,0)),N22*(1+(VLOOKUP($A23,'MoM Forecasts'!$2:$25,'Unchained Indices'!N$2,0))))</f>
        <v>100.46858442063605</v>
      </c>
      <c r="O23">
        <f>IF($B23=TRUE,O22*(1+VLOOKUP($A23,$C$43:$CP$69,O$2,0)),O22*(1+(VLOOKUP($A23,'MoM Forecasts'!$2:$25,'Unchained Indices'!O$2,0))))</f>
        <v>100.47252631544602</v>
      </c>
      <c r="P23">
        <f>IF($B23=TRUE,P22*(1+VLOOKUP($A23,$C$43:$CP$69,P$2,0)),P22*(1+(VLOOKUP($A23,'MoM Forecasts'!$2:$25,'Unchained Indices'!P$2,0))))</f>
        <v>100.45756562794995</v>
      </c>
      <c r="Q23">
        <f>IF($B23=TRUE,Q22*(1+VLOOKUP($A23,$C$43:$CP$69,Q$2,0)),Q22*(1+(VLOOKUP($A23,'MoM Forecasts'!$2:$25,'Unchained Indices'!Q$2,0))))</f>
        <v>100.46450955750626</v>
      </c>
      <c r="R23">
        <f>IF($B23=TRUE,R22*(1+VLOOKUP($A23,$C$43:$CP$69,R$2,0)),R22*(1+(VLOOKUP($A23,'MoM Forecasts'!$2:$25,'Unchained Indices'!R$2,0))))</f>
        <v>100.3161813151651</v>
      </c>
      <c r="S23">
        <f>IF($B23=TRUE,S22*(1+VLOOKUP($A23,$C$43:$CP$69,S$2,0)),S22*(1+(VLOOKUP($A23,'MoM Forecasts'!$2:$25,'Unchained Indices'!S$2,0))))</f>
        <v>100.42337832017382</v>
      </c>
      <c r="T23">
        <f>IF($B23=TRUE,T22*(1+VLOOKUP($A23,$C$43:$CP$69,T$2,0)),T22*(1+(VLOOKUP($A23,'MoM Forecasts'!$2:$25,'Unchained Indices'!T$2,0))))</f>
        <v>100.46662376578146</v>
      </c>
      <c r="U23">
        <f>IF($B23=TRUE,U22*(1+VLOOKUP($A23,$C$43:$CP$69,U$2,0)),U22*(1+(VLOOKUP($A23,'MoM Forecasts'!$2:$25,'Unchained Indices'!U$2,0))))</f>
        <v>100.37951181944173</v>
      </c>
      <c r="V23">
        <f>IF($B23=TRUE,V22*(1+VLOOKUP($A23,$C$43:$CP$69,V$2,0)),V22*(1+(VLOOKUP($A23,'MoM Forecasts'!$2:$25,'Unchained Indices'!V$2,0))))</f>
        <v>100.28219692867337</v>
      </c>
      <c r="W23">
        <f>IF($B23=TRUE,W22*(1+VLOOKUP($A23,$C$43:$CP$69,W$2,0)),W22*(1+(VLOOKUP($A23,'MoM Forecasts'!$2:$25,'Unchained Indices'!W$2,0))))</f>
        <v>100.36111770233767</v>
      </c>
      <c r="X23">
        <f>IF($B23=TRUE,X22*(1+VLOOKUP($A23,$C$43:$CP$69,X$2,0)),X22*(1+(VLOOKUP($A23,'MoM Forecasts'!$2:$25,'Unchained Indices'!X$2,0))))</f>
        <v>100.37376097828334</v>
      </c>
      <c r="Y23">
        <f>IF($B23=TRUE,Y22*(1+VLOOKUP($A23,$C$43:$CP$69,Y$2,0)),Y22*(1+(VLOOKUP($A23,'MoM Forecasts'!$2:$25,'Unchained Indices'!Y$2,0))))</f>
        <v>100.38656019940593</v>
      </c>
      <c r="Z23">
        <f>IF($B23=TRUE,Z22*(1+VLOOKUP($A23,$C$43:$CP$69,Z$2,0)),Z22*(1+(VLOOKUP($A23,'MoM Forecasts'!$2:$25,'Unchained Indices'!Z$2,0))))</f>
        <v>100.30886020751116</v>
      </c>
      <c r="AA23">
        <f>IF($B23=TRUE,AA22*(1+VLOOKUP($A23,$C$43:$CP$69,AA$2,0)),AA22*(1+(VLOOKUP($A23,'MoM Forecasts'!$2:$25,'Unchained Indices'!AA$2,0))))</f>
        <v>100.55194728664101</v>
      </c>
      <c r="AB23">
        <f>IF($B23=TRUE,AB22*(1+VLOOKUP($A23,$C$43:$CP$69,AB$2,0)),AB22*(1+(VLOOKUP($A23,'MoM Forecasts'!$2:$25,'Unchained Indices'!AB$2,0))))</f>
        <v>100.4086373663729</v>
      </c>
      <c r="AC23">
        <f>IF($B23=TRUE,AC22*(1+VLOOKUP($A23,$C$43:$CP$69,AC$2,0)),AC22*(1+(VLOOKUP($A23,'MoM Forecasts'!$2:$25,'Unchained Indices'!AC$2,0))))</f>
        <v>96.029565468376347</v>
      </c>
      <c r="AD23">
        <f>IF($B23=TRUE,AD22*(1+VLOOKUP($A23,$C$43:$CP$69,AD$2,0)),AD22*(1+(VLOOKUP($A23,'MoM Forecasts'!$2:$25,'Unchained Indices'!AD$2,0))))</f>
        <v>100.35199101644568</v>
      </c>
      <c r="AE23">
        <f>IF($B23=TRUE,AE22*(1+VLOOKUP($A23,$C$43:$CP$69,AE$2,0)),AE22*(1+(VLOOKUP($A23,'MoM Forecasts'!$2:$25,'Unchained Indices'!AE$2,0))))</f>
        <v>99.372569947424523</v>
      </c>
      <c r="AF23">
        <f>IF($B23=TRUE,AF22*(1+VLOOKUP($A23,$C$43:$CP$69,AF$2,0)),AF22*(1+(VLOOKUP($A23,'MoM Forecasts'!$2:$25,'Unchained Indices'!AF$2,0))))</f>
        <v>97.887960705503545</v>
      </c>
      <c r="AG23">
        <f>IF($B23=TRUE,AG22*(1+VLOOKUP($A23,$C$43:$CP$69,AG$2,0)),AG22*(1+(VLOOKUP($A23,'MoM Forecasts'!$2:$25,'Unchained Indices'!AG$2,0))))</f>
        <v>100.44331529905051</v>
      </c>
      <c r="AH23">
        <f>IF($B23=TRUE,AH22*(1+VLOOKUP($A23,$C$43:$CP$69,AH$2,0)),AH22*(1+(VLOOKUP($A23,'MoM Forecasts'!$2:$25,'Unchained Indices'!AH$2,0))))</f>
        <v>100.39834410421059</v>
      </c>
      <c r="AI23">
        <f>IF($B23=TRUE,AI22*(1+VLOOKUP($A23,$C$43:$CP$69,AI$2,0)),AI22*(1+(VLOOKUP($A23,'MoM Forecasts'!$2:$25,'Unchained Indices'!AI$2,0))))</f>
        <v>97.271342266557397</v>
      </c>
      <c r="AJ23">
        <f>IF($B23=TRUE,AJ22*(1+VLOOKUP($A23,$C$43:$CP$69,AJ$2,0)),AJ22*(1+(VLOOKUP($A23,'MoM Forecasts'!$2:$25,'Unchained Indices'!AJ$2,0))))</f>
        <v>100.47576605412293</v>
      </c>
      <c r="AK23">
        <f>IF($B23=TRUE,AK22*(1+VLOOKUP($A23,$C$43:$CP$69,AK$2,0)),AK22*(1+(VLOOKUP($A23,'MoM Forecasts'!$2:$25,'Unchained Indices'!AK$2,0))))</f>
        <v>100.30087006675677</v>
      </c>
      <c r="AL23">
        <f>IF($B23=TRUE,AL22*(1+VLOOKUP($A23,$C$43:$CP$69,AL$2,0)),AL22*(1+(VLOOKUP($A23,'MoM Forecasts'!$2:$25,'Unchained Indices'!AL$2,0))))</f>
        <v>100.47511882763196</v>
      </c>
      <c r="AM23">
        <f>IF($B23=TRUE,AM22*(1+VLOOKUP($A23,$C$43:$CP$69,AM$2,0)),AM22*(1+(VLOOKUP($A23,'MoM Forecasts'!$2:$25,'Unchained Indices'!AM$2,0))))</f>
        <v>100.54544764723273</v>
      </c>
      <c r="AN23">
        <f>IF($B23=TRUE,AN22*(1+VLOOKUP($A23,$C$43:$CP$69,AN$2,0)),AN22*(1+(VLOOKUP($A23,'MoM Forecasts'!$2:$25,'Unchained Indices'!AN$2,0))))</f>
        <v>100.46168245947862</v>
      </c>
      <c r="AO23">
        <f>IF($B23=TRUE,AO22*(1+VLOOKUP($A23,$C$43:$CP$69,AO$2,0)),AO22*(1+(VLOOKUP($A23,'MoM Forecasts'!$2:$25,'Unchained Indices'!AO$2,0))))</f>
        <v>100.47961248767545</v>
      </c>
      <c r="AP23">
        <f>IF($B23=TRUE,AP22*(1+VLOOKUP($A23,$C$43:$CP$69,AP$2,0)),AP22*(1+(VLOOKUP($A23,'MoM Forecasts'!$2:$25,'Unchained Indices'!AP$2,0))))</f>
        <v>100.50635868820174</v>
      </c>
      <c r="AQ23">
        <f>IF($B23=TRUE,AQ22*(1+VLOOKUP($A23,$C$43:$CP$69,AQ$2,0)),AQ22*(1+(VLOOKUP($A23,'MoM Forecasts'!$2:$25,'Unchained Indices'!AQ$2,0))))</f>
        <v>100.21162612647045</v>
      </c>
      <c r="AR23">
        <f>IF($B23=TRUE,AR22*(1+VLOOKUP($A23,$C$43:$CP$69,AR$2,0)),AR22*(1+(VLOOKUP($A23,'MoM Forecasts'!$2:$25,'Unchained Indices'!AR$2,0))))</f>
        <v>100.4365399389297</v>
      </c>
      <c r="AS23">
        <f>IF($B23=TRUE,AS22*(1+VLOOKUP($A23,$C$43:$CP$69,AS$2,0)),AS22*(1+(VLOOKUP($A23,'MoM Forecasts'!$2:$25,'Unchained Indices'!AS$2,0))))</f>
        <v>100.49815929841128</v>
      </c>
      <c r="AT23">
        <f>IF($B23=TRUE,AT22*(1+VLOOKUP($A23,$C$43:$CP$69,AT$2,0)),AT22*(1+(VLOOKUP($A23,'MoM Forecasts'!$2:$25,'Unchained Indices'!AT$2,0))))</f>
        <v>100.34127728501419</v>
      </c>
      <c r="AU23">
        <f>IF($B23=TRUE,AU22*(1+VLOOKUP($A23,$C$43:$CP$69,AU$2,0)),AU22*(1+(VLOOKUP($A23,'MoM Forecasts'!$2:$25,'Unchained Indices'!AU$2,0))))</f>
        <v>100.60514009776527</v>
      </c>
      <c r="AV23">
        <f>IF($B23=TRUE,AV22*(1+VLOOKUP($A23,$C$43:$CP$69,AV$2,0)),AV22*(1+(VLOOKUP($A23,'MoM Forecasts'!$2:$25,'Unchained Indices'!AV$2,0))))</f>
        <v>100.53288611351579</v>
      </c>
      <c r="AW23">
        <f>IF($B23=TRUE,AW22*(1+VLOOKUP($A23,$C$43:$CP$69,AW$2,0)),AW22*(1+(VLOOKUP($A23,'MoM Forecasts'!$2:$25,'Unchained Indices'!AW$2,0))))</f>
        <v>100.50209736525063</v>
      </c>
      <c r="AX23">
        <f>IF($B23=TRUE,AX22*(1+VLOOKUP($A23,$C$43:$CP$69,AX$2,0)),AX22*(1+(VLOOKUP($A23,'MoM Forecasts'!$2:$25,'Unchained Indices'!AX$2,0))))</f>
        <v>103.07807245944343</v>
      </c>
      <c r="AY23">
        <f>IF($B23=TRUE,AY22*(1+VLOOKUP($A23,$C$43:$CP$69,AY$2,0)),AY22*(1+(VLOOKUP($A23,'MoM Forecasts'!$2:$25,'Unchained Indices'!AY$2,0))))</f>
        <v>100.6507642077071</v>
      </c>
      <c r="AZ23">
        <f>IF($B23=TRUE,AZ22*(1+VLOOKUP($A23,$C$43:$CP$69,AZ$2,0)),AZ22*(1+(VLOOKUP($A23,'MoM Forecasts'!$2:$25,'Unchained Indices'!AZ$2,0))))</f>
        <v>100.52746661468883</v>
      </c>
      <c r="BA23">
        <f>IF($B23=TRUE,BA22*(1+VLOOKUP($A23,$C$43:$CP$69,BA$2,0)),BA22*(1+(VLOOKUP($A23,'MoM Forecasts'!$2:$25,'Unchained Indices'!BA$2,0))))</f>
        <v>100.59210205984098</v>
      </c>
      <c r="BB23">
        <f>IF($B23=TRUE,BB22*(1+VLOOKUP($A23,$C$43:$CP$69,BB$2,0)),BB22*(1+(VLOOKUP($A23,'MoM Forecasts'!$2:$25,'Unchained Indices'!BB$2,0))))</f>
        <v>100.59977783380978</v>
      </c>
      <c r="BC23">
        <f>IF($B23=TRUE,BC22*(1+VLOOKUP($A23,$C$43:$CP$69,BC$2,0)),BC22*(1+(VLOOKUP($A23,'MoM Forecasts'!$2:$25,'Unchained Indices'!BC$2,0))))</f>
        <v>100.35744608980457</v>
      </c>
      <c r="BD23">
        <f>IF($B23=TRUE,BD22*(1+VLOOKUP($A23,$C$43:$CP$69,BD$2,0)),BD22*(1+(VLOOKUP($A23,'MoM Forecasts'!$2:$25,'Unchained Indices'!BD$2,0))))</f>
        <v>100.40309725088225</v>
      </c>
      <c r="BE23">
        <f>IF($B23=TRUE,BE22*(1+VLOOKUP($A23,$C$43:$CP$69,BE$2,0)),BE22*(1+(VLOOKUP($A23,'MoM Forecasts'!$2:$25,'Unchained Indices'!BE$2,0))))</f>
        <v>100.49510896943457</v>
      </c>
      <c r="BF23">
        <f>IF($B23=TRUE,BF22*(1+VLOOKUP($A23,$C$43:$CP$69,BF$2,0)),BF22*(1+(VLOOKUP($A23,'MoM Forecasts'!$2:$25,'Unchained Indices'!BF$2,0))))</f>
        <v>100.34840519803444</v>
      </c>
      <c r="BG23">
        <f>IF($B23=TRUE,BG22*(1+VLOOKUP($A23,$C$43:$CP$69,BG$2,0)),BG22*(1+(VLOOKUP($A23,'MoM Forecasts'!$2:$25,'Unchained Indices'!BG$2,0))))</f>
        <v>100.39732312505161</v>
      </c>
      <c r="BH23">
        <f>IF($B23=TRUE,BH22*(1+VLOOKUP($A23,$C$43:$CP$69,BH$2,0)),BH22*(1+(VLOOKUP($A23,'MoM Forecasts'!$2:$25,'Unchained Indices'!BH$2,0))))</f>
        <v>103.43025657363562</v>
      </c>
      <c r="BI23">
        <f>IF($B23=TRUE,BI22*(1+VLOOKUP($A23,$C$43:$CP$69,BI$2,0)),BI22*(1+(VLOOKUP($A23,'MoM Forecasts'!$2:$25,'Unchained Indices'!BI$2,0))))</f>
        <v>100.38576477726461</v>
      </c>
      <c r="BJ23">
        <f>IF($B23=TRUE,BJ22*(1+VLOOKUP($A23,$C$43:$CP$69,BJ$2,0)),BJ22*(1+(VLOOKUP($A23,'MoM Forecasts'!$2:$25,'Unchained Indices'!BJ$2,0))))</f>
        <v>100.38829855191123</v>
      </c>
      <c r="BK23">
        <f>IF($B23=TRUE,BK22*(1+VLOOKUP($A23,$C$43:$CP$69,BK$2,0)),BK22*(1+(VLOOKUP($A23,'MoM Forecasts'!$2:$25,'Unchained Indices'!BK$2,0))))</f>
        <v>99.673640002066719</v>
      </c>
      <c r="BL23">
        <f>IF($B23=TRUE,BL22*(1+VLOOKUP($A23,$C$43:$CP$69,BL$2,0)),BL22*(1+(VLOOKUP($A23,'MoM Forecasts'!$2:$25,'Unchained Indices'!BL$2,0))))</f>
        <v>100.30704325133017</v>
      </c>
      <c r="BM23">
        <f>IF($B23=TRUE,BM22*(1+VLOOKUP($A23,$C$43:$CP$69,BM$2,0)),BM22*(1+(VLOOKUP($A23,'MoM Forecasts'!$2:$25,'Unchained Indices'!BM$2,0))))</f>
        <v>100.32251817481598</v>
      </c>
      <c r="BN23">
        <f>IF($B23=TRUE,BN22*(1+VLOOKUP($A23,$C$43:$CP$69,BN$2,0)),BN22*(1+(VLOOKUP($A23,'MoM Forecasts'!$2:$25,'Unchained Indices'!BN$2,0))))</f>
        <v>100.43495751311954</v>
      </c>
      <c r="BO23">
        <f>IF($B23=TRUE,BO22*(1+VLOOKUP($A23,$C$43:$CP$69,BO$2,0)),BO22*(1+(VLOOKUP($A23,'MoM Forecasts'!$2:$25,'Unchained Indices'!BO$2,0))))</f>
        <v>100.54017912832133</v>
      </c>
      <c r="BP23">
        <f>IF($B23=TRUE,BP22*(1+VLOOKUP($A23,$C$43:$CP$69,BP$2,0)),BP22*(1+(VLOOKUP($A23,'MoM Forecasts'!$2:$25,'Unchained Indices'!BP$2,0))))</f>
        <v>99.988909946364117</v>
      </c>
      <c r="BQ23">
        <f>IF($B23=TRUE,BQ22*(1+VLOOKUP($A23,$C$43:$CP$69,BQ$2,0)),BQ22*(1+(VLOOKUP($A23,'MoM Forecasts'!$2:$25,'Unchained Indices'!BQ$2,0))))</f>
        <v>100.54414089177274</v>
      </c>
      <c r="BR23">
        <f>IF($B23=TRUE,BR22*(1+VLOOKUP($A23,$C$43:$CP$69,BR$2,0)),BR22*(1+(VLOOKUP($A23,'MoM Forecasts'!$2:$25,'Unchained Indices'!BR$2,0))))</f>
        <v>100.56414034378047</v>
      </c>
      <c r="BS23">
        <f>IF($B23=TRUE,BS22*(1+VLOOKUP($A23,$C$43:$CP$69,BS$2,0)),BS22*(1+(VLOOKUP($A23,'MoM Forecasts'!$2:$25,'Unchained Indices'!BS$2,0))))</f>
        <v>100.20856413228489</v>
      </c>
      <c r="BT23">
        <f>IF($B23=TRUE,BT22*(1+VLOOKUP($A23,$C$43:$CP$69,BT$2,0)),BT22*(1+(VLOOKUP($A23,'MoM Forecasts'!$2:$25,'Unchained Indices'!BT$2,0))))</f>
        <v>100.0934421678942</v>
      </c>
      <c r="BU23">
        <f>IF($B23=TRUE,BU22*(1+VLOOKUP($A23,$C$43:$CP$69,BU$2,0)),BU22*(1+(VLOOKUP($A23,'MoM Forecasts'!$2:$25,'Unchained Indices'!BU$2,0))))</f>
        <v>100.18774672404835</v>
      </c>
      <c r="BV23">
        <f>IF($B23=TRUE,BV22*(1+VLOOKUP($A23,$C$43:$CP$69,BV$2,0)),BV22*(1+(VLOOKUP($A23,'MoM Forecasts'!$2:$25,'Unchained Indices'!BV$2,0))))</f>
        <v>100.31584222858528</v>
      </c>
      <c r="BW23">
        <f>IF($B23=TRUE,BW22*(1+VLOOKUP($A23,$C$43:$CP$69,BW$2,0)),BW22*(1+(VLOOKUP($A23,'MoM Forecasts'!$2:$25,'Unchained Indices'!BW$2,0))))</f>
        <v>100.15458431706277</v>
      </c>
      <c r="BX23">
        <f>IF($B23=TRUE,BX22*(1+VLOOKUP($A23,$C$43:$CP$69,BX$2,0)),BX22*(1+(VLOOKUP($A23,'MoM Forecasts'!$2:$25,'Unchained Indices'!BX$2,0))))</f>
        <v>100.3626474610417</v>
      </c>
      <c r="BY23">
        <f>IF($B23=TRUE,BY22*(1+VLOOKUP($A23,$C$43:$CP$69,BY$2,0)),BY22*(1+(VLOOKUP($A23,'MoM Forecasts'!$2:$25,'Unchained Indices'!BY$2,0))))</f>
        <v>100.34226164565533</v>
      </c>
      <c r="BZ23">
        <f>IF($B23=TRUE,BZ22*(1+VLOOKUP($A23,$C$43:$CP$69,BZ$2,0)),BZ22*(1+(VLOOKUP($A23,'MoM Forecasts'!$2:$25,'Unchained Indices'!BZ$2,0))))</f>
        <v>100.56714679835967</v>
      </c>
      <c r="CA23">
        <f>IF($B23=TRUE,CA22*(1+VLOOKUP($A23,$C$43:$CP$69,CA$2,0)),CA22*(1+(VLOOKUP($A23,'MoM Forecasts'!$2:$25,'Unchained Indices'!CA$2,0))))</f>
        <v>99.770862266380206</v>
      </c>
      <c r="CB23">
        <f>IF($B23=TRUE,CB22*(1+VLOOKUP($A23,$C$43:$CP$69,CB$2,0)),CB22*(1+(VLOOKUP($A23,'MoM Forecasts'!$2:$25,'Unchained Indices'!CB$2,0))))</f>
        <v>100.55557375474136</v>
      </c>
      <c r="CC23">
        <f>IF($B23=TRUE,CC22*(1+VLOOKUP($A23,$C$43:$CP$69,CC$2,0)),CC22*(1+(VLOOKUP($A23,'MoM Forecasts'!$2:$25,'Unchained Indices'!CC$2,0))))</f>
        <v>100.43282794795557</v>
      </c>
      <c r="CD23">
        <f>IF($B23=TRUE,CD22*(1+VLOOKUP($A23,$C$43:$CP$69,CD$2,0)),CD22*(1+(VLOOKUP($A23,'MoM Forecasts'!$2:$25,'Unchained Indices'!CD$2,0))))</f>
        <v>100.53176390493874</v>
      </c>
      <c r="CE23">
        <f>IF($B23=TRUE,CE22*(1+VLOOKUP($A23,$C$43:$CP$69,CE$2,0)),CE22*(1+(VLOOKUP($A23,'MoM Forecasts'!$2:$25,'Unchained Indices'!CE$2,0))))</f>
        <v>100.53472976782446</v>
      </c>
      <c r="CF23">
        <f>IF($B23=TRUE,CF22*(1+VLOOKUP($A23,$C$43:$CP$69,CF$2,0)),CF22*(1+(VLOOKUP($A23,'MoM Forecasts'!$2:$25,'Unchained Indices'!CF$2,0))))</f>
        <v>100.52299457750141</v>
      </c>
      <c r="CG23">
        <f>IF($B23=TRUE,CG22*(1+VLOOKUP($A23,$C$43:$CP$69,CG$2,0)),CG22*(1+(VLOOKUP($A23,'MoM Forecasts'!$2:$25,'Unchained Indices'!CG$2,0))))</f>
        <v>101.46670422009841</v>
      </c>
      <c r="CH23">
        <f>IF($B23=TRUE,CH22*(1+VLOOKUP($A23,$C$43:$CP$69,CH$2,0)),CH22*(1+(VLOOKUP($A23,'MoM Forecasts'!$2:$25,'Unchained Indices'!CH$2,0))))</f>
        <v>86.85091225150228</v>
      </c>
      <c r="CI23">
        <f>IF($B23=TRUE,CI22*(1+VLOOKUP($A23,$C$43:$CP$69,CI$2,0)),CI22*(1+(VLOOKUP($A23,'MoM Forecasts'!$2:$25,'Unchained Indices'!CI$2,0))))</f>
        <v>101.67613822147949</v>
      </c>
      <c r="CJ23">
        <f>IF($B23=TRUE,CJ22*(1+VLOOKUP($A23,$C$43:$CP$69,CJ$2,0)),CJ22*(1+(VLOOKUP($A23,'MoM Forecasts'!$2:$25,'Unchained Indices'!CJ$2,0))))</f>
        <v>99.758490356262811</v>
      </c>
      <c r="CK23">
        <f>IF($B23=TRUE,CK22*(1+VLOOKUP($A23,$C$43:$CP$69,CK$2,0)),CK22*(1+(VLOOKUP($A23,'MoM Forecasts'!$2:$25,'Unchained Indices'!CK$2,0))))</f>
        <v>100.48360969659716</v>
      </c>
      <c r="CL23">
        <f>IF($B23=TRUE,CL22*(1+VLOOKUP($A23,$C$43:$CP$69,CL$2,0)),CL22*(1+(VLOOKUP($A23,'MoM Forecasts'!$2:$25,'Unchained Indices'!CL$2,0))))</f>
        <v>100.23866392912841</v>
      </c>
      <c r="CM23">
        <f>IF($B23=TRUE,CM22*(1+VLOOKUP($A23,$C$43:$CP$69,CM$2,0)),CM22*(1+(VLOOKUP($A23,'MoM Forecasts'!$2:$25,'Unchained Indices'!CM$2,0))))</f>
        <v>100.4048698599824</v>
      </c>
      <c r="CN23">
        <f>IF($B23=TRUE,CN22*(1+VLOOKUP($A23,$C$43:$CP$69,CN$2,0)),CN22*(1+(VLOOKUP($A23,'MoM Forecasts'!$2:$25,'Unchained Indices'!CN$2,0))))</f>
        <v>100.59055030312048</v>
      </c>
      <c r="CO23">
        <f>IF($B23=TRUE,CO22*(1+VLOOKUP($A23,$C$43:$CP$69,CO$2,0)),CO22*(1+(VLOOKUP($A23,'MoM Forecasts'!$2:$25,'Unchained Indices'!CO$2,0))))</f>
        <v>100.55877560013901</v>
      </c>
      <c r="CP23">
        <f>IF($B23=TRUE,CP22*(1+VLOOKUP($A23,$C$43:$CP$69,CP$2,0)),CP22*(1+(VLOOKUP($A23,'MoM Forecasts'!$2:$25,'Unchained Indices'!CP$2,0))))</f>
        <v>100.53543558276186</v>
      </c>
    </row>
    <row r="24" spans="1:94" x14ac:dyDescent="0.25">
      <c r="A24" s="6">
        <f t="shared" si="4"/>
        <v>45139</v>
      </c>
      <c r="B24" s="8" t="str">
        <f>IF(A24&lt;='MoM Forecasts'!$A$2,TRUE,"")</f>
        <v/>
      </c>
      <c r="C24" s="7">
        <f t="shared" si="5"/>
        <v>44927</v>
      </c>
      <c r="D24">
        <f>IF($B24=TRUE,D23*(1+VLOOKUP($A24,$C$43:$CP$69,D$2,0)),D23*(1+(VLOOKUP($A24,'MoM Forecasts'!$2:$25,'Unchained Indices'!D$2,0))))</f>
        <v>100.45881775506085</v>
      </c>
      <c r="E24">
        <f>IF($B24=TRUE,E23*(1+VLOOKUP($A24,$C$43:$CP$69,E$2,0)),E23*(1+(VLOOKUP($A24,'MoM Forecasts'!$2:$25,'Unchained Indices'!E$2,0))))</f>
        <v>100.40955013177158</v>
      </c>
      <c r="F24">
        <f>IF($B24=TRUE,F23*(1+VLOOKUP($A24,$C$43:$CP$69,F$2,0)),F23*(1+(VLOOKUP($A24,'MoM Forecasts'!$2:$25,'Unchained Indices'!F$2,0))))</f>
        <v>100.47543452057594</v>
      </c>
      <c r="G24">
        <f>IF($B24=TRUE,G23*(1+VLOOKUP($A24,$C$43:$CP$69,G$2,0)),G23*(1+(VLOOKUP($A24,'MoM Forecasts'!$2:$25,'Unchained Indices'!G$2,0))))</f>
        <v>100.43738893372685</v>
      </c>
      <c r="H24">
        <f>IF($B24=TRUE,H23*(1+VLOOKUP($A24,$C$43:$CP$69,H$2,0)),H23*(1+(VLOOKUP($A24,'MoM Forecasts'!$2:$25,'Unchained Indices'!H$2,0))))</f>
        <v>100.57423419521969</v>
      </c>
      <c r="I24">
        <f>IF($B24=TRUE,I23*(1+VLOOKUP($A24,$C$43:$CP$69,I$2,0)),I23*(1+(VLOOKUP($A24,'MoM Forecasts'!$2:$25,'Unchained Indices'!I$2,0))))</f>
        <v>100.57361238138839</v>
      </c>
      <c r="J24">
        <f>IF($B24=TRUE,J23*(1+VLOOKUP($A24,$C$43:$CP$69,J$2,0)),J23*(1+(VLOOKUP($A24,'MoM Forecasts'!$2:$25,'Unchained Indices'!J$2,0))))</f>
        <v>100.49123335430868</v>
      </c>
      <c r="K24">
        <f>IF($B24=TRUE,K23*(1+VLOOKUP($A24,$C$43:$CP$69,K$2,0)),K23*(1+(VLOOKUP($A24,'MoM Forecasts'!$2:$25,'Unchained Indices'!K$2,0))))</f>
        <v>100.43937969274766</v>
      </c>
      <c r="L24">
        <f>IF($B24=TRUE,L23*(1+VLOOKUP($A24,$C$43:$CP$69,L$2,0)),L23*(1+(VLOOKUP($A24,'MoM Forecasts'!$2:$25,'Unchained Indices'!L$2,0))))</f>
        <v>100.17754391490372</v>
      </c>
      <c r="M24">
        <f>IF($B24=TRUE,M23*(1+VLOOKUP($A24,$C$43:$CP$69,M$2,0)),M23*(1+(VLOOKUP($A24,'MoM Forecasts'!$2:$25,'Unchained Indices'!M$2,0))))</f>
        <v>100.38752481562678</v>
      </c>
      <c r="N24">
        <f>IF($B24=TRUE,N23*(1+VLOOKUP($A24,$C$43:$CP$69,N$2,0)),N23*(1+(VLOOKUP($A24,'MoM Forecasts'!$2:$25,'Unchained Indices'!N$2,0))))</f>
        <v>100.54668182407539</v>
      </c>
      <c r="O24">
        <f>IF($B24=TRUE,O23*(1+VLOOKUP($A24,$C$43:$CP$69,O$2,0)),O23*(1+(VLOOKUP($A24,'MoM Forecasts'!$2:$25,'Unchained Indices'!O$2,0))))</f>
        <v>100.55128070135366</v>
      </c>
      <c r="P24">
        <f>IF($B24=TRUE,P23*(1+VLOOKUP($A24,$C$43:$CP$69,P$2,0)),P23*(1+(VLOOKUP($A24,'MoM Forecasts'!$2:$25,'Unchained Indices'!P$2,0))))</f>
        <v>100.53382656594161</v>
      </c>
      <c r="Q24">
        <f>IF($B24=TRUE,Q23*(1+VLOOKUP($A24,$C$43:$CP$69,Q$2,0)),Q23*(1+(VLOOKUP($A24,'MoM Forecasts'!$2:$25,'Unchained Indices'!Q$2,0))))</f>
        <v>100.54192781709064</v>
      </c>
      <c r="R24">
        <f>IF($B24=TRUE,R23*(1+VLOOKUP($A24,$C$43:$CP$69,R$2,0)),R23*(1+(VLOOKUP($A24,'MoM Forecasts'!$2:$25,'Unchained Indices'!R$2,0))))</f>
        <v>100.36887820102596</v>
      </c>
      <c r="S24">
        <f>IF($B24=TRUE,S23*(1+VLOOKUP($A24,$C$43:$CP$69,S$2,0)),S23*(1+(VLOOKUP($A24,'MoM Forecasts'!$2:$25,'Unchained Indices'!S$2,0))))</f>
        <v>100.49394137353615</v>
      </c>
      <c r="T24">
        <f>IF($B24=TRUE,T23*(1+VLOOKUP($A24,$C$43:$CP$69,T$2,0)),T23*(1+(VLOOKUP($A24,'MoM Forecasts'!$2:$25,'Unchained Indices'!T$2,0))))</f>
        <v>100.54439439341169</v>
      </c>
      <c r="U24">
        <f>IF($B24=TRUE,U23*(1+VLOOKUP($A24,$C$43:$CP$69,U$2,0)),U23*(1+(VLOOKUP($A24,'MoM Forecasts'!$2:$25,'Unchained Indices'!U$2,0))))</f>
        <v>100.44276378934869</v>
      </c>
      <c r="V24">
        <f>IF($B24=TRUE,V23*(1+VLOOKUP($A24,$C$43:$CP$69,V$2,0)),V23*(1+(VLOOKUP($A24,'MoM Forecasts'!$2:$25,'Unchained Indices'!V$2,0))))</f>
        <v>100.32922975011894</v>
      </c>
      <c r="W24">
        <f>IF($B24=TRUE,W23*(1+VLOOKUP($A24,$C$43:$CP$69,W$2,0)),W23*(1+(VLOOKUP($A24,'MoM Forecasts'!$2:$25,'Unchained Indices'!W$2,0))))</f>
        <v>100.42130398606062</v>
      </c>
      <c r="X24">
        <f>IF($B24=TRUE,X23*(1+VLOOKUP($A24,$C$43:$CP$69,X$2,0)),X23*(1+(VLOOKUP($A24,'MoM Forecasts'!$2:$25,'Unchained Indices'!X$2,0))))</f>
        <v>100.43605447466388</v>
      </c>
      <c r="Y24">
        <f>IF($B24=TRUE,Y23*(1+VLOOKUP($A24,$C$43:$CP$69,Y$2,0)),Y23*(1+(VLOOKUP($A24,'MoM Forecasts'!$2:$25,'Unchained Indices'!Y$2,0))))</f>
        <v>100.45098689930694</v>
      </c>
      <c r="Z24">
        <f>IF($B24=TRUE,Z23*(1+VLOOKUP($A24,$C$43:$CP$69,Z$2,0)),Z23*(1+(VLOOKUP($A24,'MoM Forecasts'!$2:$25,'Unchained Indices'!Z$2,0))))</f>
        <v>100.360336908763</v>
      </c>
      <c r="AA24">
        <f>IF($B24=TRUE,AA23*(1+VLOOKUP($A24,$C$43:$CP$69,AA$2,0)),AA23*(1+(VLOOKUP($A24,'MoM Forecasts'!$2:$25,'Unchained Indices'!AA$2,0))))</f>
        <v>100.64393850108118</v>
      </c>
      <c r="AB24">
        <f>IF($B24=TRUE,AB23*(1+VLOOKUP($A24,$C$43:$CP$69,AB$2,0)),AB23*(1+(VLOOKUP($A24,'MoM Forecasts'!$2:$25,'Unchained Indices'!AB$2,0))))</f>
        <v>100.47674359410172</v>
      </c>
      <c r="AC24">
        <f>IF($B24=TRUE,AC23*(1+VLOOKUP($A24,$C$43:$CP$69,AC$2,0)),AC23*(1+(VLOOKUP($A24,'MoM Forecasts'!$2:$25,'Unchained Indices'!AC$2,0))))</f>
        <v>105.80660280432753</v>
      </c>
      <c r="AD24">
        <f>IF($B24=TRUE,AD23*(1+VLOOKUP($A24,$C$43:$CP$69,AD$2,0)),AD23*(1+(VLOOKUP($A24,'MoM Forecasts'!$2:$25,'Unchained Indices'!AD$2,0))))</f>
        <v>100.4106561858533</v>
      </c>
      <c r="AE24">
        <f>IF($B24=TRUE,AE23*(1+VLOOKUP($A24,$C$43:$CP$69,AE$2,0)),AE23*(1+(VLOOKUP($A24,'MoM Forecasts'!$2:$25,'Unchained Indices'!AE$2,0))))</f>
        <v>99.933449898472247</v>
      </c>
      <c r="AF24">
        <f>IF($B24=TRUE,AF23*(1+VLOOKUP($A24,$C$43:$CP$69,AF$2,0)),AF23*(1+(VLOOKUP($A24,'MoM Forecasts'!$2:$25,'Unchained Indices'!AF$2,0))))</f>
        <v>98.805472753165432</v>
      </c>
      <c r="AG24">
        <f>IF($B24=TRUE,AG23*(1+VLOOKUP($A24,$C$43:$CP$69,AG$2,0)),AG23*(1+(VLOOKUP($A24,'MoM Forecasts'!$2:$25,'Unchained Indices'!AG$2,0))))</f>
        <v>100.51720118222561</v>
      </c>
      <c r="AH24">
        <f>IF($B24=TRUE,AH23*(1+VLOOKUP($A24,$C$43:$CP$69,AH$2,0)),AH23*(1+(VLOOKUP($A24,'MoM Forecasts'!$2:$25,'Unchained Indices'!AH$2,0))))</f>
        <v>100.46473478824569</v>
      </c>
      <c r="AI24">
        <f>IF($B24=TRUE,AI23*(1+VLOOKUP($A24,$C$43:$CP$69,AI$2,0)),AI23*(1+(VLOOKUP($A24,'MoM Forecasts'!$2:$25,'Unchained Indices'!AI$2,0))))</f>
        <v>98.660130906523591</v>
      </c>
      <c r="AJ24">
        <f>IF($B24=TRUE,AJ23*(1+VLOOKUP($A24,$C$43:$CP$69,AJ$2,0)),AJ23*(1+(VLOOKUP($A24,'MoM Forecasts'!$2:$25,'Unchained Indices'!AJ$2,0))))</f>
        <v>100.55506039647678</v>
      </c>
      <c r="AK24">
        <f>IF($B24=TRUE,AK23*(1+VLOOKUP($A24,$C$43:$CP$69,AK$2,0)),AK23*(1+(VLOOKUP($A24,'MoM Forecasts'!$2:$25,'Unchained Indices'!AK$2,0))))</f>
        <v>100.35101507788289</v>
      </c>
      <c r="AL24">
        <f>IF($B24=TRUE,AL23*(1+VLOOKUP($A24,$C$43:$CP$69,AL$2,0)),AL23*(1+(VLOOKUP($A24,'MoM Forecasts'!$2:$25,'Unchained Indices'!AL$2,0))))</f>
        <v>100.55430529890396</v>
      </c>
      <c r="AM24">
        <f>IF($B24=TRUE,AM23*(1+VLOOKUP($A24,$C$43:$CP$69,AM$2,0)),AM23*(1+(VLOOKUP($A24,'MoM Forecasts'!$2:$25,'Unchained Indices'!AM$2,0))))</f>
        <v>100.63635558843818</v>
      </c>
      <c r="AN24">
        <f>IF($B24=TRUE,AN23*(1+VLOOKUP($A24,$C$43:$CP$69,AN$2,0)),AN23*(1+(VLOOKUP($A24,'MoM Forecasts'!$2:$25,'Unchained Indices'!AN$2,0))))</f>
        <v>100.53862953605838</v>
      </c>
      <c r="AO24">
        <f>IF($B24=TRUE,AO23*(1+VLOOKUP($A24,$C$43:$CP$69,AO$2,0)),AO23*(1+(VLOOKUP($A24,'MoM Forecasts'!$2:$25,'Unchained Indices'!AO$2,0))))</f>
        <v>100.55954790228805</v>
      </c>
      <c r="AP24">
        <f>IF($B24=TRUE,AP23*(1+VLOOKUP($A24,$C$43:$CP$69,AP$2,0)),AP23*(1+(VLOOKUP($A24,'MoM Forecasts'!$2:$25,'Unchained Indices'!AP$2,0))))</f>
        <v>100.59075180290205</v>
      </c>
      <c r="AQ24">
        <f>IF($B24=TRUE,AQ23*(1+VLOOKUP($A24,$C$43:$CP$69,AQ$2,0)),AQ23*(1+(VLOOKUP($A24,'MoM Forecasts'!$2:$25,'Unchained Indices'!AQ$2,0))))</f>
        <v>100.24689714754886</v>
      </c>
      <c r="AR24">
        <f>IF($B24=TRUE,AR23*(1+VLOOKUP($A24,$C$43:$CP$69,AR$2,0)),AR23*(1+(VLOOKUP($A24,'MoM Forecasts'!$2:$25,'Unchained Indices'!AR$2,0))))</f>
        <v>100.50929659541799</v>
      </c>
      <c r="AS24">
        <f>IF($B24=TRUE,AS23*(1+VLOOKUP($A24,$C$43:$CP$69,AS$2,0)),AS23*(1+(VLOOKUP($A24,'MoM Forecasts'!$2:$25,'Unchained Indices'!AS$2,0))))</f>
        <v>100.58118584814649</v>
      </c>
      <c r="AT24">
        <f>IF($B24=TRUE,AT23*(1+VLOOKUP($A24,$C$43:$CP$69,AT$2,0)),AT23*(1+(VLOOKUP($A24,'MoM Forecasts'!$2:$25,'Unchained Indices'!AT$2,0))))</f>
        <v>100.39815683251655</v>
      </c>
      <c r="AU24">
        <f>IF($B24=TRUE,AU23*(1+VLOOKUP($A24,$C$43:$CP$69,AU$2,0)),AU23*(1+(VLOOKUP($A24,'MoM Forecasts'!$2:$25,'Unchained Indices'!AU$2,0))))</f>
        <v>100.70599678072615</v>
      </c>
      <c r="AV24">
        <f>IF($B24=TRUE,AV23*(1+VLOOKUP($A24,$C$43:$CP$69,AV$2,0)),AV23*(1+(VLOOKUP($A24,'MoM Forecasts'!$2:$25,'Unchained Indices'!AV$2,0))))</f>
        <v>100.62170046576841</v>
      </c>
      <c r="AW24">
        <f>IF($B24=TRUE,AW23*(1+VLOOKUP($A24,$C$43:$CP$69,AW$2,0)),AW23*(1+(VLOOKUP($A24,'MoM Forecasts'!$2:$25,'Unchained Indices'!AW$2,0))))</f>
        <v>100.58578025945907</v>
      </c>
      <c r="AX24">
        <f>IF($B24=TRUE,AX23*(1+VLOOKUP($A24,$C$43:$CP$69,AX$2,0)),AX23*(1+(VLOOKUP($A24,'MoM Forecasts'!$2:$25,'Unchained Indices'!AX$2,0))))</f>
        <v>102.87792111937644</v>
      </c>
      <c r="AY24">
        <f>IF($B24=TRUE,AY23*(1+VLOOKUP($A24,$C$43:$CP$69,AY$2,0)),AY23*(1+(VLOOKUP($A24,'MoM Forecasts'!$2:$25,'Unchained Indices'!AY$2,0))))</f>
        <v>100.75922490899161</v>
      </c>
      <c r="AZ24">
        <f>IF($B24=TRUE,AZ23*(1+VLOOKUP($A24,$C$43:$CP$69,AZ$2,0)),AZ23*(1+(VLOOKUP($A24,'MoM Forecasts'!$2:$25,'Unchained Indices'!AZ$2,0))))</f>
        <v>100.61537771713698</v>
      </c>
      <c r="BA24">
        <f>IF($B24=TRUE,BA23*(1+VLOOKUP($A24,$C$43:$CP$69,BA$2,0)),BA23*(1+(VLOOKUP($A24,'MoM Forecasts'!$2:$25,'Unchained Indices'!BA$2,0))))</f>
        <v>100.69078573648112</v>
      </c>
      <c r="BB24">
        <f>IF($B24=TRUE,BB23*(1+VLOOKUP($A24,$C$43:$CP$69,BB$2,0)),BB23*(1+(VLOOKUP($A24,'MoM Forecasts'!$2:$25,'Unchained Indices'!BB$2,0))))</f>
        <v>100.69974080611141</v>
      </c>
      <c r="BC24">
        <f>IF($B24=TRUE,BC23*(1+VLOOKUP($A24,$C$43:$CP$69,BC$2,0)),BC23*(1+(VLOOKUP($A24,'MoM Forecasts'!$2:$25,'Unchained Indices'!BC$2,0))))</f>
        <v>100.41702043810531</v>
      </c>
      <c r="BD24">
        <f>IF($B24=TRUE,BD23*(1+VLOOKUP($A24,$C$43:$CP$69,BD$2,0)),BD23*(1+(VLOOKUP($A24,'MoM Forecasts'!$2:$25,'Unchained Indices'!BD$2,0))))</f>
        <v>100.47028012602931</v>
      </c>
      <c r="BE24">
        <f>IF($B24=TRUE,BE23*(1+VLOOKUP($A24,$C$43:$CP$69,BE$2,0)),BE23*(1+(VLOOKUP($A24,'MoM Forecasts'!$2:$25,'Unchained Indices'!BE$2,0))))</f>
        <v>100.57762713100699</v>
      </c>
      <c r="BF24">
        <f>IF($B24=TRUE,BF23*(1+VLOOKUP($A24,$C$43:$CP$69,BF$2,0)),BF23*(1+(VLOOKUP($A24,'MoM Forecasts'!$2:$25,'Unchained Indices'!BF$2,0))))</f>
        <v>100.4064727310402</v>
      </c>
      <c r="BG24">
        <f>IF($B24=TRUE,BG23*(1+VLOOKUP($A24,$C$43:$CP$69,BG$2,0)),BG23*(1+(VLOOKUP($A24,'MoM Forecasts'!$2:$25,'Unchained Indices'!BG$2,0))))</f>
        <v>100.46354364589357</v>
      </c>
      <c r="BH24">
        <f>IF($B24=TRUE,BH23*(1+VLOOKUP($A24,$C$43:$CP$69,BH$2,0)),BH23*(1+(VLOOKUP($A24,'MoM Forecasts'!$2:$25,'Unchained Indices'!BH$2,0))))</f>
        <v>103.2780474732332</v>
      </c>
      <c r="BI24">
        <f>IF($B24=TRUE,BI23*(1+VLOOKUP($A24,$C$43:$CP$69,BI$2,0)),BI23*(1+(VLOOKUP($A24,'MoM Forecasts'!$2:$25,'Unchained Indices'!BI$2,0))))</f>
        <v>100.45005890680872</v>
      </c>
      <c r="BJ24">
        <f>IF($B24=TRUE,BJ23*(1+VLOOKUP($A24,$C$43:$CP$69,BJ$2,0)),BJ23*(1+(VLOOKUP($A24,'MoM Forecasts'!$2:$25,'Unchained Indices'!BJ$2,0))))</f>
        <v>100.45301497722978</v>
      </c>
      <c r="BK24">
        <f>IF($B24=TRUE,BK23*(1+VLOOKUP($A24,$C$43:$CP$69,BK$2,0)),BK23*(1+(VLOOKUP($A24,'MoM Forecasts'!$2:$25,'Unchained Indices'!BK$2,0))))</f>
        <v>99.619246669077853</v>
      </c>
      <c r="BL24">
        <f>IF($B24=TRUE,BL23*(1+VLOOKUP($A24,$C$43:$CP$69,BL$2,0)),BL23*(1+(VLOOKUP($A24,'MoM Forecasts'!$2:$25,'Unchained Indices'!BL$2,0))))</f>
        <v>100.35821712655188</v>
      </c>
      <c r="BM24">
        <f>IF($B24=TRUE,BM23*(1+VLOOKUP($A24,$C$43:$CP$69,BM$2,0)),BM23*(1+(VLOOKUP($A24,'MoM Forecasts'!$2:$25,'Unchained Indices'!BM$2,0))))</f>
        <v>100.37627120395197</v>
      </c>
      <c r="BN24">
        <f>IF($B24=TRUE,BN23*(1+VLOOKUP($A24,$C$43:$CP$69,BN$2,0)),BN23*(1+(VLOOKUP($A24,'MoM Forecasts'!$2:$25,'Unchained Indices'!BN$2,0))))</f>
        <v>100.50745043197279</v>
      </c>
      <c r="BO24">
        <f>IF($B24=TRUE,BO23*(1+VLOOKUP($A24,$C$43:$CP$69,BO$2,0)),BO23*(1+(VLOOKUP($A24,'MoM Forecasts'!$2:$25,'Unchained Indices'!BO$2,0))))</f>
        <v>100.63020898304157</v>
      </c>
      <c r="BP24">
        <f>IF($B24=TRUE,BP23*(1+VLOOKUP($A24,$C$43:$CP$69,BP$2,0)),BP23*(1+(VLOOKUP($A24,'MoM Forecasts'!$2:$25,'Unchained Indices'!BP$2,0))))</f>
        <v>99.98706160409148</v>
      </c>
      <c r="BQ24">
        <f>IF($B24=TRUE,BQ23*(1+VLOOKUP($A24,$C$43:$CP$69,BQ$2,0)),BQ23*(1+(VLOOKUP($A24,'MoM Forecasts'!$2:$25,'Unchained Indices'!BQ$2,0))))</f>
        <v>100.63483104040154</v>
      </c>
      <c r="BR24">
        <f>IF($B24=TRUE,BR23*(1+VLOOKUP($A24,$C$43:$CP$69,BR$2,0)),BR23*(1+(VLOOKUP($A24,'MoM Forecasts'!$2:$25,'Unchained Indices'!BR$2,0))))</f>
        <v>100.65816373441055</v>
      </c>
      <c r="BS24">
        <f>IF($B24=TRUE,BS23*(1+VLOOKUP($A24,$C$43:$CP$69,BS$2,0)),BS23*(1+(VLOOKUP($A24,'MoM Forecasts'!$2:$25,'Unchained Indices'!BS$2,0))))</f>
        <v>100.24332482099904</v>
      </c>
      <c r="BT24">
        <f>IF($B24=TRUE,BT23*(1+VLOOKUP($A24,$C$43:$CP$69,BT$2,0)),BT23*(1+(VLOOKUP($A24,'MoM Forecasts'!$2:$25,'Unchained Indices'!BT$2,0))))</f>
        <v>100.10901586254323</v>
      </c>
      <c r="BU24">
        <f>IF($B24=TRUE,BU23*(1+VLOOKUP($A24,$C$43:$CP$69,BU$2,0)),BU23*(1+(VLOOKUP($A24,'MoM Forecasts'!$2:$25,'Unchained Indices'!BU$2,0))))</f>
        <v>100.21903784472308</v>
      </c>
      <c r="BV24">
        <f>IF($B24=TRUE,BV23*(1+VLOOKUP($A24,$C$43:$CP$69,BV$2,0)),BV23*(1+(VLOOKUP($A24,'MoM Forecasts'!$2:$25,'Unchained Indices'!BV$2,0))))</f>
        <v>100.36848260001616</v>
      </c>
      <c r="BW24">
        <f>IF($B24=TRUE,BW23*(1+VLOOKUP($A24,$C$43:$CP$69,BW$2,0)),BW23*(1+(VLOOKUP($A24,'MoM Forecasts'!$2:$25,'Unchained Indices'!BW$2,0))))</f>
        <v>100.18034836990657</v>
      </c>
      <c r="BX24">
        <f>IF($B24=TRUE,BX23*(1+VLOOKUP($A24,$C$43:$CP$69,BX$2,0)),BX23*(1+(VLOOKUP($A24,'MoM Forecasts'!$2:$25,'Unchained Indices'!BX$2,0))))</f>
        <v>100.42308870454865</v>
      </c>
      <c r="BY24">
        <f>IF($B24=TRUE,BY23*(1+VLOOKUP($A24,$C$43:$CP$69,BY$2,0)),BY23*(1+(VLOOKUP($A24,'MoM Forecasts'!$2:$25,'Unchained Indices'!BY$2,0))))</f>
        <v>100.39930525326454</v>
      </c>
      <c r="BZ24">
        <f>IF($B24=TRUE,BZ23*(1+VLOOKUP($A24,$C$43:$CP$69,BZ$2,0)),BZ23*(1+(VLOOKUP($A24,'MoM Forecasts'!$2:$25,'Unchained Indices'!BZ$2,0))))</f>
        <v>100.66167126475295</v>
      </c>
      <c r="CA24">
        <f>IF($B24=TRUE,CA23*(1+VLOOKUP($A24,$C$43:$CP$69,CA$2,0)),CA23*(1+(VLOOKUP($A24,'MoM Forecasts'!$2:$25,'Unchained Indices'!CA$2,0))))</f>
        <v>99.732672644110238</v>
      </c>
      <c r="CB24">
        <f>IF($B24=TRUE,CB23*(1+VLOOKUP($A24,$C$43:$CP$69,CB$2,0)),CB23*(1+(VLOOKUP($A24,'MoM Forecasts'!$2:$25,'Unchained Indices'!CB$2,0))))</f>
        <v>100.64816938053158</v>
      </c>
      <c r="CC24">
        <f>IF($B24=TRUE,CC23*(1+VLOOKUP($A24,$C$43:$CP$69,CC$2,0)),CC23*(1+(VLOOKUP($A24,'MoM Forecasts'!$2:$25,'Unchained Indices'!CC$2,0))))</f>
        <v>100.50496593928149</v>
      </c>
      <c r="CD24">
        <f>IF($B24=TRUE,CD23*(1+VLOOKUP($A24,$C$43:$CP$69,CD$2,0)),CD23*(1+(VLOOKUP($A24,'MoM Forecasts'!$2:$25,'Unchained Indices'!CD$2,0))))</f>
        <v>100.62039122242854</v>
      </c>
      <c r="CE24">
        <f>IF($B24=TRUE,CE23*(1+VLOOKUP($A24,$C$43:$CP$69,CE$2,0)),CE23*(1+(VLOOKUP($A24,'MoM Forecasts'!$2:$25,'Unchained Indices'!CE$2,0))))</f>
        <v>100.6238513957952</v>
      </c>
      <c r="CF24">
        <f>IF($B24=TRUE,CF23*(1+VLOOKUP($A24,$C$43:$CP$69,CF$2,0)),CF23*(1+(VLOOKUP($A24,'MoM Forecasts'!$2:$25,'Unchained Indices'!CF$2,0))))</f>
        <v>100.61016034041833</v>
      </c>
      <c r="CG24">
        <f>IF($B24=TRUE,CG23*(1+VLOOKUP($A24,$C$43:$CP$69,CG$2,0)),CG23*(1+(VLOOKUP($A24,'MoM Forecasts'!$2:$25,'Unchained Indices'!CG$2,0))))</f>
        <v>105.94261468291178</v>
      </c>
      <c r="CH24">
        <f>IF($B24=TRUE,CH23*(1+VLOOKUP($A24,$C$43:$CP$69,CH$2,0)),CH23*(1+(VLOOKUP($A24,'MoM Forecasts'!$2:$25,'Unchained Indices'!CH$2,0))))</f>
        <v>84.65939762675265</v>
      </c>
      <c r="CI24">
        <f>IF($B24=TRUE,CI23*(1+VLOOKUP($A24,$C$43:$CP$69,CI$2,0)),CI23*(1+(VLOOKUP($A24,'MoM Forecasts'!$2:$25,'Unchained Indices'!CI$2,0))))</f>
        <v>101.38559720903821</v>
      </c>
      <c r="CJ24">
        <f>IF($B24=TRUE,CJ23*(1+VLOOKUP($A24,$C$43:$CP$69,CJ$2,0)),CJ23*(1+(VLOOKUP($A24,'MoM Forecasts'!$2:$25,'Unchained Indices'!CJ$2,0))))</f>
        <v>99.718238748973278</v>
      </c>
      <c r="CK24">
        <f>IF($B24=TRUE,CK23*(1+VLOOKUP($A24,$C$43:$CP$69,CK$2,0)),CK23*(1+(VLOOKUP($A24,'MoM Forecasts'!$2:$25,'Unchained Indices'!CK$2,0))))</f>
        <v>100.56421131269667</v>
      </c>
      <c r="CL24">
        <f>IF($B24=TRUE,CL23*(1+VLOOKUP($A24,$C$43:$CP$69,CL$2,0)),CL23*(1+(VLOOKUP($A24,'MoM Forecasts'!$2:$25,'Unchained Indices'!CL$2,0))))</f>
        <v>100.27844125064981</v>
      </c>
      <c r="CM24">
        <f>IF($B24=TRUE,CM23*(1+VLOOKUP($A24,$C$43:$CP$69,CM$2,0)),CM23*(1+(VLOOKUP($A24,'MoM Forecasts'!$2:$25,'Unchained Indices'!CM$2,0))))</f>
        <v>100.47234816997947</v>
      </c>
      <c r="CN24">
        <f>IF($B24=TRUE,CN23*(1+VLOOKUP($A24,$C$43:$CP$69,CN$2,0)),CN23*(1+(VLOOKUP($A24,'MoM Forecasts'!$2:$25,'Unchained Indices'!CN$2,0))))</f>
        <v>100.68897535364054</v>
      </c>
      <c r="CO24">
        <f>IF($B24=TRUE,CO23*(1+VLOOKUP($A24,$C$43:$CP$69,CO$2,0)),CO23*(1+(VLOOKUP($A24,'MoM Forecasts'!$2:$25,'Unchained Indices'!CO$2,0))))</f>
        <v>100.65190486682886</v>
      </c>
      <c r="CP24">
        <f>IF($B24=TRUE,CP23*(1+VLOOKUP($A24,$C$43:$CP$69,CP$2,0)),CP23*(1+(VLOOKUP($A24,'MoM Forecasts'!$2:$25,'Unchained Indices'!CP$2,0))))</f>
        <v>100.62467484655552</v>
      </c>
    </row>
    <row r="25" spans="1:94" x14ac:dyDescent="0.25">
      <c r="A25" s="6">
        <f t="shared" si="4"/>
        <v>45170</v>
      </c>
      <c r="B25" s="8" t="str">
        <f>IF(A25&lt;='MoM Forecasts'!$A$2,TRUE,"")</f>
        <v/>
      </c>
      <c r="C25" s="7">
        <f t="shared" si="5"/>
        <v>44927</v>
      </c>
      <c r="D25">
        <f>IF($B25=TRUE,D24*(1+VLOOKUP($A25,$C$43:$CP$69,D$2,0)),D24*(1+(VLOOKUP($A25,'MoM Forecasts'!$2:$25,'Unchained Indices'!D$2,0))))</f>
        <v>100.52436314864096</v>
      </c>
      <c r="E25">
        <f>IF($B25=TRUE,E24*(1+VLOOKUP($A25,$C$43:$CP$69,E$2,0)),E24*(1+(VLOOKUP($A25,'MoM Forecasts'!$2:$25,'Unchained Indices'!E$2,0))))</f>
        <v>100.46805729345323</v>
      </c>
      <c r="F25">
        <f>IF($B25=TRUE,F24*(1+VLOOKUP($A25,$C$43:$CP$69,F$2,0)),F24*(1+(VLOOKUP($A25,'MoM Forecasts'!$2:$25,'Unchained Indices'!F$2,0))))</f>
        <v>100.5433537378011</v>
      </c>
      <c r="G25">
        <f>IF($B25=TRUE,G24*(1+VLOOKUP($A25,$C$43:$CP$69,G$2,0)),G24*(1+(VLOOKUP($A25,'MoM Forecasts'!$2:$25,'Unchained Indices'!G$2,0))))</f>
        <v>100.4998730671164</v>
      </c>
      <c r="H25">
        <f>IF($B25=TRUE,H24*(1+VLOOKUP($A25,$C$43:$CP$69,H$2,0)),H24*(1+(VLOOKUP($A25,'MoM Forecasts'!$2:$25,'Unchained Indices'!H$2,0))))</f>
        <v>100.65626765167963</v>
      </c>
      <c r="I25">
        <f>IF($B25=TRUE,I24*(1+VLOOKUP($A25,$C$43:$CP$69,I$2,0)),I24*(1+(VLOOKUP($A25,'MoM Forecasts'!$2:$25,'Unchained Indices'!I$2,0))))</f>
        <v>100.65555700730103</v>
      </c>
      <c r="J25">
        <f>IF($B25=TRUE,J24*(1+VLOOKUP($A25,$C$43:$CP$69,J$2,0)),J24*(1+(VLOOKUP($A25,'MoM Forecasts'!$2:$25,'Unchained Indices'!J$2,0))))</f>
        <v>100.56140954778134</v>
      </c>
      <c r="K25">
        <f>IF($B25=TRUE,K24*(1+VLOOKUP($A25,$C$43:$CP$69,K$2,0)),K24*(1+(VLOOKUP($A25,'MoM Forecasts'!$2:$25,'Unchained Indices'!K$2,0))))</f>
        <v>100.50214822028303</v>
      </c>
      <c r="L25">
        <f>IF($B25=TRUE,L24*(1+VLOOKUP($A25,$C$43:$CP$69,L$2,0)),L24*(1+(VLOOKUP($A25,'MoM Forecasts'!$2:$25,'Unchained Indices'!L$2,0))))</f>
        <v>100.20290733131854</v>
      </c>
      <c r="M25">
        <f>IF($B25=TRUE,M24*(1+VLOOKUP($A25,$C$43:$CP$69,M$2,0)),M24*(1+(VLOOKUP($A25,'MoM Forecasts'!$2:$25,'Unchained Indices'!M$2,0))))</f>
        <v>100.44288550357346</v>
      </c>
      <c r="N25">
        <f>IF($B25=TRUE,N24*(1+VLOOKUP($A25,$C$43:$CP$69,N$2,0)),N24*(1+(VLOOKUP($A25,'MoM Forecasts'!$2:$25,'Unchained Indices'!N$2,0))))</f>
        <v>100.62477922751474</v>
      </c>
      <c r="O25">
        <f>IF($B25=TRUE,O24*(1+VLOOKUP($A25,$C$43:$CP$69,O$2,0)),O24*(1+(VLOOKUP($A25,'MoM Forecasts'!$2:$25,'Unchained Indices'!O$2,0))))</f>
        <v>100.63003508726133</v>
      </c>
      <c r="P25">
        <f>IF($B25=TRUE,P24*(1+VLOOKUP($A25,$C$43:$CP$69,P$2,0)),P24*(1+(VLOOKUP($A25,'MoM Forecasts'!$2:$25,'Unchained Indices'!P$2,0))))</f>
        <v>100.61008750393326</v>
      </c>
      <c r="Q25">
        <f>IF($B25=TRUE,Q24*(1+VLOOKUP($A25,$C$43:$CP$69,Q$2,0)),Q24*(1+(VLOOKUP($A25,'MoM Forecasts'!$2:$25,'Unchained Indices'!Q$2,0))))</f>
        <v>100.61934607667501</v>
      </c>
      <c r="R25">
        <f>IF($B25=TRUE,R24*(1+VLOOKUP($A25,$C$43:$CP$69,R$2,0)),R24*(1+(VLOOKUP($A25,'MoM Forecasts'!$2:$25,'Unchained Indices'!R$2,0))))</f>
        <v>100.42157508688682</v>
      </c>
      <c r="S25">
        <f>IF($B25=TRUE,S24*(1+VLOOKUP($A25,$C$43:$CP$69,S$2,0)),S24*(1+(VLOOKUP($A25,'MoM Forecasts'!$2:$25,'Unchained Indices'!S$2,0))))</f>
        <v>100.56450442689845</v>
      </c>
      <c r="T25">
        <f>IF($B25=TRUE,T24*(1+VLOOKUP($A25,$C$43:$CP$69,T$2,0)),T24*(1+(VLOOKUP($A25,'MoM Forecasts'!$2:$25,'Unchained Indices'!T$2,0))))</f>
        <v>100.62216502104194</v>
      </c>
      <c r="U25">
        <f>IF($B25=TRUE,U24*(1+VLOOKUP($A25,$C$43:$CP$69,U$2,0)),U24*(1+(VLOOKUP($A25,'MoM Forecasts'!$2:$25,'Unchained Indices'!U$2,0))))</f>
        <v>100.50601575925565</v>
      </c>
      <c r="V25">
        <f>IF($B25=TRUE,V24*(1+VLOOKUP($A25,$C$43:$CP$69,V$2,0)),V24*(1+(VLOOKUP($A25,'MoM Forecasts'!$2:$25,'Unchained Indices'!V$2,0))))</f>
        <v>100.37626257156451</v>
      </c>
      <c r="W25">
        <f>IF($B25=TRUE,W24*(1+VLOOKUP($A25,$C$43:$CP$69,W$2,0)),W24*(1+(VLOOKUP($A25,'MoM Forecasts'!$2:$25,'Unchained Indices'!W$2,0))))</f>
        <v>100.48149026978358</v>
      </c>
      <c r="X25">
        <f>IF($B25=TRUE,X24*(1+VLOOKUP($A25,$C$43:$CP$69,X$2,0)),X24*(1+(VLOOKUP($A25,'MoM Forecasts'!$2:$25,'Unchained Indices'!X$2,0))))</f>
        <v>100.49834797104444</v>
      </c>
      <c r="Y25">
        <f>IF($B25=TRUE,Y24*(1+VLOOKUP($A25,$C$43:$CP$69,Y$2,0)),Y24*(1+(VLOOKUP($A25,'MoM Forecasts'!$2:$25,'Unchained Indices'!Y$2,0))))</f>
        <v>100.51541359920792</v>
      </c>
      <c r="Z25">
        <f>IF($B25=TRUE,Z24*(1+VLOOKUP($A25,$C$43:$CP$69,Z$2,0)),Z24*(1+(VLOOKUP($A25,'MoM Forecasts'!$2:$25,'Unchained Indices'!Z$2,0))))</f>
        <v>100.41181361001486</v>
      </c>
      <c r="AA25">
        <f>IF($B25=TRUE,AA24*(1+VLOOKUP($A25,$C$43:$CP$69,AA$2,0)),AA24*(1+(VLOOKUP($A25,'MoM Forecasts'!$2:$25,'Unchained Indices'!AA$2,0))))</f>
        <v>100.73592971552137</v>
      </c>
      <c r="AB25">
        <f>IF($B25=TRUE,AB24*(1+VLOOKUP($A25,$C$43:$CP$69,AB$2,0)),AB24*(1+(VLOOKUP($A25,'MoM Forecasts'!$2:$25,'Unchained Indices'!AB$2,0))))</f>
        <v>100.54484982183052</v>
      </c>
      <c r="AC25">
        <f>IF($B25=TRUE,AC24*(1+VLOOKUP($A25,$C$43:$CP$69,AC$2,0)),AC24*(1+(VLOOKUP($A25,'MoM Forecasts'!$2:$25,'Unchained Indices'!AC$2,0))))</f>
        <v>101.48299166179656</v>
      </c>
      <c r="AD25">
        <f>IF($B25=TRUE,AD24*(1+VLOOKUP($A25,$C$43:$CP$69,AD$2,0)),AD24*(1+(VLOOKUP($A25,'MoM Forecasts'!$2:$25,'Unchained Indices'!AD$2,0))))</f>
        <v>100.4693213552609</v>
      </c>
      <c r="AE25">
        <f>IF($B25=TRUE,AE24*(1+VLOOKUP($A25,$C$43:$CP$69,AE$2,0)),AE24*(1+(VLOOKUP($A25,'MoM Forecasts'!$2:$25,'Unchained Indices'!AE$2,0))))</f>
        <v>100.53640503876852</v>
      </c>
      <c r="AF25">
        <f>IF($B25=TRUE,AF24*(1+VLOOKUP($A25,$C$43:$CP$69,AF$2,0)),AF24*(1+(VLOOKUP($A25,'MoM Forecasts'!$2:$25,'Unchained Indices'!AF$2,0))))</f>
        <v>98.651688750191468</v>
      </c>
      <c r="AG25">
        <f>IF($B25=TRUE,AG24*(1+VLOOKUP($A25,$C$43:$CP$69,AG$2,0)),AG24*(1+(VLOOKUP($A25,'MoM Forecasts'!$2:$25,'Unchained Indices'!AG$2,0))))</f>
        <v>100.59108706540071</v>
      </c>
      <c r="AH25">
        <f>IF($B25=TRUE,AH24*(1+VLOOKUP($A25,$C$43:$CP$69,AH$2,0)),AH24*(1+(VLOOKUP($A25,'MoM Forecasts'!$2:$25,'Unchained Indices'!AH$2,0))))</f>
        <v>100.53112547228079</v>
      </c>
      <c r="AI25">
        <f>IF($B25=TRUE,AI24*(1+VLOOKUP($A25,$C$43:$CP$69,AI$2,0)),AI24*(1+(VLOOKUP($A25,'MoM Forecasts'!$2:$25,'Unchained Indices'!AI$2,0))))</f>
        <v>98.281341389677223</v>
      </c>
      <c r="AJ25">
        <f>IF($B25=TRUE,AJ24*(1+VLOOKUP($A25,$C$43:$CP$69,AJ$2,0)),AJ24*(1+(VLOOKUP($A25,'MoM Forecasts'!$2:$25,'Unchained Indices'!AJ$2,0))))</f>
        <v>100.63435473883061</v>
      </c>
      <c r="AK25">
        <f>IF($B25=TRUE,AK24*(1+VLOOKUP($A25,$C$43:$CP$69,AK$2,0)),AK24*(1+(VLOOKUP($A25,'MoM Forecasts'!$2:$25,'Unchained Indices'!AK$2,0))))</f>
        <v>100.40116008900903</v>
      </c>
      <c r="AL25">
        <f>IF($B25=TRUE,AL24*(1+VLOOKUP($A25,$C$43:$CP$69,AL$2,0)),AL24*(1+(VLOOKUP($A25,'MoM Forecasts'!$2:$25,'Unchained Indices'!AL$2,0))))</f>
        <v>100.63349177017594</v>
      </c>
      <c r="AM25">
        <f>IF($B25=TRUE,AM24*(1+VLOOKUP($A25,$C$43:$CP$69,AM$2,0)),AM24*(1+(VLOOKUP($A25,'MoM Forecasts'!$2:$25,'Unchained Indices'!AM$2,0))))</f>
        <v>100.72726352964364</v>
      </c>
      <c r="AN25">
        <f>IF($B25=TRUE,AN24*(1+VLOOKUP($A25,$C$43:$CP$69,AN$2,0)),AN24*(1+(VLOOKUP($A25,'MoM Forecasts'!$2:$25,'Unchained Indices'!AN$2,0))))</f>
        <v>100.61557661263816</v>
      </c>
      <c r="AO25">
        <f>IF($B25=TRUE,AO24*(1+VLOOKUP($A25,$C$43:$CP$69,AO$2,0)),AO24*(1+(VLOOKUP($A25,'MoM Forecasts'!$2:$25,'Unchained Indices'!AO$2,0))))</f>
        <v>100.63948331690064</v>
      </c>
      <c r="AP25">
        <f>IF($B25=TRUE,AP24*(1+VLOOKUP($A25,$C$43:$CP$69,AP$2,0)),AP24*(1+(VLOOKUP($A25,'MoM Forecasts'!$2:$25,'Unchained Indices'!AP$2,0))))</f>
        <v>100.67514491760234</v>
      </c>
      <c r="AQ25">
        <f>IF($B25=TRUE,AQ24*(1+VLOOKUP($A25,$C$43:$CP$69,AQ$2,0)),AQ24*(1+(VLOOKUP($A25,'MoM Forecasts'!$2:$25,'Unchained Indices'!AQ$2,0))))</f>
        <v>100.28216816862728</v>
      </c>
      <c r="AR25">
        <f>IF($B25=TRUE,AR24*(1+VLOOKUP($A25,$C$43:$CP$69,AR$2,0)),AR24*(1+(VLOOKUP($A25,'MoM Forecasts'!$2:$25,'Unchained Indices'!AR$2,0))))</f>
        <v>100.58205325190626</v>
      </c>
      <c r="AS25">
        <f>IF($B25=TRUE,AS24*(1+VLOOKUP($A25,$C$43:$CP$69,AS$2,0)),AS24*(1+(VLOOKUP($A25,'MoM Forecasts'!$2:$25,'Unchained Indices'!AS$2,0))))</f>
        <v>100.66421239788171</v>
      </c>
      <c r="AT25">
        <f>IF($B25=TRUE,AT24*(1+VLOOKUP($A25,$C$43:$CP$69,AT$2,0)),AT24*(1+(VLOOKUP($A25,'MoM Forecasts'!$2:$25,'Unchained Indices'!AT$2,0))))</f>
        <v>100.45503638001892</v>
      </c>
      <c r="AU25">
        <f>IF($B25=TRUE,AU24*(1+VLOOKUP($A25,$C$43:$CP$69,AU$2,0)),AU24*(1+(VLOOKUP($A25,'MoM Forecasts'!$2:$25,'Unchained Indices'!AU$2,0))))</f>
        <v>100.80685346368702</v>
      </c>
      <c r="AV25">
        <f>IF($B25=TRUE,AV24*(1+VLOOKUP($A25,$C$43:$CP$69,AV$2,0)),AV24*(1+(VLOOKUP($A25,'MoM Forecasts'!$2:$25,'Unchained Indices'!AV$2,0))))</f>
        <v>100.71051481802105</v>
      </c>
      <c r="AW25">
        <f>IF($B25=TRUE,AW24*(1+VLOOKUP($A25,$C$43:$CP$69,AW$2,0)),AW24*(1+(VLOOKUP($A25,'MoM Forecasts'!$2:$25,'Unchained Indices'!AW$2,0))))</f>
        <v>100.66946315366752</v>
      </c>
      <c r="AX25">
        <f>IF($B25=TRUE,AX24*(1+VLOOKUP($A25,$C$43:$CP$69,AX$2,0)),AX24*(1+(VLOOKUP($A25,'MoM Forecasts'!$2:$25,'Unchained Indices'!AX$2,0))))</f>
        <v>103.32268089518412</v>
      </c>
      <c r="AY25">
        <f>IF($B25=TRUE,AY24*(1+VLOOKUP($A25,$C$43:$CP$69,AY$2,0)),AY24*(1+(VLOOKUP($A25,'MoM Forecasts'!$2:$25,'Unchained Indices'!AY$2,0))))</f>
        <v>100.86768561027614</v>
      </c>
      <c r="AZ25">
        <f>IF($B25=TRUE,AZ24*(1+VLOOKUP($A25,$C$43:$CP$69,AZ$2,0)),AZ24*(1+(VLOOKUP($A25,'MoM Forecasts'!$2:$25,'Unchained Indices'!AZ$2,0))))</f>
        <v>100.70328881958511</v>
      </c>
      <c r="BA25">
        <f>IF($B25=TRUE,BA24*(1+VLOOKUP($A25,$C$43:$CP$69,BA$2,0)),BA24*(1+(VLOOKUP($A25,'MoM Forecasts'!$2:$25,'Unchained Indices'!BA$2,0))))</f>
        <v>100.78946941312128</v>
      </c>
      <c r="BB25">
        <f>IF($B25=TRUE,BB24*(1+VLOOKUP($A25,$C$43:$CP$69,BB$2,0)),BB24*(1+(VLOOKUP($A25,'MoM Forecasts'!$2:$25,'Unchained Indices'!BB$2,0))))</f>
        <v>100.79970377841305</v>
      </c>
      <c r="BC25">
        <f>IF($B25=TRUE,BC24*(1+VLOOKUP($A25,$C$43:$CP$69,BC$2,0)),BC24*(1+(VLOOKUP($A25,'MoM Forecasts'!$2:$25,'Unchained Indices'!BC$2,0))))</f>
        <v>100.47659478640608</v>
      </c>
      <c r="BD25">
        <f>IF($B25=TRUE,BD24*(1+VLOOKUP($A25,$C$43:$CP$69,BD$2,0)),BD24*(1+(VLOOKUP($A25,'MoM Forecasts'!$2:$25,'Unchained Indices'!BD$2,0))))</f>
        <v>100.53746300117636</v>
      </c>
      <c r="BE25">
        <f>IF($B25=TRUE,BE24*(1+VLOOKUP($A25,$C$43:$CP$69,BE$2,0)),BE24*(1+(VLOOKUP($A25,'MoM Forecasts'!$2:$25,'Unchained Indices'!BE$2,0))))</f>
        <v>100.66014529257943</v>
      </c>
      <c r="BF25">
        <f>IF($B25=TRUE,BF24*(1+VLOOKUP($A25,$C$43:$CP$69,BF$2,0)),BF24*(1+(VLOOKUP($A25,'MoM Forecasts'!$2:$25,'Unchained Indices'!BF$2,0))))</f>
        <v>100.46454026404592</v>
      </c>
      <c r="BG25">
        <f>IF($B25=TRUE,BG24*(1+VLOOKUP($A25,$C$43:$CP$69,BG$2,0)),BG24*(1+(VLOOKUP($A25,'MoM Forecasts'!$2:$25,'Unchained Indices'!BG$2,0))))</f>
        <v>100.52976416673549</v>
      </c>
      <c r="BH25">
        <f>IF($B25=TRUE,BH24*(1+VLOOKUP($A25,$C$43:$CP$69,BH$2,0)),BH24*(1+(VLOOKUP($A25,'MoM Forecasts'!$2:$25,'Unchained Indices'!BH$2,0))))</f>
        <v>104.65955590580289</v>
      </c>
      <c r="BI25">
        <f>IF($B25=TRUE,BI24*(1+VLOOKUP($A25,$C$43:$CP$69,BI$2,0)),BI24*(1+(VLOOKUP($A25,'MoM Forecasts'!$2:$25,'Unchained Indices'!BI$2,0))))</f>
        <v>100.51435303635283</v>
      </c>
      <c r="BJ25">
        <f>IF($B25=TRUE,BJ24*(1+VLOOKUP($A25,$C$43:$CP$69,BJ$2,0)),BJ24*(1+(VLOOKUP($A25,'MoM Forecasts'!$2:$25,'Unchained Indices'!BJ$2,0))))</f>
        <v>100.51773140254834</v>
      </c>
      <c r="BK25">
        <f>IF($B25=TRUE,BK24*(1+VLOOKUP($A25,$C$43:$CP$69,BK$2,0)),BK24*(1+(VLOOKUP($A25,'MoM Forecasts'!$2:$25,'Unchained Indices'!BK$2,0))))</f>
        <v>99.564853336088987</v>
      </c>
      <c r="BL25">
        <f>IF($B25=TRUE,BL24*(1+VLOOKUP($A25,$C$43:$CP$69,BL$2,0)),BL24*(1+(VLOOKUP($A25,'MoM Forecasts'!$2:$25,'Unchained Indices'!BL$2,0))))</f>
        <v>100.40939100177357</v>
      </c>
      <c r="BM25">
        <f>IF($B25=TRUE,BM24*(1+VLOOKUP($A25,$C$43:$CP$69,BM$2,0)),BM24*(1+(VLOOKUP($A25,'MoM Forecasts'!$2:$25,'Unchained Indices'!BM$2,0))))</f>
        <v>100.43002423308796</v>
      </c>
      <c r="BN25">
        <f>IF($B25=TRUE,BN24*(1+VLOOKUP($A25,$C$43:$CP$69,BN$2,0)),BN24*(1+(VLOOKUP($A25,'MoM Forecasts'!$2:$25,'Unchained Indices'!BN$2,0))))</f>
        <v>100.57994335082606</v>
      </c>
      <c r="BO25">
        <f>IF($B25=TRUE,BO24*(1+VLOOKUP($A25,$C$43:$CP$69,BO$2,0)),BO24*(1+(VLOOKUP($A25,'MoM Forecasts'!$2:$25,'Unchained Indices'!BO$2,0))))</f>
        <v>100.72023883776178</v>
      </c>
      <c r="BP25">
        <f>IF($B25=TRUE,BP24*(1+VLOOKUP($A25,$C$43:$CP$69,BP$2,0)),BP24*(1+(VLOOKUP($A25,'MoM Forecasts'!$2:$25,'Unchained Indices'!BP$2,0))))</f>
        <v>99.985213261818842</v>
      </c>
      <c r="BQ25">
        <f>IF($B25=TRUE,BQ24*(1+VLOOKUP($A25,$C$43:$CP$69,BQ$2,0)),BQ24*(1+(VLOOKUP($A25,'MoM Forecasts'!$2:$25,'Unchained Indices'!BQ$2,0))))</f>
        <v>100.72552118903033</v>
      </c>
      <c r="BR25">
        <f>IF($B25=TRUE,BR24*(1+VLOOKUP($A25,$C$43:$CP$69,BR$2,0)),BR24*(1+(VLOOKUP($A25,'MoM Forecasts'!$2:$25,'Unchained Indices'!BR$2,0))))</f>
        <v>100.75218712504062</v>
      </c>
      <c r="BS25">
        <f>IF($B25=TRUE,BS24*(1+VLOOKUP($A25,$C$43:$CP$69,BS$2,0)),BS24*(1+(VLOOKUP($A25,'MoM Forecasts'!$2:$25,'Unchained Indices'!BS$2,0))))</f>
        <v>100.27808550971318</v>
      </c>
      <c r="BT25">
        <f>IF($B25=TRUE,BT24*(1+VLOOKUP($A25,$C$43:$CP$69,BT$2,0)),BT24*(1+(VLOOKUP($A25,'MoM Forecasts'!$2:$25,'Unchained Indices'!BT$2,0))))</f>
        <v>100.12458955719227</v>
      </c>
      <c r="BU25">
        <f>IF($B25=TRUE,BU24*(1+VLOOKUP($A25,$C$43:$CP$69,BU$2,0)),BU24*(1+(VLOOKUP($A25,'MoM Forecasts'!$2:$25,'Unchained Indices'!BU$2,0))))</f>
        <v>100.25032896539778</v>
      </c>
      <c r="BV25">
        <f>IF($B25=TRUE,BV24*(1+VLOOKUP($A25,$C$43:$CP$69,BV$2,0)),BV24*(1+(VLOOKUP($A25,'MoM Forecasts'!$2:$25,'Unchained Indices'!BV$2,0))))</f>
        <v>100.42112297144706</v>
      </c>
      <c r="BW25">
        <f>IF($B25=TRUE,BW24*(1+VLOOKUP($A25,$C$43:$CP$69,BW$2,0)),BW24*(1+(VLOOKUP($A25,'MoM Forecasts'!$2:$25,'Unchained Indices'!BW$2,0))))</f>
        <v>100.20611242275037</v>
      </c>
      <c r="BX25">
        <f>IF($B25=TRUE,BX24*(1+VLOOKUP($A25,$C$43:$CP$69,BX$2,0)),BX24*(1+(VLOOKUP($A25,'MoM Forecasts'!$2:$25,'Unchained Indices'!BX$2,0))))</f>
        <v>100.48352994805559</v>
      </c>
      <c r="BY25">
        <f>IF($B25=TRUE,BY24*(1+VLOOKUP($A25,$C$43:$CP$69,BY$2,0)),BY24*(1+(VLOOKUP($A25,'MoM Forecasts'!$2:$25,'Unchained Indices'!BY$2,0))))</f>
        <v>100.45634886087376</v>
      </c>
      <c r="BZ25">
        <f>IF($B25=TRUE,BZ24*(1+VLOOKUP($A25,$C$43:$CP$69,BZ$2,0)),BZ24*(1+(VLOOKUP($A25,'MoM Forecasts'!$2:$25,'Unchained Indices'!BZ$2,0))))</f>
        <v>100.75619573114622</v>
      </c>
      <c r="CA25">
        <f>IF($B25=TRUE,CA24*(1+VLOOKUP($A25,$C$43:$CP$69,CA$2,0)),CA24*(1+(VLOOKUP($A25,'MoM Forecasts'!$2:$25,'Unchained Indices'!CA$2,0))))</f>
        <v>99.694483021840284</v>
      </c>
      <c r="CB25">
        <f>IF($B25=TRUE,CB24*(1+VLOOKUP($A25,$C$43:$CP$69,CB$2,0)),CB24*(1+(VLOOKUP($A25,'MoM Forecasts'!$2:$25,'Unchained Indices'!CB$2,0))))</f>
        <v>100.74076500632181</v>
      </c>
      <c r="CC25">
        <f>IF($B25=TRUE,CC24*(1+VLOOKUP($A25,$C$43:$CP$69,CC$2,0)),CC24*(1+(VLOOKUP($A25,'MoM Forecasts'!$2:$25,'Unchained Indices'!CC$2,0))))</f>
        <v>100.57710393060742</v>
      </c>
      <c r="CD25">
        <f>IF($B25=TRUE,CD24*(1+VLOOKUP($A25,$C$43:$CP$69,CD$2,0)),CD24*(1+(VLOOKUP($A25,'MoM Forecasts'!$2:$25,'Unchained Indices'!CD$2,0))))</f>
        <v>100.70901853991832</v>
      </c>
      <c r="CE25">
        <f>IF($B25=TRUE,CE24*(1+VLOOKUP($A25,$C$43:$CP$69,CE$2,0)),CE24*(1+(VLOOKUP($A25,'MoM Forecasts'!$2:$25,'Unchained Indices'!CE$2,0))))</f>
        <v>100.71297302376595</v>
      </c>
      <c r="CF25">
        <f>IF($B25=TRUE,CF24*(1+VLOOKUP($A25,$C$43:$CP$69,CF$2,0)),CF24*(1+(VLOOKUP($A25,'MoM Forecasts'!$2:$25,'Unchained Indices'!CF$2,0))))</f>
        <v>100.69732610333523</v>
      </c>
      <c r="CG25">
        <f>IF($B25=TRUE,CG24*(1+VLOOKUP($A25,$C$43:$CP$69,CG$2,0)),CG24*(1+(VLOOKUP($A25,'MoM Forecasts'!$2:$25,'Unchained Indices'!CG$2,0))))</f>
        <v>100.62695416540487</v>
      </c>
      <c r="CH25">
        <f>IF($B25=TRUE,CH24*(1+VLOOKUP($A25,$C$43:$CP$69,CH$2,0)),CH24*(1+(VLOOKUP($A25,'MoM Forecasts'!$2:$25,'Unchained Indices'!CH$2,0))))</f>
        <v>82.46788300200302</v>
      </c>
      <c r="CI25">
        <f>IF($B25=TRUE,CI24*(1+VLOOKUP($A25,$C$43:$CP$69,CI$2,0)),CI24*(1+(VLOOKUP($A25,'MoM Forecasts'!$2:$25,'Unchained Indices'!CI$2,0))))</f>
        <v>101.45988386407777</v>
      </c>
      <c r="CJ25">
        <f>IF($B25=TRUE,CJ24*(1+VLOOKUP($A25,$C$43:$CP$69,CJ$2,0)),CJ24*(1+(VLOOKUP($A25,'MoM Forecasts'!$2:$25,'Unchained Indices'!CJ$2,0))))</f>
        <v>99.677987141683758</v>
      </c>
      <c r="CK25">
        <f>IF($B25=TRUE,CK24*(1+VLOOKUP($A25,$C$43:$CP$69,CK$2,0)),CK24*(1+(VLOOKUP($A25,'MoM Forecasts'!$2:$25,'Unchained Indices'!CK$2,0))))</f>
        <v>100.64481292879621</v>
      </c>
      <c r="CL25">
        <f>IF($B25=TRUE,CL24*(1+VLOOKUP($A25,$C$43:$CP$69,CL$2,0)),CL24*(1+(VLOOKUP($A25,'MoM Forecasts'!$2:$25,'Unchained Indices'!CL$2,0))))</f>
        <v>100.3182185721712</v>
      </c>
      <c r="CM25">
        <f>IF($B25=TRUE,CM24*(1+VLOOKUP($A25,$C$43:$CP$69,CM$2,0)),CM24*(1+(VLOOKUP($A25,'MoM Forecasts'!$2:$25,'Unchained Indices'!CM$2,0))))</f>
        <v>100.53982647997653</v>
      </c>
      <c r="CN25">
        <f>IF($B25=TRUE,CN24*(1+VLOOKUP($A25,$C$43:$CP$69,CN$2,0)),CN24*(1+(VLOOKUP($A25,'MoM Forecasts'!$2:$25,'Unchained Indices'!CN$2,0))))</f>
        <v>100.78740040416064</v>
      </c>
      <c r="CO25">
        <f>IF($B25=TRUE,CO24*(1+VLOOKUP($A25,$C$43:$CP$69,CO$2,0)),CO24*(1+(VLOOKUP($A25,'MoM Forecasts'!$2:$25,'Unchained Indices'!CO$2,0))))</f>
        <v>100.74503413351869</v>
      </c>
      <c r="CP25">
        <f>IF($B25=TRUE,CP24*(1+VLOOKUP($A25,$C$43:$CP$69,CP$2,0)),CP24*(1+(VLOOKUP($A25,'MoM Forecasts'!$2:$25,'Unchained Indices'!CP$2,0))))</f>
        <v>100.71391411034918</v>
      </c>
    </row>
    <row r="26" spans="1:94" x14ac:dyDescent="0.25">
      <c r="A26" s="6">
        <f t="shared" si="4"/>
        <v>45200</v>
      </c>
      <c r="B26" s="8" t="str">
        <f>IF(A26&lt;='MoM Forecasts'!$A$2,TRUE,"")</f>
        <v/>
      </c>
      <c r="C26" s="7">
        <f t="shared" si="5"/>
        <v>44927</v>
      </c>
      <c r="D26">
        <f>IF($B26=TRUE,D25*(1+VLOOKUP($A26,$C$43:$CP$69,D$2,0)),D25*(1+(VLOOKUP($A26,'MoM Forecasts'!$2:$25,'Unchained Indices'!D$2,0))))</f>
        <v>100.58990854222108</v>
      </c>
      <c r="E26">
        <f>IF($B26=TRUE,E25*(1+VLOOKUP($A26,$C$43:$CP$69,E$2,0)),E25*(1+(VLOOKUP($A26,'MoM Forecasts'!$2:$25,'Unchained Indices'!E$2,0))))</f>
        <v>100.52656445513487</v>
      </c>
      <c r="F26">
        <f>IF($B26=TRUE,F25*(1+VLOOKUP($A26,$C$43:$CP$69,F$2,0)),F25*(1+(VLOOKUP($A26,'MoM Forecasts'!$2:$25,'Unchained Indices'!F$2,0))))</f>
        <v>100.61127295502622</v>
      </c>
      <c r="G26">
        <f>IF($B26=TRUE,G25*(1+VLOOKUP($A26,$C$43:$CP$69,G$2,0)),G25*(1+(VLOOKUP($A26,'MoM Forecasts'!$2:$25,'Unchained Indices'!G$2,0))))</f>
        <v>100.56235720050596</v>
      </c>
      <c r="H26">
        <f>IF($B26=TRUE,H25*(1+VLOOKUP($A26,$C$43:$CP$69,H$2,0)),H25*(1+(VLOOKUP($A26,'MoM Forecasts'!$2:$25,'Unchained Indices'!H$2,0))))</f>
        <v>100.73830110813958</v>
      </c>
      <c r="I26">
        <f>IF($B26=TRUE,I25*(1+VLOOKUP($A26,$C$43:$CP$69,I$2,0)),I25*(1+(VLOOKUP($A26,'MoM Forecasts'!$2:$25,'Unchained Indices'!I$2,0))))</f>
        <v>100.73750163321365</v>
      </c>
      <c r="J26">
        <f>IF($B26=TRUE,J25*(1+VLOOKUP($A26,$C$43:$CP$69,J$2,0)),J25*(1+(VLOOKUP($A26,'MoM Forecasts'!$2:$25,'Unchained Indices'!J$2,0))))</f>
        <v>100.631585741254</v>
      </c>
      <c r="K26">
        <f>IF($B26=TRUE,K25*(1+VLOOKUP($A26,$C$43:$CP$69,K$2,0)),K25*(1+(VLOOKUP($A26,'MoM Forecasts'!$2:$25,'Unchained Indices'!K$2,0))))</f>
        <v>100.56491674781842</v>
      </c>
      <c r="L26">
        <f>IF($B26=TRUE,L25*(1+VLOOKUP($A26,$C$43:$CP$69,L$2,0)),L25*(1+(VLOOKUP($A26,'MoM Forecasts'!$2:$25,'Unchained Indices'!L$2,0))))</f>
        <v>100.22827074773336</v>
      </c>
      <c r="M26">
        <f>IF($B26=TRUE,M25*(1+VLOOKUP($A26,$C$43:$CP$69,M$2,0)),M25*(1+(VLOOKUP($A26,'MoM Forecasts'!$2:$25,'Unchained Indices'!M$2,0))))</f>
        <v>100.49824619152012</v>
      </c>
      <c r="N26">
        <f>IF($B26=TRUE,N25*(1+VLOOKUP($A26,$C$43:$CP$69,N$2,0)),N25*(1+(VLOOKUP($A26,'MoM Forecasts'!$2:$25,'Unchained Indices'!N$2,0))))</f>
        <v>100.70287663095407</v>
      </c>
      <c r="O26">
        <f>IF($B26=TRUE,O25*(1+VLOOKUP($A26,$C$43:$CP$69,O$2,0)),O25*(1+(VLOOKUP($A26,'MoM Forecasts'!$2:$25,'Unchained Indices'!O$2,0))))</f>
        <v>100.70878947316901</v>
      </c>
      <c r="P26">
        <f>IF($B26=TRUE,P25*(1+VLOOKUP($A26,$C$43:$CP$69,P$2,0)),P25*(1+(VLOOKUP($A26,'MoM Forecasts'!$2:$25,'Unchained Indices'!P$2,0))))</f>
        <v>100.68634844192492</v>
      </c>
      <c r="Q26">
        <f>IF($B26=TRUE,Q25*(1+VLOOKUP($A26,$C$43:$CP$69,Q$2,0)),Q25*(1+(VLOOKUP($A26,'MoM Forecasts'!$2:$25,'Unchained Indices'!Q$2,0))))</f>
        <v>100.69676433625941</v>
      </c>
      <c r="R26">
        <f>IF($B26=TRUE,R25*(1+VLOOKUP($A26,$C$43:$CP$69,R$2,0)),R25*(1+(VLOOKUP($A26,'MoM Forecasts'!$2:$25,'Unchained Indices'!R$2,0))))</f>
        <v>100.47427197274766</v>
      </c>
      <c r="S26">
        <f>IF($B26=TRUE,S25*(1+VLOOKUP($A26,$C$43:$CP$69,S$2,0)),S25*(1+(VLOOKUP($A26,'MoM Forecasts'!$2:$25,'Unchained Indices'!S$2,0))))</f>
        <v>100.63506748026076</v>
      </c>
      <c r="T26">
        <f>IF($B26=TRUE,T25*(1+VLOOKUP($A26,$C$43:$CP$69,T$2,0)),T25*(1+(VLOOKUP($A26,'MoM Forecasts'!$2:$25,'Unchained Indices'!T$2,0))))</f>
        <v>100.6999356486722</v>
      </c>
      <c r="U26">
        <f>IF($B26=TRUE,U25*(1+VLOOKUP($A26,$C$43:$CP$69,U$2,0)),U25*(1+(VLOOKUP($A26,'MoM Forecasts'!$2:$25,'Unchained Indices'!U$2,0))))</f>
        <v>100.5692677291626</v>
      </c>
      <c r="V26">
        <f>IF($B26=TRUE,V25*(1+VLOOKUP($A26,$C$43:$CP$69,V$2,0)),V25*(1+(VLOOKUP($A26,'MoM Forecasts'!$2:$25,'Unchained Indices'!V$2,0))))</f>
        <v>100.42329539301005</v>
      </c>
      <c r="W26">
        <f>IF($B26=TRUE,W25*(1+VLOOKUP($A26,$C$43:$CP$69,W$2,0)),W25*(1+(VLOOKUP($A26,'MoM Forecasts'!$2:$25,'Unchained Indices'!W$2,0))))</f>
        <v>100.54167655350651</v>
      </c>
      <c r="X26">
        <f>IF($B26=TRUE,X25*(1+VLOOKUP($A26,$C$43:$CP$69,X$2,0)),X25*(1+(VLOOKUP($A26,'MoM Forecasts'!$2:$25,'Unchained Indices'!X$2,0))))</f>
        <v>100.560641467425</v>
      </c>
      <c r="Y26">
        <f>IF($B26=TRUE,Y25*(1+VLOOKUP($A26,$C$43:$CP$69,Y$2,0)),Y25*(1+(VLOOKUP($A26,'MoM Forecasts'!$2:$25,'Unchained Indices'!Y$2,0))))</f>
        <v>100.57984029910889</v>
      </c>
      <c r="Z26">
        <f>IF($B26=TRUE,Z25*(1+VLOOKUP($A26,$C$43:$CP$69,Z$2,0)),Z25*(1+(VLOOKUP($A26,'MoM Forecasts'!$2:$25,'Unchained Indices'!Z$2,0))))</f>
        <v>100.4632903112667</v>
      </c>
      <c r="AA26">
        <f>IF($B26=TRUE,AA25*(1+VLOOKUP($A26,$C$43:$CP$69,AA$2,0)),AA25*(1+(VLOOKUP($A26,'MoM Forecasts'!$2:$25,'Unchained Indices'!AA$2,0))))</f>
        <v>100.82792092996154</v>
      </c>
      <c r="AB26">
        <f>IF($B26=TRUE,AB25*(1+VLOOKUP($A26,$C$43:$CP$69,AB$2,0)),AB25*(1+(VLOOKUP($A26,'MoM Forecasts'!$2:$25,'Unchained Indices'!AB$2,0))))</f>
        <v>100.61295604955934</v>
      </c>
      <c r="AC26">
        <f>IF($B26=TRUE,AC25*(1+VLOOKUP($A26,$C$43:$CP$69,AC$2,0)),AC25*(1+(VLOOKUP($A26,'MoM Forecasts'!$2:$25,'Unchained Indices'!AC$2,0))))</f>
        <v>98.932152991769868</v>
      </c>
      <c r="AD26">
        <f>IF($B26=TRUE,AD25*(1+VLOOKUP($A26,$C$43:$CP$69,AD$2,0)),AD25*(1+(VLOOKUP($A26,'MoM Forecasts'!$2:$25,'Unchained Indices'!AD$2,0))))</f>
        <v>100.52798652466851</v>
      </c>
      <c r="AE26">
        <f>IF($B26=TRUE,AE25*(1+VLOOKUP($A26,$C$43:$CP$69,AE$2,0)),AE25*(1+(VLOOKUP($A26,'MoM Forecasts'!$2:$25,'Unchained Indices'!AE$2,0))))</f>
        <v>99.903544469258492</v>
      </c>
      <c r="AF26">
        <f>IF($B26=TRUE,AF25*(1+VLOOKUP($A26,$C$43:$CP$69,AF$2,0)),AF25*(1+(VLOOKUP($A26,'MoM Forecasts'!$2:$25,'Unchained Indices'!AF$2,0))))</f>
        <v>99.703545921061149</v>
      </c>
      <c r="AG26">
        <f>IF($B26=TRUE,AG25*(1+VLOOKUP($A26,$C$43:$CP$69,AG$2,0)),AG25*(1+(VLOOKUP($A26,'MoM Forecasts'!$2:$25,'Unchained Indices'!AG$2,0))))</f>
        <v>100.66497294857579</v>
      </c>
      <c r="AH26">
        <f>IF($B26=TRUE,AH25*(1+VLOOKUP($A26,$C$43:$CP$69,AH$2,0)),AH25*(1+(VLOOKUP($A26,'MoM Forecasts'!$2:$25,'Unchained Indices'!AH$2,0))))</f>
        <v>100.59751615631589</v>
      </c>
      <c r="AI26">
        <f>IF($B26=TRUE,AI25*(1+VLOOKUP($A26,$C$43:$CP$69,AI$2,0)),AI25*(1+(VLOOKUP($A26,'MoM Forecasts'!$2:$25,'Unchained Indices'!AI$2,0))))</f>
        <v>98.206457554483478</v>
      </c>
      <c r="AJ26">
        <f>IF($B26=TRUE,AJ25*(1+VLOOKUP($A26,$C$43:$CP$69,AJ$2,0)),AJ25*(1+(VLOOKUP($A26,'MoM Forecasts'!$2:$25,'Unchained Indices'!AJ$2,0))))</f>
        <v>100.71364908118443</v>
      </c>
      <c r="AK26">
        <f>IF($B26=TRUE,AK25*(1+VLOOKUP($A26,$C$43:$CP$69,AK$2,0)),AK25*(1+(VLOOKUP($A26,'MoM Forecasts'!$2:$25,'Unchained Indices'!AK$2,0))))</f>
        <v>100.45130510013516</v>
      </c>
      <c r="AL26">
        <f>IF($B26=TRUE,AL25*(1+VLOOKUP($A26,$C$43:$CP$69,AL$2,0)),AL25*(1+(VLOOKUP($A26,'MoM Forecasts'!$2:$25,'Unchained Indices'!AL$2,0))))</f>
        <v>100.71267824144793</v>
      </c>
      <c r="AM26">
        <f>IF($B26=TRUE,AM25*(1+VLOOKUP($A26,$C$43:$CP$69,AM$2,0)),AM25*(1+(VLOOKUP($A26,'MoM Forecasts'!$2:$25,'Unchained Indices'!AM$2,0))))</f>
        <v>100.81817147084909</v>
      </c>
      <c r="AN26">
        <f>IF($B26=TRUE,AN25*(1+VLOOKUP($A26,$C$43:$CP$69,AN$2,0)),AN25*(1+(VLOOKUP($A26,'MoM Forecasts'!$2:$25,'Unchained Indices'!AN$2,0))))</f>
        <v>100.69252368921792</v>
      </c>
      <c r="AO26">
        <f>IF($B26=TRUE,AO25*(1+VLOOKUP($A26,$C$43:$CP$69,AO$2,0)),AO25*(1+(VLOOKUP($A26,'MoM Forecasts'!$2:$25,'Unchained Indices'!AO$2,0))))</f>
        <v>100.7194187315132</v>
      </c>
      <c r="AP26">
        <f>IF($B26=TRUE,AP25*(1+VLOOKUP($A26,$C$43:$CP$69,AP$2,0)),AP25*(1+(VLOOKUP($A26,'MoM Forecasts'!$2:$25,'Unchained Indices'!AP$2,0))))</f>
        <v>100.75953803230264</v>
      </c>
      <c r="AQ26">
        <f>IF($B26=TRUE,AQ25*(1+VLOOKUP($A26,$C$43:$CP$69,AQ$2,0)),AQ25*(1+(VLOOKUP($A26,'MoM Forecasts'!$2:$25,'Unchained Indices'!AQ$2,0))))</f>
        <v>100.31743918970568</v>
      </c>
      <c r="AR26">
        <f>IF($B26=TRUE,AR25*(1+VLOOKUP($A26,$C$43:$CP$69,AR$2,0)),AR25*(1+(VLOOKUP($A26,'MoM Forecasts'!$2:$25,'Unchained Indices'!AR$2,0))))</f>
        <v>100.65480990839454</v>
      </c>
      <c r="AS26">
        <f>IF($B26=TRUE,AS25*(1+VLOOKUP($A26,$C$43:$CP$69,AS$2,0)),AS25*(1+(VLOOKUP($A26,'MoM Forecasts'!$2:$25,'Unchained Indices'!AS$2,0))))</f>
        <v>100.74723894761694</v>
      </c>
      <c r="AT26">
        <f>IF($B26=TRUE,AT25*(1+VLOOKUP($A26,$C$43:$CP$69,AT$2,0)),AT25*(1+(VLOOKUP($A26,'MoM Forecasts'!$2:$25,'Unchained Indices'!AT$2,0))))</f>
        <v>100.51191592752127</v>
      </c>
      <c r="AU26">
        <f>IF($B26=TRUE,AU25*(1+VLOOKUP($A26,$C$43:$CP$69,AU$2,0)),AU25*(1+(VLOOKUP($A26,'MoM Forecasts'!$2:$25,'Unchained Indices'!AU$2,0))))</f>
        <v>100.9077101466479</v>
      </c>
      <c r="AV26">
        <f>IF($B26=TRUE,AV25*(1+VLOOKUP($A26,$C$43:$CP$69,AV$2,0)),AV25*(1+(VLOOKUP($A26,'MoM Forecasts'!$2:$25,'Unchained Indices'!AV$2,0))))</f>
        <v>100.79932917027368</v>
      </c>
      <c r="AW26">
        <f>IF($B26=TRUE,AW25*(1+VLOOKUP($A26,$C$43:$CP$69,AW$2,0)),AW25*(1+(VLOOKUP($A26,'MoM Forecasts'!$2:$25,'Unchained Indices'!AW$2,0))))</f>
        <v>100.75314604787597</v>
      </c>
      <c r="AX26">
        <f>IF($B26=TRUE,AX25*(1+VLOOKUP($A26,$C$43:$CP$69,AX$2,0)),AX25*(1+(VLOOKUP($A26,'MoM Forecasts'!$2:$25,'Unchained Indices'!AX$2,0))))</f>
        <v>104.35486740234882</v>
      </c>
      <c r="AY26">
        <f>IF($B26=TRUE,AY25*(1+VLOOKUP($A26,$C$43:$CP$69,AY$2,0)),AY25*(1+(VLOOKUP($A26,'MoM Forecasts'!$2:$25,'Unchained Indices'!AY$2,0))))</f>
        <v>100.97614631156065</v>
      </c>
      <c r="AZ26">
        <f>IF($B26=TRUE,AZ25*(1+VLOOKUP($A26,$C$43:$CP$69,AZ$2,0)),AZ25*(1+(VLOOKUP($A26,'MoM Forecasts'!$2:$25,'Unchained Indices'!AZ$2,0))))</f>
        <v>100.79119992203324</v>
      </c>
      <c r="BA26">
        <f>IF($B26=TRUE,BA25*(1+VLOOKUP($A26,$C$43:$CP$69,BA$2,0)),BA25*(1+(VLOOKUP($A26,'MoM Forecasts'!$2:$25,'Unchained Indices'!BA$2,0))))</f>
        <v>100.88815308976143</v>
      </c>
      <c r="BB26">
        <f>IF($B26=TRUE,BB25*(1+VLOOKUP($A26,$C$43:$CP$69,BB$2,0)),BB25*(1+(VLOOKUP($A26,'MoM Forecasts'!$2:$25,'Unchained Indices'!BB$2,0))))</f>
        <v>100.89966675071469</v>
      </c>
      <c r="BC26">
        <f>IF($B26=TRUE,BC25*(1+VLOOKUP($A26,$C$43:$CP$69,BC$2,0)),BC25*(1+(VLOOKUP($A26,'MoM Forecasts'!$2:$25,'Unchained Indices'!BC$2,0))))</f>
        <v>100.53616913470685</v>
      </c>
      <c r="BD26">
        <f>IF($B26=TRUE,BD25*(1+VLOOKUP($A26,$C$43:$CP$69,BD$2,0)),BD25*(1+(VLOOKUP($A26,'MoM Forecasts'!$2:$25,'Unchained Indices'!BD$2,0))))</f>
        <v>100.6046458763234</v>
      </c>
      <c r="BE26">
        <f>IF($B26=TRUE,BE25*(1+VLOOKUP($A26,$C$43:$CP$69,BE$2,0)),BE25*(1+(VLOOKUP($A26,'MoM Forecasts'!$2:$25,'Unchained Indices'!BE$2,0))))</f>
        <v>100.74266345415187</v>
      </c>
      <c r="BF26">
        <f>IF($B26=TRUE,BF25*(1+VLOOKUP($A26,$C$43:$CP$69,BF$2,0)),BF25*(1+(VLOOKUP($A26,'MoM Forecasts'!$2:$25,'Unchained Indices'!BF$2,0))))</f>
        <v>100.52260779705166</v>
      </c>
      <c r="BG26">
        <f>IF($B26=TRUE,BG25*(1+VLOOKUP($A26,$C$43:$CP$69,BG$2,0)),BG25*(1+(VLOOKUP($A26,'MoM Forecasts'!$2:$25,'Unchained Indices'!BG$2,0))))</f>
        <v>100.59598468757744</v>
      </c>
      <c r="BH26">
        <f>IF($B26=TRUE,BH25*(1+VLOOKUP($A26,$C$43:$CP$69,BH$2,0)),BH25*(1+(VLOOKUP($A26,'MoM Forecasts'!$2:$25,'Unchained Indices'!BH$2,0))))</f>
        <v>106.56212306730197</v>
      </c>
      <c r="BI26">
        <f>IF($B26=TRUE,BI25*(1+VLOOKUP($A26,$C$43:$CP$69,BI$2,0)),BI25*(1+(VLOOKUP($A26,'MoM Forecasts'!$2:$25,'Unchained Indices'!BI$2,0))))</f>
        <v>100.57864716589692</v>
      </c>
      <c r="BJ26">
        <f>IF($B26=TRUE,BJ25*(1+VLOOKUP($A26,$C$43:$CP$69,BJ$2,0)),BJ25*(1+(VLOOKUP($A26,'MoM Forecasts'!$2:$25,'Unchained Indices'!BJ$2,0))))</f>
        <v>100.58244782786686</v>
      </c>
      <c r="BK26">
        <f>IF($B26=TRUE,BK25*(1+VLOOKUP($A26,$C$43:$CP$69,BK$2,0)),BK25*(1+(VLOOKUP($A26,'MoM Forecasts'!$2:$25,'Unchained Indices'!BK$2,0))))</f>
        <v>99.510460003100121</v>
      </c>
      <c r="BL26">
        <f>IF($B26=TRUE,BL25*(1+VLOOKUP($A26,$C$43:$CP$69,BL$2,0)),BL25*(1+(VLOOKUP($A26,'MoM Forecasts'!$2:$25,'Unchained Indices'!BL$2,0))))</f>
        <v>100.46056487699528</v>
      </c>
      <c r="BM26">
        <f>IF($B26=TRUE,BM25*(1+VLOOKUP($A26,$C$43:$CP$69,BM$2,0)),BM25*(1+(VLOOKUP($A26,'MoM Forecasts'!$2:$25,'Unchained Indices'!BM$2,0))))</f>
        <v>100.48377726222395</v>
      </c>
      <c r="BN26">
        <f>IF($B26=TRUE,BN25*(1+VLOOKUP($A26,$C$43:$CP$69,BN$2,0)),BN25*(1+(VLOOKUP($A26,'MoM Forecasts'!$2:$25,'Unchained Indices'!BN$2,0))))</f>
        <v>100.65243626967931</v>
      </c>
      <c r="BO26">
        <f>IF($B26=TRUE,BO25*(1+VLOOKUP($A26,$C$43:$CP$69,BO$2,0)),BO25*(1+(VLOOKUP($A26,'MoM Forecasts'!$2:$25,'Unchained Indices'!BO$2,0))))</f>
        <v>100.810268692482</v>
      </c>
      <c r="BP26">
        <f>IF($B26=TRUE,BP25*(1+VLOOKUP($A26,$C$43:$CP$69,BP$2,0)),BP25*(1+(VLOOKUP($A26,'MoM Forecasts'!$2:$25,'Unchained Indices'!BP$2,0))))</f>
        <v>99.98336491954619</v>
      </c>
      <c r="BQ26">
        <f>IF($B26=TRUE,BQ25*(1+VLOOKUP($A26,$C$43:$CP$69,BQ$2,0)),BQ25*(1+(VLOOKUP($A26,'MoM Forecasts'!$2:$25,'Unchained Indices'!BQ$2,0))))</f>
        <v>100.81621133765911</v>
      </c>
      <c r="BR26">
        <f>IF($B26=TRUE,BR25*(1+VLOOKUP($A26,$C$43:$CP$69,BR$2,0)),BR25*(1+(VLOOKUP($A26,'MoM Forecasts'!$2:$25,'Unchained Indices'!BR$2,0))))</f>
        <v>100.84621051567069</v>
      </c>
      <c r="BS26">
        <f>IF($B26=TRUE,BS25*(1+VLOOKUP($A26,$C$43:$CP$69,BS$2,0)),BS25*(1+(VLOOKUP($A26,'MoM Forecasts'!$2:$25,'Unchained Indices'!BS$2,0))))</f>
        <v>100.31284619842734</v>
      </c>
      <c r="BT26">
        <f>IF($B26=TRUE,BT25*(1+VLOOKUP($A26,$C$43:$CP$69,BT$2,0)),BT25*(1+(VLOOKUP($A26,'MoM Forecasts'!$2:$25,'Unchained Indices'!BT$2,0))))</f>
        <v>100.14016325184132</v>
      </c>
      <c r="BU26">
        <f>IF($B26=TRUE,BU25*(1+VLOOKUP($A26,$C$43:$CP$69,BU$2,0)),BU25*(1+(VLOOKUP($A26,'MoM Forecasts'!$2:$25,'Unchained Indices'!BU$2,0))))</f>
        <v>100.28162008607251</v>
      </c>
      <c r="BV26">
        <f>IF($B26=TRUE,BV25*(1+VLOOKUP($A26,$C$43:$CP$69,BV$2,0)),BV25*(1+(VLOOKUP($A26,'MoM Forecasts'!$2:$25,'Unchained Indices'!BV$2,0))))</f>
        <v>100.47376334287794</v>
      </c>
      <c r="BW26">
        <f>IF($B26=TRUE,BW25*(1+VLOOKUP($A26,$C$43:$CP$69,BW$2,0)),BW25*(1+(VLOOKUP($A26,'MoM Forecasts'!$2:$25,'Unchained Indices'!BW$2,0))))</f>
        <v>100.23187647559416</v>
      </c>
      <c r="BX26">
        <f>IF($B26=TRUE,BX25*(1+VLOOKUP($A26,$C$43:$CP$69,BX$2,0)),BX25*(1+(VLOOKUP($A26,'MoM Forecasts'!$2:$25,'Unchained Indices'!BX$2,0))))</f>
        <v>100.54397119156255</v>
      </c>
      <c r="BY26">
        <f>IF($B26=TRUE,BY25*(1+VLOOKUP($A26,$C$43:$CP$69,BY$2,0)),BY25*(1+(VLOOKUP($A26,'MoM Forecasts'!$2:$25,'Unchained Indices'!BY$2,0))))</f>
        <v>100.51339246848298</v>
      </c>
      <c r="BZ26">
        <f>IF($B26=TRUE,BZ25*(1+VLOOKUP($A26,$C$43:$CP$69,BZ$2,0)),BZ25*(1+(VLOOKUP($A26,'MoM Forecasts'!$2:$25,'Unchained Indices'!BZ$2,0))))</f>
        <v>100.8507201975395</v>
      </c>
      <c r="CA26">
        <f>IF($B26=TRUE,CA25*(1+VLOOKUP($A26,$C$43:$CP$69,CA$2,0)),CA25*(1+(VLOOKUP($A26,'MoM Forecasts'!$2:$25,'Unchained Indices'!CA$2,0))))</f>
        <v>99.656293399570316</v>
      </c>
      <c r="CB26">
        <f>IF($B26=TRUE,CB25*(1+VLOOKUP($A26,$C$43:$CP$69,CB$2,0)),CB25*(1+(VLOOKUP($A26,'MoM Forecasts'!$2:$25,'Unchained Indices'!CB$2,0))))</f>
        <v>100.83336063211205</v>
      </c>
      <c r="CC26">
        <f>IF($B26=TRUE,CC25*(1+VLOOKUP($A26,$C$43:$CP$69,CC$2,0)),CC25*(1+(VLOOKUP($A26,'MoM Forecasts'!$2:$25,'Unchained Indices'!CC$2,0))))</f>
        <v>100.64924192193337</v>
      </c>
      <c r="CD26">
        <f>IF($B26=TRUE,CD25*(1+VLOOKUP($A26,$C$43:$CP$69,CD$2,0)),CD25*(1+(VLOOKUP($A26,'MoM Forecasts'!$2:$25,'Unchained Indices'!CD$2,0))))</f>
        <v>100.79764585740811</v>
      </c>
      <c r="CE26">
        <f>IF($B26=TRUE,CE25*(1+VLOOKUP($A26,$C$43:$CP$69,CE$2,0)),CE25*(1+(VLOOKUP($A26,'MoM Forecasts'!$2:$25,'Unchained Indices'!CE$2,0))))</f>
        <v>100.8020946517367</v>
      </c>
      <c r="CF26">
        <f>IF($B26=TRUE,CF25*(1+VLOOKUP($A26,$C$43:$CP$69,CF$2,0)),CF25*(1+(VLOOKUP($A26,'MoM Forecasts'!$2:$25,'Unchained Indices'!CF$2,0))))</f>
        <v>100.78449186625214</v>
      </c>
      <c r="CG26">
        <f>IF($B26=TRUE,CG25*(1+VLOOKUP($A26,$C$43:$CP$69,CG$2,0)),CG25*(1+(VLOOKUP($A26,'MoM Forecasts'!$2:$25,'Unchained Indices'!CG$2,0))))</f>
        <v>101.20288055060396</v>
      </c>
      <c r="CH26">
        <f>IF($B26=TRUE,CH25*(1+VLOOKUP($A26,$C$43:$CP$69,CH$2,0)),CH25*(1+(VLOOKUP($A26,'MoM Forecasts'!$2:$25,'Unchained Indices'!CH$2,0))))</f>
        <v>80.276368377253405</v>
      </c>
      <c r="CI26">
        <f>IF($B26=TRUE,CI25*(1+VLOOKUP($A26,$C$43:$CP$69,CI$2,0)),CI25*(1+(VLOOKUP($A26,'MoM Forecasts'!$2:$25,'Unchained Indices'!CI$2,0))))</f>
        <v>101.6025185888949</v>
      </c>
      <c r="CJ26">
        <f>IF($B26=TRUE,CJ25*(1+VLOOKUP($A26,$C$43:$CP$69,CJ$2,0)),CJ25*(1+(VLOOKUP($A26,'MoM Forecasts'!$2:$25,'Unchained Indices'!CJ$2,0))))</f>
        <v>99.637735534394238</v>
      </c>
      <c r="CK26">
        <f>IF($B26=TRUE,CK25*(1+VLOOKUP($A26,$C$43:$CP$69,CK$2,0)),CK25*(1+(VLOOKUP($A26,'MoM Forecasts'!$2:$25,'Unchained Indices'!CK$2,0))))</f>
        <v>100.72541454489573</v>
      </c>
      <c r="CL26">
        <f>IF($B26=TRUE,CL25*(1+VLOOKUP($A26,$C$43:$CP$69,CL$2,0)),CL25*(1+(VLOOKUP($A26,'MoM Forecasts'!$2:$25,'Unchained Indices'!CL$2,0))))</f>
        <v>100.3579958936926</v>
      </c>
      <c r="CM26">
        <f>IF($B26=TRUE,CM25*(1+VLOOKUP($A26,$C$43:$CP$69,CM$2,0)),CM25*(1+(VLOOKUP($A26,'MoM Forecasts'!$2:$25,'Unchained Indices'!CM$2,0))))</f>
        <v>100.6073047899736</v>
      </c>
      <c r="CN26">
        <f>IF($B26=TRUE,CN25*(1+VLOOKUP($A26,$C$43:$CP$69,CN$2,0)),CN25*(1+(VLOOKUP($A26,'MoM Forecasts'!$2:$25,'Unchained Indices'!CN$2,0))))</f>
        <v>100.88582545468071</v>
      </c>
      <c r="CO26">
        <f>IF($B26=TRUE,CO25*(1+VLOOKUP($A26,$C$43:$CP$69,CO$2,0)),CO25*(1+(VLOOKUP($A26,'MoM Forecasts'!$2:$25,'Unchained Indices'!CO$2,0))))</f>
        <v>100.83816340020853</v>
      </c>
      <c r="CP26">
        <f>IF($B26=TRUE,CP25*(1+VLOOKUP($A26,$C$43:$CP$69,CP$2,0)),CP25*(1+(VLOOKUP($A26,'MoM Forecasts'!$2:$25,'Unchained Indices'!CP$2,0))))</f>
        <v>100.80315337414284</v>
      </c>
    </row>
    <row r="27" spans="1:94" x14ac:dyDescent="0.25">
      <c r="A27" s="6">
        <f t="shared" si="4"/>
        <v>45231</v>
      </c>
      <c r="B27" s="8" t="str">
        <f>IF(A27&lt;='MoM Forecasts'!$A$2,TRUE,"")</f>
        <v/>
      </c>
      <c r="C27" s="7">
        <f t="shared" si="5"/>
        <v>44927</v>
      </c>
      <c r="D27">
        <f>IF($B27=TRUE,D26*(1+VLOOKUP($A27,$C$43:$CP$69,D$2,0)),D26*(1+(VLOOKUP($A27,'MoM Forecasts'!$2:$25,'Unchained Indices'!D$2,0))))</f>
        <v>100.65545393580122</v>
      </c>
      <c r="E27">
        <f>IF($B27=TRUE,E26*(1+VLOOKUP($A27,$C$43:$CP$69,E$2,0)),E26*(1+(VLOOKUP($A27,'MoM Forecasts'!$2:$25,'Unchained Indices'!E$2,0))))</f>
        <v>100.58507161681653</v>
      </c>
      <c r="F27">
        <f>IF($B27=TRUE,F26*(1+VLOOKUP($A27,$C$43:$CP$69,F$2,0)),F26*(1+(VLOOKUP($A27,'MoM Forecasts'!$2:$25,'Unchained Indices'!F$2,0))))</f>
        <v>100.67919217225135</v>
      </c>
      <c r="G27">
        <f>IF($B27=TRUE,G26*(1+VLOOKUP($A27,$C$43:$CP$69,G$2,0)),G26*(1+(VLOOKUP($A27,'MoM Forecasts'!$2:$25,'Unchained Indices'!G$2,0))))</f>
        <v>100.62484133389549</v>
      </c>
      <c r="H27">
        <f>IF($B27=TRUE,H26*(1+VLOOKUP($A27,$C$43:$CP$69,H$2,0)),H26*(1+(VLOOKUP($A27,'MoM Forecasts'!$2:$25,'Unchained Indices'!H$2,0))))</f>
        <v>100.82033456459952</v>
      </c>
      <c r="I27">
        <f>IF($B27=TRUE,I26*(1+VLOOKUP($A27,$C$43:$CP$69,I$2,0)),I26*(1+(VLOOKUP($A27,'MoM Forecasts'!$2:$25,'Unchained Indices'!I$2,0))))</f>
        <v>100.81944625912627</v>
      </c>
      <c r="J27">
        <f>IF($B27=TRUE,J26*(1+VLOOKUP($A27,$C$43:$CP$69,J$2,0)),J26*(1+(VLOOKUP($A27,'MoM Forecasts'!$2:$25,'Unchained Indices'!J$2,0))))</f>
        <v>100.70176193472668</v>
      </c>
      <c r="K27">
        <f>IF($B27=TRUE,K26*(1+VLOOKUP($A27,$C$43:$CP$69,K$2,0)),K26*(1+(VLOOKUP($A27,'MoM Forecasts'!$2:$25,'Unchained Indices'!K$2,0))))</f>
        <v>100.62768527535381</v>
      </c>
      <c r="L27">
        <f>IF($B27=TRUE,L26*(1+VLOOKUP($A27,$C$43:$CP$69,L$2,0)),L26*(1+(VLOOKUP($A27,'MoM Forecasts'!$2:$25,'Unchained Indices'!L$2,0))))</f>
        <v>100.25363416414817</v>
      </c>
      <c r="M27">
        <f>IF($B27=TRUE,M26*(1+VLOOKUP($A27,$C$43:$CP$69,M$2,0)),M26*(1+(VLOOKUP($A27,'MoM Forecasts'!$2:$25,'Unchained Indices'!M$2,0))))</f>
        <v>100.55360687946681</v>
      </c>
      <c r="N27">
        <f>IF($B27=TRUE,N26*(1+VLOOKUP($A27,$C$43:$CP$69,N$2,0)),N26*(1+(VLOOKUP($A27,'MoM Forecasts'!$2:$25,'Unchained Indices'!N$2,0))))</f>
        <v>100.78097403439342</v>
      </c>
      <c r="O27">
        <f>IF($B27=TRUE,O26*(1+VLOOKUP($A27,$C$43:$CP$69,O$2,0)),O26*(1+(VLOOKUP($A27,'MoM Forecasts'!$2:$25,'Unchained Indices'!O$2,0))))</f>
        <v>100.78754385907668</v>
      </c>
      <c r="P27">
        <f>IF($B27=TRUE,P26*(1+VLOOKUP($A27,$C$43:$CP$69,P$2,0)),P26*(1+(VLOOKUP($A27,'MoM Forecasts'!$2:$25,'Unchained Indices'!P$2,0))))</f>
        <v>100.76260937991658</v>
      </c>
      <c r="Q27">
        <f>IF($B27=TRUE,Q26*(1+VLOOKUP($A27,$C$43:$CP$69,Q$2,0)),Q26*(1+(VLOOKUP($A27,'MoM Forecasts'!$2:$25,'Unchained Indices'!Q$2,0))))</f>
        <v>100.77418259584378</v>
      </c>
      <c r="R27">
        <f>IF($B27=TRUE,R26*(1+VLOOKUP($A27,$C$43:$CP$69,R$2,0)),R26*(1+(VLOOKUP($A27,'MoM Forecasts'!$2:$25,'Unchained Indices'!R$2,0))))</f>
        <v>100.52696885860851</v>
      </c>
      <c r="S27">
        <f>IF($B27=TRUE,S26*(1+VLOOKUP($A27,$C$43:$CP$69,S$2,0)),S26*(1+(VLOOKUP($A27,'MoM Forecasts'!$2:$25,'Unchained Indices'!S$2,0))))</f>
        <v>100.70563053362308</v>
      </c>
      <c r="T27">
        <f>IF($B27=TRUE,T26*(1+VLOOKUP($A27,$C$43:$CP$69,T$2,0)),T26*(1+(VLOOKUP($A27,'MoM Forecasts'!$2:$25,'Unchained Indices'!T$2,0))))</f>
        <v>100.77770627630245</v>
      </c>
      <c r="U27">
        <f>IF($B27=TRUE,U26*(1+VLOOKUP($A27,$C$43:$CP$69,U$2,0)),U26*(1+(VLOOKUP($A27,'MoM Forecasts'!$2:$25,'Unchained Indices'!U$2,0))))</f>
        <v>100.63251969906956</v>
      </c>
      <c r="V27">
        <f>IF($B27=TRUE,V26*(1+VLOOKUP($A27,$C$43:$CP$69,V$2,0)),V26*(1+(VLOOKUP($A27,'MoM Forecasts'!$2:$25,'Unchained Indices'!V$2,0))))</f>
        <v>100.47032821445561</v>
      </c>
      <c r="W27">
        <f>IF($B27=TRUE,W26*(1+VLOOKUP($A27,$C$43:$CP$69,W$2,0)),W26*(1+(VLOOKUP($A27,'MoM Forecasts'!$2:$25,'Unchained Indices'!W$2,0))))</f>
        <v>100.60186283722943</v>
      </c>
      <c r="X27">
        <f>IF($B27=TRUE,X26*(1+VLOOKUP($A27,$C$43:$CP$69,X$2,0)),X26*(1+(VLOOKUP($A27,'MoM Forecasts'!$2:$25,'Unchained Indices'!X$2,0))))</f>
        <v>100.62293496380555</v>
      </c>
      <c r="Y27">
        <f>IF($B27=TRUE,Y26*(1+VLOOKUP($A27,$C$43:$CP$69,Y$2,0)),Y26*(1+(VLOOKUP($A27,'MoM Forecasts'!$2:$25,'Unchained Indices'!Y$2,0))))</f>
        <v>100.64426699900989</v>
      </c>
      <c r="Z27">
        <f>IF($B27=TRUE,Z26*(1+VLOOKUP($A27,$C$43:$CP$69,Z$2,0)),Z26*(1+(VLOOKUP($A27,'MoM Forecasts'!$2:$25,'Unchained Indices'!Z$2,0))))</f>
        <v>100.51476701251856</v>
      </c>
      <c r="AA27">
        <f>IF($B27=TRUE,AA26*(1+VLOOKUP($A27,$C$43:$CP$69,AA$2,0)),AA26*(1+(VLOOKUP($A27,'MoM Forecasts'!$2:$25,'Unchained Indices'!AA$2,0))))</f>
        <v>100.91991214440171</v>
      </c>
      <c r="AB27">
        <f>IF($B27=TRUE,AB26*(1+VLOOKUP($A27,$C$43:$CP$69,AB$2,0)),AB26*(1+(VLOOKUP($A27,'MoM Forecasts'!$2:$25,'Unchained Indices'!AB$2,0))))</f>
        <v>100.68106227728818</v>
      </c>
      <c r="AC27">
        <f>IF($B27=TRUE,AC26*(1+VLOOKUP($A27,$C$43:$CP$69,AC$2,0)),AC26*(1+(VLOOKUP($A27,'MoM Forecasts'!$2:$25,'Unchained Indices'!AC$2,0))))</f>
        <v>99.062730834710251</v>
      </c>
      <c r="AD27">
        <f>IF($B27=TRUE,AD26*(1+VLOOKUP($A27,$C$43:$CP$69,AD$2,0)),AD26*(1+(VLOOKUP($A27,'MoM Forecasts'!$2:$25,'Unchained Indices'!AD$2,0))))</f>
        <v>100.58665169407612</v>
      </c>
      <c r="AE27">
        <f>IF($B27=TRUE,AE26*(1+VLOOKUP($A27,$C$43:$CP$69,AE$2,0)),AE26*(1+(VLOOKUP($A27,'MoM Forecasts'!$2:$25,'Unchained Indices'!AE$2,0))))</f>
        <v>100.59557166467339</v>
      </c>
      <c r="AF27">
        <f>IF($B27=TRUE,AF26*(1+VLOOKUP($A27,$C$43:$CP$69,AF$2,0)),AF26*(1+(VLOOKUP($A27,'MoM Forecasts'!$2:$25,'Unchained Indices'!AF$2,0))))</f>
        <v>99.865046094796213</v>
      </c>
      <c r="AG27">
        <f>IF($B27=TRUE,AG26*(1+VLOOKUP($A27,$C$43:$CP$69,AG$2,0)),AG26*(1+(VLOOKUP($A27,'MoM Forecasts'!$2:$25,'Unchained Indices'!AG$2,0))))</f>
        <v>100.73885883175086</v>
      </c>
      <c r="AH27">
        <f>IF($B27=TRUE,AH26*(1+VLOOKUP($A27,$C$43:$CP$69,AH$2,0)),AH26*(1+(VLOOKUP($A27,'MoM Forecasts'!$2:$25,'Unchained Indices'!AH$2,0))))</f>
        <v>100.66390684035099</v>
      </c>
      <c r="AI27">
        <f>IF($B27=TRUE,AI26*(1+VLOOKUP($A27,$C$43:$CP$69,AI$2,0)),AI26*(1+(VLOOKUP($A27,'MoM Forecasts'!$2:$25,'Unchained Indices'!AI$2,0))))</f>
        <v>99.79321719596004</v>
      </c>
      <c r="AJ27">
        <f>IF($B27=TRUE,AJ26*(1+VLOOKUP($A27,$C$43:$CP$69,AJ$2,0)),AJ26*(1+(VLOOKUP($A27,'MoM Forecasts'!$2:$25,'Unchained Indices'!AJ$2,0))))</f>
        <v>100.79294342353825</v>
      </c>
      <c r="AK27">
        <f>IF($B27=TRUE,AK26*(1+VLOOKUP($A27,$C$43:$CP$69,AK$2,0)),AK26*(1+(VLOOKUP($A27,'MoM Forecasts'!$2:$25,'Unchained Indices'!AK$2,0))))</f>
        <v>100.50145011126128</v>
      </c>
      <c r="AL27">
        <f>IF($B27=TRUE,AL26*(1+VLOOKUP($A27,$C$43:$CP$69,AL$2,0)),AL26*(1+(VLOOKUP($A27,'MoM Forecasts'!$2:$25,'Unchained Indices'!AL$2,0))))</f>
        <v>100.79186471271993</v>
      </c>
      <c r="AM27">
        <f>IF($B27=TRUE,AM26*(1+VLOOKUP($A27,$C$43:$CP$69,AM$2,0)),AM26*(1+(VLOOKUP($A27,'MoM Forecasts'!$2:$25,'Unchained Indices'!AM$2,0))))</f>
        <v>100.90907941205454</v>
      </c>
      <c r="AN27">
        <f>IF($B27=TRUE,AN26*(1+VLOOKUP($A27,$C$43:$CP$69,AN$2,0)),AN26*(1+(VLOOKUP($A27,'MoM Forecasts'!$2:$25,'Unchained Indices'!AN$2,0))))</f>
        <v>100.76947076579769</v>
      </c>
      <c r="AO27">
        <f>IF($B27=TRUE,AO26*(1+VLOOKUP($A27,$C$43:$CP$69,AO$2,0)),AO26*(1+(VLOOKUP($A27,'MoM Forecasts'!$2:$25,'Unchained Indices'!AO$2,0))))</f>
        <v>100.79935414612578</v>
      </c>
      <c r="AP27">
        <f>IF($B27=TRUE,AP26*(1+VLOOKUP($A27,$C$43:$CP$69,AP$2,0)),AP26*(1+(VLOOKUP($A27,'MoM Forecasts'!$2:$25,'Unchained Indices'!AP$2,0))))</f>
        <v>100.84393114700292</v>
      </c>
      <c r="AQ27">
        <f>IF($B27=TRUE,AQ26*(1+VLOOKUP($A27,$C$43:$CP$69,AQ$2,0)),AQ26*(1+(VLOOKUP($A27,'MoM Forecasts'!$2:$25,'Unchained Indices'!AQ$2,0))))</f>
        <v>100.35271021078412</v>
      </c>
      <c r="AR27">
        <f>IF($B27=TRUE,AR26*(1+VLOOKUP($A27,$C$43:$CP$69,AR$2,0)),AR26*(1+(VLOOKUP($A27,'MoM Forecasts'!$2:$25,'Unchained Indices'!AR$2,0))))</f>
        <v>100.72756656488282</v>
      </c>
      <c r="AS27">
        <f>IF($B27=TRUE,AS26*(1+VLOOKUP($A27,$C$43:$CP$69,AS$2,0)),AS26*(1+(VLOOKUP($A27,'MoM Forecasts'!$2:$25,'Unchained Indices'!AS$2,0))))</f>
        <v>100.83026549735216</v>
      </c>
      <c r="AT27">
        <f>IF($B27=TRUE,AT26*(1+VLOOKUP($A27,$C$43:$CP$69,AT$2,0)),AT26*(1+(VLOOKUP($A27,'MoM Forecasts'!$2:$25,'Unchained Indices'!AT$2,0))))</f>
        <v>100.56879547502363</v>
      </c>
      <c r="AU27">
        <f>IF($B27=TRUE,AU26*(1+VLOOKUP($A27,$C$43:$CP$69,AU$2,0)),AU26*(1+(VLOOKUP($A27,'MoM Forecasts'!$2:$25,'Unchained Indices'!AU$2,0))))</f>
        <v>101.00856682960878</v>
      </c>
      <c r="AV27">
        <f>IF($B27=TRUE,AV26*(1+VLOOKUP($A27,$C$43:$CP$69,AV$2,0)),AV26*(1+(VLOOKUP($A27,'MoM Forecasts'!$2:$25,'Unchained Indices'!AV$2,0))))</f>
        <v>100.88814352252632</v>
      </c>
      <c r="AW27">
        <f>IF($B27=TRUE,AW26*(1+VLOOKUP($A27,$C$43:$CP$69,AW$2,0)),AW26*(1+(VLOOKUP($A27,'MoM Forecasts'!$2:$25,'Unchained Indices'!AW$2,0))))</f>
        <v>100.83682894208441</v>
      </c>
      <c r="AX27">
        <f>IF($B27=TRUE,AX26*(1+VLOOKUP($A27,$C$43:$CP$69,AX$2,0)),AX26*(1+(VLOOKUP($A27,'MoM Forecasts'!$2:$25,'Unchained Indices'!AX$2,0))))</f>
        <v>103.90076681631903</v>
      </c>
      <c r="AY27">
        <f>IF($B27=TRUE,AY26*(1+VLOOKUP($A27,$C$43:$CP$69,AY$2,0)),AY26*(1+(VLOOKUP($A27,'MoM Forecasts'!$2:$25,'Unchained Indices'!AY$2,0))))</f>
        <v>101.08460701284517</v>
      </c>
      <c r="AZ27">
        <f>IF($B27=TRUE,AZ26*(1+VLOOKUP($A27,$C$43:$CP$69,AZ$2,0)),AZ26*(1+(VLOOKUP($A27,'MoM Forecasts'!$2:$25,'Unchained Indices'!AZ$2,0))))</f>
        <v>100.87911102448138</v>
      </c>
      <c r="BA27">
        <f>IF($B27=TRUE,BA26*(1+VLOOKUP($A27,$C$43:$CP$69,BA$2,0)),BA26*(1+(VLOOKUP($A27,'MoM Forecasts'!$2:$25,'Unchained Indices'!BA$2,0))))</f>
        <v>100.98683676640159</v>
      </c>
      <c r="BB27">
        <f>IF($B27=TRUE,BB26*(1+VLOOKUP($A27,$C$43:$CP$69,BB$2,0)),BB26*(1+(VLOOKUP($A27,'MoM Forecasts'!$2:$25,'Unchained Indices'!BB$2,0))))</f>
        <v>100.99962972301633</v>
      </c>
      <c r="BC27">
        <f>IF($B27=TRUE,BC26*(1+VLOOKUP($A27,$C$43:$CP$69,BC$2,0)),BC26*(1+(VLOOKUP($A27,'MoM Forecasts'!$2:$25,'Unchained Indices'!BC$2,0))))</f>
        <v>100.59574348300761</v>
      </c>
      <c r="BD27">
        <f>IF($B27=TRUE,BD26*(1+VLOOKUP($A27,$C$43:$CP$69,BD$2,0)),BD26*(1+(VLOOKUP($A27,'MoM Forecasts'!$2:$25,'Unchained Indices'!BD$2,0))))</f>
        <v>100.67182875147046</v>
      </c>
      <c r="BE27">
        <f>IF($B27=TRUE,BE26*(1+VLOOKUP($A27,$C$43:$CP$69,BE$2,0)),BE26*(1+(VLOOKUP($A27,'MoM Forecasts'!$2:$25,'Unchained Indices'!BE$2,0))))</f>
        <v>100.82518161572429</v>
      </c>
      <c r="BF27">
        <f>IF($B27=TRUE,BF26*(1+VLOOKUP($A27,$C$43:$CP$69,BF$2,0)),BF26*(1+(VLOOKUP($A27,'MoM Forecasts'!$2:$25,'Unchained Indices'!BF$2,0))))</f>
        <v>100.58067533005742</v>
      </c>
      <c r="BG27">
        <f>IF($B27=TRUE,BG26*(1+VLOOKUP($A27,$C$43:$CP$69,BG$2,0)),BG26*(1+(VLOOKUP($A27,'MoM Forecasts'!$2:$25,'Unchained Indices'!BG$2,0))))</f>
        <v>100.66220520841937</v>
      </c>
      <c r="BH27">
        <f>IF($B27=TRUE,BH26*(1+VLOOKUP($A27,$C$43:$CP$69,BH$2,0)),BH26*(1+(VLOOKUP($A27,'MoM Forecasts'!$2:$25,'Unchained Indices'!BH$2,0))))</f>
        <v>105.25150501680572</v>
      </c>
      <c r="BI27">
        <f>IF($B27=TRUE,BI26*(1+VLOOKUP($A27,$C$43:$CP$69,BI$2,0)),BI26*(1+(VLOOKUP($A27,'MoM Forecasts'!$2:$25,'Unchained Indices'!BI$2,0))))</f>
        <v>100.64294129544103</v>
      </c>
      <c r="BJ27">
        <f>IF($B27=TRUE,BJ26*(1+VLOOKUP($A27,$C$43:$CP$69,BJ$2,0)),BJ26*(1+(VLOOKUP($A27,'MoM Forecasts'!$2:$25,'Unchained Indices'!BJ$2,0))))</f>
        <v>100.64716425318539</v>
      </c>
      <c r="BK27">
        <f>IF($B27=TRUE,BK26*(1+VLOOKUP($A27,$C$43:$CP$69,BK$2,0)),BK26*(1+(VLOOKUP($A27,'MoM Forecasts'!$2:$25,'Unchained Indices'!BK$2,0))))</f>
        <v>99.456066670111255</v>
      </c>
      <c r="BL27">
        <f>IF($B27=TRUE,BL26*(1+VLOOKUP($A27,$C$43:$CP$69,BL$2,0)),BL26*(1+(VLOOKUP($A27,'MoM Forecasts'!$2:$25,'Unchained Indices'!BL$2,0))))</f>
        <v>100.51173875221697</v>
      </c>
      <c r="BM27">
        <f>IF($B27=TRUE,BM26*(1+VLOOKUP($A27,$C$43:$CP$69,BM$2,0)),BM26*(1+(VLOOKUP($A27,'MoM Forecasts'!$2:$25,'Unchained Indices'!BM$2,0))))</f>
        <v>100.53753029135994</v>
      </c>
      <c r="BN27">
        <f>IF($B27=TRUE,BN26*(1+VLOOKUP($A27,$C$43:$CP$69,BN$2,0)),BN26*(1+(VLOOKUP($A27,'MoM Forecasts'!$2:$25,'Unchained Indices'!BN$2,0))))</f>
        <v>100.72492918853257</v>
      </c>
      <c r="BO27">
        <f>IF($B27=TRUE,BO26*(1+VLOOKUP($A27,$C$43:$CP$69,BO$2,0)),BO26*(1+(VLOOKUP($A27,'MoM Forecasts'!$2:$25,'Unchained Indices'!BO$2,0))))</f>
        <v>100.90029854720223</v>
      </c>
      <c r="BP27">
        <f>IF($B27=TRUE,BP26*(1+VLOOKUP($A27,$C$43:$CP$69,BP$2,0)),BP26*(1+(VLOOKUP($A27,'MoM Forecasts'!$2:$25,'Unchained Indices'!BP$2,0))))</f>
        <v>99.981516577273553</v>
      </c>
      <c r="BQ27">
        <f>IF($B27=TRUE,BQ26*(1+VLOOKUP($A27,$C$43:$CP$69,BQ$2,0)),BQ26*(1+(VLOOKUP($A27,'MoM Forecasts'!$2:$25,'Unchained Indices'!BQ$2,0))))</f>
        <v>100.90690148628791</v>
      </c>
      <c r="BR27">
        <f>IF($B27=TRUE,BR26*(1+VLOOKUP($A27,$C$43:$CP$69,BR$2,0)),BR26*(1+(VLOOKUP($A27,'MoM Forecasts'!$2:$25,'Unchained Indices'!BR$2,0))))</f>
        <v>100.94023390630078</v>
      </c>
      <c r="BS27">
        <f>IF($B27=TRUE,BS26*(1+VLOOKUP($A27,$C$43:$CP$69,BS$2,0)),BS26*(1+(VLOOKUP($A27,'MoM Forecasts'!$2:$25,'Unchained Indices'!BS$2,0))))</f>
        <v>100.34760688714147</v>
      </c>
      <c r="BT27">
        <f>IF($B27=TRUE,BT26*(1+VLOOKUP($A27,$C$43:$CP$69,BT$2,0)),BT26*(1+(VLOOKUP($A27,'MoM Forecasts'!$2:$25,'Unchained Indices'!BT$2,0))))</f>
        <v>100.15573694649035</v>
      </c>
      <c r="BU27">
        <f>IF($B27=TRUE,BU26*(1+VLOOKUP($A27,$C$43:$CP$69,BU$2,0)),BU26*(1+(VLOOKUP($A27,'MoM Forecasts'!$2:$25,'Unchained Indices'!BU$2,0))))</f>
        <v>100.31291120674723</v>
      </c>
      <c r="BV27">
        <f>IF($B27=TRUE,BV26*(1+VLOOKUP($A27,$C$43:$CP$69,BV$2,0)),BV26*(1+(VLOOKUP($A27,'MoM Forecasts'!$2:$25,'Unchained Indices'!BV$2,0))))</f>
        <v>100.52640371430883</v>
      </c>
      <c r="BW27">
        <f>IF($B27=TRUE,BW26*(1+VLOOKUP($A27,$C$43:$CP$69,BW$2,0)),BW26*(1+(VLOOKUP($A27,'MoM Forecasts'!$2:$25,'Unchained Indices'!BW$2,0))))</f>
        <v>100.25764052843793</v>
      </c>
      <c r="BX27">
        <f>IF($B27=TRUE,BX26*(1+VLOOKUP($A27,$C$43:$CP$69,BX$2,0)),BX26*(1+(VLOOKUP($A27,'MoM Forecasts'!$2:$25,'Unchained Indices'!BX$2,0))))</f>
        <v>100.60441243506949</v>
      </c>
      <c r="BY27">
        <f>IF($B27=TRUE,BY26*(1+VLOOKUP($A27,$C$43:$CP$69,BY$2,0)),BY26*(1+(VLOOKUP($A27,'MoM Forecasts'!$2:$25,'Unchained Indices'!BY$2,0))))</f>
        <v>100.57043607609221</v>
      </c>
      <c r="BZ27">
        <f>IF($B27=TRUE,BZ26*(1+VLOOKUP($A27,$C$43:$CP$69,BZ$2,0)),BZ26*(1+(VLOOKUP($A27,'MoM Forecasts'!$2:$25,'Unchained Indices'!BZ$2,0))))</f>
        <v>100.94524466393277</v>
      </c>
      <c r="CA27">
        <f>IF($B27=TRUE,CA26*(1+VLOOKUP($A27,$C$43:$CP$69,CA$2,0)),CA26*(1+(VLOOKUP($A27,'MoM Forecasts'!$2:$25,'Unchained Indices'!CA$2,0))))</f>
        <v>99.618103777300348</v>
      </c>
      <c r="CB27">
        <f>IF($B27=TRUE,CB26*(1+VLOOKUP($A27,$C$43:$CP$69,CB$2,0)),CB26*(1+(VLOOKUP($A27,'MoM Forecasts'!$2:$25,'Unchained Indices'!CB$2,0))))</f>
        <v>100.92595625790227</v>
      </c>
      <c r="CC27">
        <f>IF($B27=TRUE,CC26*(1+VLOOKUP($A27,$C$43:$CP$69,CC$2,0)),CC26*(1+(VLOOKUP($A27,'MoM Forecasts'!$2:$25,'Unchained Indices'!CC$2,0))))</f>
        <v>100.7213799132593</v>
      </c>
      <c r="CD27">
        <f>IF($B27=TRUE,CD26*(1+VLOOKUP($A27,$C$43:$CP$69,CD$2,0)),CD26*(1+(VLOOKUP($A27,'MoM Forecasts'!$2:$25,'Unchained Indices'!CD$2,0))))</f>
        <v>100.88627317489788</v>
      </c>
      <c r="CE27">
        <f>IF($B27=TRUE,CE26*(1+VLOOKUP($A27,$C$43:$CP$69,CE$2,0)),CE26*(1+(VLOOKUP($A27,'MoM Forecasts'!$2:$25,'Unchained Indices'!CE$2,0))))</f>
        <v>100.89121627970745</v>
      </c>
      <c r="CF27">
        <f>IF($B27=TRUE,CF26*(1+VLOOKUP($A27,$C$43:$CP$69,CF$2,0)),CF26*(1+(VLOOKUP($A27,'MoM Forecasts'!$2:$25,'Unchained Indices'!CF$2,0))))</f>
        <v>100.87165762916904</v>
      </c>
      <c r="CG27">
        <f>IF($B27=TRUE,CG26*(1+VLOOKUP($A27,$C$43:$CP$69,CG$2,0)),CG26*(1+(VLOOKUP($A27,'MoM Forecasts'!$2:$25,'Unchained Indices'!CG$2,0))))</f>
        <v>101.78329044650171</v>
      </c>
      <c r="CH27">
        <f>IF($B27=TRUE,CH26*(1+VLOOKUP($A27,$C$43:$CP$69,CH$2,0)),CH26*(1+(VLOOKUP($A27,'MoM Forecasts'!$2:$25,'Unchained Indices'!CH$2,0))))</f>
        <v>78.08485375250379</v>
      </c>
      <c r="CI27">
        <f>IF($B27=TRUE,CI26*(1+VLOOKUP($A27,$C$43:$CP$69,CI$2,0)),CI26*(1+(VLOOKUP($A27,'MoM Forecasts'!$2:$25,'Unchained Indices'!CI$2,0))))</f>
        <v>102.11839763973141</v>
      </c>
      <c r="CJ27">
        <f>IF($B27=TRUE,CJ26*(1+VLOOKUP($A27,$C$43:$CP$69,CJ$2,0)),CJ26*(1+(VLOOKUP($A27,'MoM Forecasts'!$2:$25,'Unchained Indices'!CJ$2,0))))</f>
        <v>99.597483927104705</v>
      </c>
      <c r="CK27">
        <f>IF($B27=TRUE,CK26*(1+VLOOKUP($A27,$C$43:$CP$69,CK$2,0)),CK26*(1+(VLOOKUP($A27,'MoM Forecasts'!$2:$25,'Unchained Indices'!CK$2,0))))</f>
        <v>100.80601616099524</v>
      </c>
      <c r="CL27">
        <f>IF($B27=TRUE,CL26*(1+VLOOKUP($A27,$C$43:$CP$69,CL$2,0)),CL26*(1+(VLOOKUP($A27,'MoM Forecasts'!$2:$25,'Unchained Indices'!CL$2,0))))</f>
        <v>100.397773215214</v>
      </c>
      <c r="CM27">
        <f>IF($B27=TRUE,CM26*(1+VLOOKUP($A27,$C$43:$CP$69,CM$2,0)),CM26*(1+(VLOOKUP($A27,'MoM Forecasts'!$2:$25,'Unchained Indices'!CM$2,0))))</f>
        <v>100.67478309997067</v>
      </c>
      <c r="CN27">
        <f>IF($B27=TRUE,CN26*(1+VLOOKUP($A27,$C$43:$CP$69,CN$2,0)),CN26*(1+(VLOOKUP($A27,'MoM Forecasts'!$2:$25,'Unchained Indices'!CN$2,0))))</f>
        <v>100.98425050520081</v>
      </c>
      <c r="CO27">
        <f>IF($B27=TRUE,CO26*(1+VLOOKUP($A27,$C$43:$CP$69,CO$2,0)),CO26*(1+(VLOOKUP($A27,'MoM Forecasts'!$2:$25,'Unchained Indices'!CO$2,0))))</f>
        <v>100.93129266689836</v>
      </c>
      <c r="CP27">
        <f>IF($B27=TRUE,CP26*(1+VLOOKUP($A27,$C$43:$CP$69,CP$2,0)),CP26*(1+(VLOOKUP($A27,'MoM Forecasts'!$2:$25,'Unchained Indices'!CP$2,0))))</f>
        <v>100.8923926379365</v>
      </c>
    </row>
    <row r="28" spans="1:94" x14ac:dyDescent="0.25">
      <c r="A28" s="6">
        <f t="shared" si="4"/>
        <v>45261</v>
      </c>
      <c r="B28" s="8" t="str">
        <f>IF(A28&lt;='MoM Forecasts'!$A$2,TRUE,"")</f>
        <v/>
      </c>
      <c r="C28" s="7">
        <f t="shared" si="5"/>
        <v>44927</v>
      </c>
      <c r="D28">
        <f>IF($B28=TRUE,D27*(1+VLOOKUP($A28,$C$43:$CP$69,D$2,0)),D27*(1+(VLOOKUP($A28,'MoM Forecasts'!$2:$25,'Unchained Indices'!D$2,0))))</f>
        <v>100.72099932938134</v>
      </c>
      <c r="E28">
        <f>IF($B28=TRUE,E27*(1+VLOOKUP($A28,$C$43:$CP$69,E$2,0)),E27*(1+(VLOOKUP($A28,'MoM Forecasts'!$2:$25,'Unchained Indices'!E$2,0))))</f>
        <v>100.6435787784982</v>
      </c>
      <c r="F28">
        <f>IF($B28=TRUE,F27*(1+VLOOKUP($A28,$C$43:$CP$69,F$2,0)),F27*(1+(VLOOKUP($A28,'MoM Forecasts'!$2:$25,'Unchained Indices'!F$2,0))))</f>
        <v>100.74711138947647</v>
      </c>
      <c r="G28">
        <f>IF($B28=TRUE,G27*(1+VLOOKUP($A28,$C$43:$CP$69,G$2,0)),G27*(1+(VLOOKUP($A28,'MoM Forecasts'!$2:$25,'Unchained Indices'!G$2,0))))</f>
        <v>100.68732546728504</v>
      </c>
      <c r="H28">
        <f>IF($B28=TRUE,H27*(1+VLOOKUP($A28,$C$43:$CP$69,H$2,0)),H27*(1+(VLOOKUP($A28,'MoM Forecasts'!$2:$25,'Unchained Indices'!H$2,0))))</f>
        <v>100.90236802105949</v>
      </c>
      <c r="I28">
        <f>IF($B28=TRUE,I27*(1+VLOOKUP($A28,$C$43:$CP$69,I$2,0)),I27*(1+(VLOOKUP($A28,'MoM Forecasts'!$2:$25,'Unchained Indices'!I$2,0))))</f>
        <v>100.90139088503888</v>
      </c>
      <c r="J28">
        <f>IF($B28=TRUE,J27*(1+VLOOKUP($A28,$C$43:$CP$69,J$2,0)),J27*(1+(VLOOKUP($A28,'MoM Forecasts'!$2:$25,'Unchained Indices'!J$2,0))))</f>
        <v>100.77193812819934</v>
      </c>
      <c r="K28">
        <f>IF($B28=TRUE,K27*(1+VLOOKUP($A28,$C$43:$CP$69,K$2,0)),K27*(1+(VLOOKUP($A28,'MoM Forecasts'!$2:$25,'Unchained Indices'!K$2,0))))</f>
        <v>100.69045380288919</v>
      </c>
      <c r="L28">
        <f>IF($B28=TRUE,L27*(1+VLOOKUP($A28,$C$43:$CP$69,L$2,0)),L27*(1+(VLOOKUP($A28,'MoM Forecasts'!$2:$25,'Unchained Indices'!L$2,0))))</f>
        <v>100.27899758056301</v>
      </c>
      <c r="M28">
        <f>IF($B28=TRUE,M27*(1+VLOOKUP($A28,$C$43:$CP$69,M$2,0)),M27*(1+(VLOOKUP($A28,'MoM Forecasts'!$2:$25,'Unchained Indices'!M$2,0))))</f>
        <v>100.60896756741349</v>
      </c>
      <c r="N28">
        <f>IF($B28=TRUE,N27*(1+VLOOKUP($A28,$C$43:$CP$69,N$2,0)),N27*(1+(VLOOKUP($A28,'MoM Forecasts'!$2:$25,'Unchained Indices'!N$2,0))))</f>
        <v>100.85907143783277</v>
      </c>
      <c r="O28">
        <f>IF($B28=TRUE,O27*(1+VLOOKUP($A28,$C$43:$CP$69,O$2,0)),O27*(1+(VLOOKUP($A28,'MoM Forecasts'!$2:$25,'Unchained Indices'!O$2,0))))</f>
        <v>100.86629824498435</v>
      </c>
      <c r="P28">
        <f>IF($B28=TRUE,P27*(1+VLOOKUP($A28,$C$43:$CP$69,P$2,0)),P27*(1+(VLOOKUP($A28,'MoM Forecasts'!$2:$25,'Unchained Indices'!P$2,0))))</f>
        <v>100.83887031790823</v>
      </c>
      <c r="Q28">
        <f>IF($B28=TRUE,Q27*(1+VLOOKUP($A28,$C$43:$CP$69,Q$2,0)),Q27*(1+(VLOOKUP($A28,'MoM Forecasts'!$2:$25,'Unchained Indices'!Q$2,0))))</f>
        <v>100.85160085542816</v>
      </c>
      <c r="R28">
        <f>IF($B28=TRUE,R27*(1+VLOOKUP($A28,$C$43:$CP$69,R$2,0)),R27*(1+(VLOOKUP($A28,'MoM Forecasts'!$2:$25,'Unchained Indices'!R$2,0))))</f>
        <v>100.57966574446937</v>
      </c>
      <c r="S28">
        <f>IF($B28=TRUE,S27*(1+VLOOKUP($A28,$C$43:$CP$69,S$2,0)),S27*(1+(VLOOKUP($A28,'MoM Forecasts'!$2:$25,'Unchained Indices'!S$2,0))))</f>
        <v>100.7761935869854</v>
      </c>
      <c r="T28">
        <f>IF($B28=TRUE,T27*(1+VLOOKUP($A28,$C$43:$CP$69,T$2,0)),T27*(1+(VLOOKUP($A28,'MoM Forecasts'!$2:$25,'Unchained Indices'!T$2,0))))</f>
        <v>100.8554769039327</v>
      </c>
      <c r="U28">
        <f>IF($B28=TRUE,U27*(1+VLOOKUP($A28,$C$43:$CP$69,U$2,0)),U27*(1+(VLOOKUP($A28,'MoM Forecasts'!$2:$25,'Unchained Indices'!U$2,0))))</f>
        <v>100.69577166897652</v>
      </c>
      <c r="V28">
        <f>IF($B28=TRUE,V27*(1+VLOOKUP($A28,$C$43:$CP$69,V$2,0)),V27*(1+(VLOOKUP($A28,'MoM Forecasts'!$2:$25,'Unchained Indices'!V$2,0))))</f>
        <v>100.51736103590116</v>
      </c>
      <c r="W28">
        <f>IF($B28=TRUE,W27*(1+VLOOKUP($A28,$C$43:$CP$69,W$2,0)),W27*(1+(VLOOKUP($A28,'MoM Forecasts'!$2:$25,'Unchained Indices'!W$2,0))))</f>
        <v>100.66204912095237</v>
      </c>
      <c r="X28">
        <f>IF($B28=TRUE,X27*(1+VLOOKUP($A28,$C$43:$CP$69,X$2,0)),X27*(1+(VLOOKUP($A28,'MoM Forecasts'!$2:$25,'Unchained Indices'!X$2,0))))</f>
        <v>100.68522846018611</v>
      </c>
      <c r="Y28">
        <f>IF($B28=TRUE,Y27*(1+VLOOKUP($A28,$C$43:$CP$69,Y$2,0)),Y27*(1+(VLOOKUP($A28,'MoM Forecasts'!$2:$25,'Unchained Indices'!Y$2,0))))</f>
        <v>100.70869369891088</v>
      </c>
      <c r="Z28">
        <f>IF($B28=TRUE,Z27*(1+VLOOKUP($A28,$C$43:$CP$69,Z$2,0)),Z27*(1+(VLOOKUP($A28,'MoM Forecasts'!$2:$25,'Unchained Indices'!Z$2,0))))</f>
        <v>100.56624371377042</v>
      </c>
      <c r="AA28">
        <f>IF($B28=TRUE,AA27*(1+VLOOKUP($A28,$C$43:$CP$69,AA$2,0)),AA27*(1+(VLOOKUP($A28,'MoM Forecasts'!$2:$25,'Unchained Indices'!AA$2,0))))</f>
        <v>101.01190335884189</v>
      </c>
      <c r="AB28">
        <f>IF($B28=TRUE,AB27*(1+VLOOKUP($A28,$C$43:$CP$69,AB$2,0)),AB27*(1+(VLOOKUP($A28,'MoM Forecasts'!$2:$25,'Unchained Indices'!AB$2,0))))</f>
        <v>100.74916850501698</v>
      </c>
      <c r="AC28">
        <f>IF($B28=TRUE,AC27*(1+VLOOKUP($A28,$C$43:$CP$69,AC$2,0)),AC27*(1+(VLOOKUP($A28,'MoM Forecasts'!$2:$25,'Unchained Indices'!AC$2,0))))</f>
        <v>100.63761435431124</v>
      </c>
      <c r="AD28">
        <f>IF($B28=TRUE,AD27*(1+VLOOKUP($A28,$C$43:$CP$69,AD$2,0)),AD27*(1+(VLOOKUP($A28,'MoM Forecasts'!$2:$25,'Unchained Indices'!AD$2,0))))</f>
        <v>100.64531686348374</v>
      </c>
      <c r="AE28">
        <f>IF($B28=TRUE,AE27*(1+VLOOKUP($A28,$C$43:$CP$69,AE$2,0)),AE27*(1+(VLOOKUP($A28,'MoM Forecasts'!$2:$25,'Unchained Indices'!AE$2,0))))</f>
        <v>100.99342964421122</v>
      </c>
      <c r="AF28">
        <f>IF($B28=TRUE,AF27*(1+VLOOKUP($A28,$C$43:$CP$69,AF$2,0)),AF27*(1+(VLOOKUP($A28,'MoM Forecasts'!$2:$25,'Unchained Indices'!AF$2,0))))</f>
        <v>100.5856794659534</v>
      </c>
      <c r="AG28">
        <f>IF($B28=TRUE,AG27*(1+VLOOKUP($A28,$C$43:$CP$69,AG$2,0)),AG27*(1+(VLOOKUP($A28,'MoM Forecasts'!$2:$25,'Unchained Indices'!AG$2,0))))</f>
        <v>100.81274471492596</v>
      </c>
      <c r="AH28">
        <f>IF($B28=TRUE,AH27*(1+VLOOKUP($A28,$C$43:$CP$69,AH$2,0)),AH27*(1+(VLOOKUP($A28,'MoM Forecasts'!$2:$25,'Unchained Indices'!AH$2,0))))</f>
        <v>100.73029752438607</v>
      </c>
      <c r="AI28">
        <f>IF($B28=TRUE,AI27*(1+VLOOKUP($A28,$C$43:$CP$69,AI$2,0)),AI27*(1+(VLOOKUP($A28,'MoM Forecasts'!$2:$25,'Unchained Indices'!AI$2,0))))</f>
        <v>99.2760060696192</v>
      </c>
      <c r="AJ28">
        <f>IF($B28=TRUE,AJ27*(1+VLOOKUP($A28,$C$43:$CP$69,AJ$2,0)),AJ27*(1+(VLOOKUP($A28,'MoM Forecasts'!$2:$25,'Unchained Indices'!AJ$2,0))))</f>
        <v>100.87223776589207</v>
      </c>
      <c r="AK28">
        <f>IF($B28=TRUE,AK27*(1+VLOOKUP($A28,$C$43:$CP$69,AK$2,0)),AK27*(1+(VLOOKUP($A28,'MoM Forecasts'!$2:$25,'Unchained Indices'!AK$2,0))))</f>
        <v>100.5515951223874</v>
      </c>
      <c r="AL28">
        <f>IF($B28=TRUE,AL27*(1+VLOOKUP($A28,$C$43:$CP$69,AL$2,0)),AL27*(1+(VLOOKUP($A28,'MoM Forecasts'!$2:$25,'Unchained Indices'!AL$2,0))))</f>
        <v>100.87105118399194</v>
      </c>
      <c r="AM28">
        <f>IF($B28=TRUE,AM27*(1+VLOOKUP($A28,$C$43:$CP$69,AM$2,0)),AM27*(1+(VLOOKUP($A28,'MoM Forecasts'!$2:$25,'Unchained Indices'!AM$2,0))))</f>
        <v>100.99998735326</v>
      </c>
      <c r="AN28">
        <f>IF($B28=TRUE,AN27*(1+VLOOKUP($A28,$C$43:$CP$69,AN$2,0)),AN27*(1+(VLOOKUP($A28,'MoM Forecasts'!$2:$25,'Unchained Indices'!AN$2,0))))</f>
        <v>100.84641784237746</v>
      </c>
      <c r="AO28">
        <f>IF($B28=TRUE,AO27*(1+VLOOKUP($A28,$C$43:$CP$69,AO$2,0)),AO27*(1+(VLOOKUP($A28,'MoM Forecasts'!$2:$25,'Unchained Indices'!AO$2,0))))</f>
        <v>100.87928956073836</v>
      </c>
      <c r="AP28">
        <f>IF($B28=TRUE,AP27*(1+VLOOKUP($A28,$C$43:$CP$69,AP$2,0)),AP27*(1+(VLOOKUP($A28,'MoM Forecasts'!$2:$25,'Unchained Indices'!AP$2,0))))</f>
        <v>100.92832426170322</v>
      </c>
      <c r="AQ28">
        <f>IF($B28=TRUE,AQ27*(1+VLOOKUP($A28,$C$43:$CP$69,AQ$2,0)),AQ27*(1+(VLOOKUP($A28,'MoM Forecasts'!$2:$25,'Unchained Indices'!AQ$2,0))))</f>
        <v>100.38798123186254</v>
      </c>
      <c r="AR28">
        <f>IF($B28=TRUE,AR27*(1+VLOOKUP($A28,$C$43:$CP$69,AR$2,0)),AR27*(1+(VLOOKUP($A28,'MoM Forecasts'!$2:$25,'Unchained Indices'!AR$2,0))))</f>
        <v>100.8003232213711</v>
      </c>
      <c r="AS28">
        <f>IF($B28=TRUE,AS27*(1+VLOOKUP($A28,$C$43:$CP$69,AS$2,0)),AS27*(1+(VLOOKUP($A28,'MoM Forecasts'!$2:$25,'Unchained Indices'!AS$2,0))))</f>
        <v>100.91329204708735</v>
      </c>
      <c r="AT28">
        <f>IF($B28=TRUE,AT27*(1+VLOOKUP($A28,$C$43:$CP$69,AT$2,0)),AT27*(1+(VLOOKUP($A28,'MoM Forecasts'!$2:$25,'Unchained Indices'!AT$2,0))))</f>
        <v>100.625675022526</v>
      </c>
      <c r="AU28">
        <f>IF($B28=TRUE,AU27*(1+VLOOKUP($A28,$C$43:$CP$69,AU$2,0)),AU27*(1+(VLOOKUP($A28,'MoM Forecasts'!$2:$25,'Unchained Indices'!AU$2,0))))</f>
        <v>101.10942351256966</v>
      </c>
      <c r="AV28">
        <f>IF($B28=TRUE,AV27*(1+VLOOKUP($A28,$C$43:$CP$69,AV$2,0)),AV27*(1+(VLOOKUP($A28,'MoM Forecasts'!$2:$25,'Unchained Indices'!AV$2,0))))</f>
        <v>100.97695787477895</v>
      </c>
      <c r="AW28">
        <f>IF($B28=TRUE,AW27*(1+VLOOKUP($A28,$C$43:$CP$69,AW$2,0)),AW27*(1+(VLOOKUP($A28,'MoM Forecasts'!$2:$25,'Unchained Indices'!AW$2,0))))</f>
        <v>100.92051183629285</v>
      </c>
      <c r="AX28">
        <f>IF($B28=TRUE,AX27*(1+VLOOKUP($A28,$C$43:$CP$69,AX$2,0)),AX27*(1+(VLOOKUP($A28,'MoM Forecasts'!$2:$25,'Unchained Indices'!AX$2,0))))</f>
        <v>105.83551345833598</v>
      </c>
      <c r="AY28">
        <f>IF($B28=TRUE,AY27*(1+VLOOKUP($A28,$C$43:$CP$69,AY$2,0)),AY27*(1+(VLOOKUP($A28,'MoM Forecasts'!$2:$25,'Unchained Indices'!AY$2,0))))</f>
        <v>101.19306771412968</v>
      </c>
      <c r="AZ28">
        <f>IF($B28=TRUE,AZ27*(1+VLOOKUP($A28,$C$43:$CP$69,AZ$2,0)),AZ27*(1+(VLOOKUP($A28,'MoM Forecasts'!$2:$25,'Unchained Indices'!AZ$2,0))))</f>
        <v>100.96702212692951</v>
      </c>
      <c r="BA28">
        <f>IF($B28=TRUE,BA27*(1+VLOOKUP($A28,$C$43:$CP$69,BA$2,0)),BA27*(1+(VLOOKUP($A28,'MoM Forecasts'!$2:$25,'Unchained Indices'!BA$2,0))))</f>
        <v>101.08552044304174</v>
      </c>
      <c r="BB28">
        <f>IF($B28=TRUE,BB27*(1+VLOOKUP($A28,$C$43:$CP$69,BB$2,0)),BB27*(1+(VLOOKUP($A28,'MoM Forecasts'!$2:$25,'Unchained Indices'!BB$2,0))))</f>
        <v>101.09959269531795</v>
      </c>
      <c r="BC28">
        <f>IF($B28=TRUE,BC27*(1+VLOOKUP($A28,$C$43:$CP$69,BC$2,0)),BC27*(1+(VLOOKUP($A28,'MoM Forecasts'!$2:$25,'Unchained Indices'!BC$2,0))))</f>
        <v>100.65531783130837</v>
      </c>
      <c r="BD28">
        <f>IF($B28=TRUE,BD27*(1+VLOOKUP($A28,$C$43:$CP$69,BD$2,0)),BD27*(1+(VLOOKUP($A28,'MoM Forecasts'!$2:$25,'Unchained Indices'!BD$2,0))))</f>
        <v>100.7390116266175</v>
      </c>
      <c r="BE28">
        <f>IF($B28=TRUE,BE27*(1+VLOOKUP($A28,$C$43:$CP$69,BE$2,0)),BE27*(1+(VLOOKUP($A28,'MoM Forecasts'!$2:$25,'Unchained Indices'!BE$2,0))))</f>
        <v>100.90769977729673</v>
      </c>
      <c r="BF28">
        <f>IF($B28=TRUE,BF27*(1+VLOOKUP($A28,$C$43:$CP$69,BF$2,0)),BF27*(1+(VLOOKUP($A28,'MoM Forecasts'!$2:$25,'Unchained Indices'!BF$2,0))))</f>
        <v>100.63874286306314</v>
      </c>
      <c r="BG28">
        <f>IF($B28=TRUE,BG27*(1+VLOOKUP($A28,$C$43:$CP$69,BG$2,0)),BG27*(1+(VLOOKUP($A28,'MoM Forecasts'!$2:$25,'Unchained Indices'!BG$2,0))))</f>
        <v>100.7284257292613</v>
      </c>
      <c r="BH28">
        <f>IF($B28=TRUE,BH27*(1+VLOOKUP($A28,$C$43:$CP$69,BH$2,0)),BH27*(1+(VLOOKUP($A28,'MoM Forecasts'!$2:$25,'Unchained Indices'!BH$2,0))))</f>
        <v>104.88593162446796</v>
      </c>
      <c r="BI28">
        <f>IF($B28=TRUE,BI27*(1+VLOOKUP($A28,$C$43:$CP$69,BI$2,0)),BI27*(1+(VLOOKUP($A28,'MoM Forecasts'!$2:$25,'Unchained Indices'!BI$2,0))))</f>
        <v>100.70723542498514</v>
      </c>
      <c r="BJ28">
        <f>IF($B28=TRUE,BJ27*(1+VLOOKUP($A28,$C$43:$CP$69,BJ$2,0)),BJ27*(1+(VLOOKUP($A28,'MoM Forecasts'!$2:$25,'Unchained Indices'!BJ$2,0))))</f>
        <v>100.71188067850393</v>
      </c>
      <c r="BK28">
        <f>IF($B28=TRUE,BK27*(1+VLOOKUP($A28,$C$43:$CP$69,BK$2,0)),BK27*(1+(VLOOKUP($A28,'MoM Forecasts'!$2:$25,'Unchained Indices'!BK$2,0))))</f>
        <v>99.401673337122375</v>
      </c>
      <c r="BL28">
        <f>IF($B28=TRUE,BL27*(1+VLOOKUP($A28,$C$43:$CP$69,BL$2,0)),BL27*(1+(VLOOKUP($A28,'MoM Forecasts'!$2:$25,'Unchained Indices'!BL$2,0))))</f>
        <v>100.56291262743868</v>
      </c>
      <c r="BM28">
        <f>IF($B28=TRUE,BM27*(1+VLOOKUP($A28,$C$43:$CP$69,BM$2,0)),BM27*(1+(VLOOKUP($A28,'MoM Forecasts'!$2:$25,'Unchained Indices'!BM$2,0))))</f>
        <v>100.59128332049593</v>
      </c>
      <c r="BN28">
        <f>IF($B28=TRUE,BN27*(1+VLOOKUP($A28,$C$43:$CP$69,BN$2,0)),BN27*(1+(VLOOKUP($A28,'MoM Forecasts'!$2:$25,'Unchained Indices'!BN$2,0))))</f>
        <v>100.79742210738581</v>
      </c>
      <c r="BO28">
        <f>IF($B28=TRUE,BO27*(1+VLOOKUP($A28,$C$43:$CP$69,BO$2,0)),BO27*(1+(VLOOKUP($A28,'MoM Forecasts'!$2:$25,'Unchained Indices'!BO$2,0))))</f>
        <v>100.99032840192244</v>
      </c>
      <c r="BP28">
        <f>IF($B28=TRUE,BP27*(1+VLOOKUP($A28,$C$43:$CP$69,BP$2,0)),BP27*(1+(VLOOKUP($A28,'MoM Forecasts'!$2:$25,'Unchained Indices'!BP$2,0))))</f>
        <v>99.979668235000915</v>
      </c>
      <c r="BQ28">
        <f>IF($B28=TRUE,BQ27*(1+VLOOKUP($A28,$C$43:$CP$69,BQ$2,0)),BQ27*(1+(VLOOKUP($A28,'MoM Forecasts'!$2:$25,'Unchained Indices'!BQ$2,0))))</f>
        <v>100.9975916349167</v>
      </c>
      <c r="BR28">
        <f>IF($B28=TRUE,BR27*(1+VLOOKUP($A28,$C$43:$CP$69,BR$2,0)),BR27*(1+(VLOOKUP($A28,'MoM Forecasts'!$2:$25,'Unchained Indices'!BR$2,0))))</f>
        <v>101.03425729693085</v>
      </c>
      <c r="BS28">
        <f>IF($B28=TRUE,BS27*(1+VLOOKUP($A28,$C$43:$CP$69,BS$2,0)),BS27*(1+(VLOOKUP($A28,'MoM Forecasts'!$2:$25,'Unchained Indices'!BS$2,0))))</f>
        <v>100.38236757585562</v>
      </c>
      <c r="BT28">
        <f>IF($B28=TRUE,BT27*(1+VLOOKUP($A28,$C$43:$CP$69,BT$2,0)),BT27*(1+(VLOOKUP($A28,'MoM Forecasts'!$2:$25,'Unchained Indices'!BT$2,0))))</f>
        <v>100.17131064113939</v>
      </c>
      <c r="BU28">
        <f>IF($B28=TRUE,BU27*(1+VLOOKUP($A28,$C$43:$CP$69,BU$2,0)),BU27*(1+(VLOOKUP($A28,'MoM Forecasts'!$2:$25,'Unchained Indices'!BU$2,0))))</f>
        <v>100.34420232742195</v>
      </c>
      <c r="BV28">
        <f>IF($B28=TRUE,BV27*(1+VLOOKUP($A28,$C$43:$CP$69,BV$2,0)),BV27*(1+(VLOOKUP($A28,'MoM Forecasts'!$2:$25,'Unchained Indices'!BV$2,0))))</f>
        <v>100.57904408573972</v>
      </c>
      <c r="BW28">
        <f>IF($B28=TRUE,BW27*(1+VLOOKUP($A28,$C$43:$CP$69,BW$2,0)),BW27*(1+(VLOOKUP($A28,'MoM Forecasts'!$2:$25,'Unchained Indices'!BW$2,0))))</f>
        <v>100.28340458128173</v>
      </c>
      <c r="BX28">
        <f>IF($B28=TRUE,BX27*(1+VLOOKUP($A28,$C$43:$CP$69,BX$2,0)),BX27*(1+(VLOOKUP($A28,'MoM Forecasts'!$2:$25,'Unchained Indices'!BX$2,0))))</f>
        <v>100.66485367857643</v>
      </c>
      <c r="BY28">
        <f>IF($B28=TRUE,BY27*(1+VLOOKUP($A28,$C$43:$CP$69,BY$2,0)),BY27*(1+(VLOOKUP($A28,'MoM Forecasts'!$2:$25,'Unchained Indices'!BY$2,0))))</f>
        <v>100.62747968370144</v>
      </c>
      <c r="BZ28">
        <f>IF($B28=TRUE,BZ27*(1+VLOOKUP($A28,$C$43:$CP$69,BZ$2,0)),BZ27*(1+(VLOOKUP($A28,'MoM Forecasts'!$2:$25,'Unchained Indices'!BZ$2,0))))</f>
        <v>101.03976913032605</v>
      </c>
      <c r="CA28">
        <f>IF($B28=TRUE,CA27*(1+VLOOKUP($A28,$C$43:$CP$69,CA$2,0)),CA27*(1+(VLOOKUP($A28,'MoM Forecasts'!$2:$25,'Unchained Indices'!CA$2,0))))</f>
        <v>99.579914155030394</v>
      </c>
      <c r="CB28">
        <f>IF($B28=TRUE,CB27*(1+VLOOKUP($A28,$C$43:$CP$69,CB$2,0)),CB27*(1+(VLOOKUP($A28,'MoM Forecasts'!$2:$25,'Unchained Indices'!CB$2,0))))</f>
        <v>101.01855188369251</v>
      </c>
      <c r="CC28">
        <f>IF($B28=TRUE,CC27*(1+VLOOKUP($A28,$C$43:$CP$69,CC$2,0)),CC27*(1+(VLOOKUP($A28,'MoM Forecasts'!$2:$25,'Unchained Indices'!CC$2,0))))</f>
        <v>100.79351790458524</v>
      </c>
      <c r="CD28">
        <f>IF($B28=TRUE,CD27*(1+VLOOKUP($A28,$C$43:$CP$69,CD$2,0)),CD27*(1+(VLOOKUP($A28,'MoM Forecasts'!$2:$25,'Unchained Indices'!CD$2,0))))</f>
        <v>100.97490049238766</v>
      </c>
      <c r="CE28">
        <f>IF($B28=TRUE,CE27*(1+VLOOKUP($A28,$C$43:$CP$69,CE$2,0)),CE27*(1+(VLOOKUP($A28,'MoM Forecasts'!$2:$25,'Unchained Indices'!CE$2,0))))</f>
        <v>100.98033790767821</v>
      </c>
      <c r="CF28">
        <f>IF($B28=TRUE,CF27*(1+VLOOKUP($A28,$C$43:$CP$69,CF$2,0)),CF27*(1+(VLOOKUP($A28,'MoM Forecasts'!$2:$25,'Unchained Indices'!CF$2,0))))</f>
        <v>100.95882339208595</v>
      </c>
      <c r="CG28">
        <f>IF($B28=TRUE,CG27*(1+VLOOKUP($A28,$C$43:$CP$69,CG$2,0)),CG27*(1+(VLOOKUP($A28,'MoM Forecasts'!$2:$25,'Unchained Indices'!CG$2,0))))</f>
        <v>106.27290855844905</v>
      </c>
      <c r="CH28">
        <f>IF($B28=TRUE,CH27*(1+VLOOKUP($A28,$C$43:$CP$69,CH$2,0)),CH27*(1+(VLOOKUP($A28,'MoM Forecasts'!$2:$25,'Unchained Indices'!CH$2,0))))</f>
        <v>75.893339127754174</v>
      </c>
      <c r="CI28">
        <f>IF($B28=TRUE,CI27*(1+VLOOKUP($A28,$C$43:$CP$69,CI$2,0)),CI27*(1+(VLOOKUP($A28,'MoM Forecasts'!$2:$25,'Unchained Indices'!CI$2,0))))</f>
        <v>103.24885981924633</v>
      </c>
      <c r="CJ28">
        <f>IF($B28=TRUE,CJ27*(1+VLOOKUP($A28,$C$43:$CP$69,CJ$2,0)),CJ27*(1+(VLOOKUP($A28,'MoM Forecasts'!$2:$25,'Unchained Indices'!CJ$2,0))))</f>
        <v>99.557232319815171</v>
      </c>
      <c r="CK28">
        <f>IF($B28=TRUE,CK27*(1+VLOOKUP($A28,$C$43:$CP$69,CK$2,0)),CK27*(1+(VLOOKUP($A28,'MoM Forecasts'!$2:$25,'Unchained Indices'!CK$2,0))))</f>
        <v>100.88661777709477</v>
      </c>
      <c r="CL28">
        <f>IF($B28=TRUE,CL27*(1+VLOOKUP($A28,$C$43:$CP$69,CL$2,0)),CL27*(1+(VLOOKUP($A28,'MoM Forecasts'!$2:$25,'Unchained Indices'!CL$2,0))))</f>
        <v>100.43755053673539</v>
      </c>
      <c r="CM28">
        <f>IF($B28=TRUE,CM27*(1+VLOOKUP($A28,$C$43:$CP$69,CM$2,0)),CM27*(1+(VLOOKUP($A28,'MoM Forecasts'!$2:$25,'Unchained Indices'!CM$2,0))))</f>
        <v>100.74226140996774</v>
      </c>
      <c r="CN28">
        <f>IF($B28=TRUE,CN27*(1+VLOOKUP($A28,$C$43:$CP$69,CN$2,0)),CN27*(1+(VLOOKUP($A28,'MoM Forecasts'!$2:$25,'Unchained Indices'!CN$2,0))))</f>
        <v>101.08267555572088</v>
      </c>
      <c r="CO28">
        <f>IF($B28=TRUE,CO27*(1+VLOOKUP($A28,$C$43:$CP$69,CO$2,0)),CO27*(1+(VLOOKUP($A28,'MoM Forecasts'!$2:$25,'Unchained Indices'!CO$2,0))))</f>
        <v>101.02442193358819</v>
      </c>
      <c r="CP28">
        <f>IF($B28=TRUE,CP27*(1+VLOOKUP($A28,$C$43:$CP$69,CP$2,0)),CP27*(1+(VLOOKUP($A28,'MoM Forecasts'!$2:$25,'Unchained Indices'!CP$2,0))))</f>
        <v>100.98163190173014</v>
      </c>
    </row>
    <row r="29" spans="1:94" x14ac:dyDescent="0.25">
      <c r="A29" s="6">
        <f t="shared" si="4"/>
        <v>45292</v>
      </c>
      <c r="B29" s="8" t="str">
        <f>IF(A29&lt;='MoM Forecasts'!$A$2,TRUE,"")</f>
        <v/>
      </c>
      <c r="C29" s="7">
        <f t="shared" ref="C29" si="6">EDATE(A29,-(MONTH(A29)-1))</f>
        <v>45292</v>
      </c>
      <c r="D29">
        <f>IF($B29=TRUE,D28*(1+VLOOKUP($A29,$C$43:$CP$69,D$2,0)),D28*(1+(VLOOKUP($A29,'MoM Forecasts'!$2:$25,'Unchained Indices'!D$2,0))))</f>
        <v>100.78654472296145</v>
      </c>
      <c r="E29">
        <f>IF($B29=TRUE,E28*(1+VLOOKUP($A29,$C$43:$CP$69,E$2,0)),E28*(1+(VLOOKUP($A29,'MoM Forecasts'!$2:$25,'Unchained Indices'!E$2,0))))</f>
        <v>100.70208594017986</v>
      </c>
      <c r="F29">
        <f>IF($B29=TRUE,F28*(1+VLOOKUP($A29,$C$43:$CP$69,F$2,0)),F28*(1+(VLOOKUP($A29,'MoM Forecasts'!$2:$25,'Unchained Indices'!F$2,0))))</f>
        <v>100.81503060670163</v>
      </c>
      <c r="G29">
        <f>IF($B29=TRUE,G28*(1+VLOOKUP($A29,$C$43:$CP$69,G$2,0)),G28*(1+(VLOOKUP($A29,'MoM Forecasts'!$2:$25,'Unchained Indices'!G$2,0))))</f>
        <v>100.7498096006746</v>
      </c>
      <c r="H29">
        <f>IF($B29=TRUE,H28*(1+VLOOKUP($A29,$C$43:$CP$69,H$2,0)),H28*(1+(VLOOKUP($A29,'MoM Forecasts'!$2:$25,'Unchained Indices'!H$2,0))))</f>
        <v>100.98440147751944</v>
      </c>
      <c r="I29">
        <f>IF($B29=TRUE,I28*(1+VLOOKUP($A29,$C$43:$CP$69,I$2,0)),I28*(1+(VLOOKUP($A29,'MoM Forecasts'!$2:$25,'Unchained Indices'!I$2,0))))</f>
        <v>100.98333551095152</v>
      </c>
      <c r="J29">
        <f>IF($B29=TRUE,J28*(1+VLOOKUP($A29,$C$43:$CP$69,J$2,0)),J28*(1+(VLOOKUP($A29,'MoM Forecasts'!$2:$25,'Unchained Indices'!J$2,0))))</f>
        <v>100.842114321672</v>
      </c>
      <c r="K29">
        <f>IF($B29=TRUE,K28*(1+VLOOKUP($A29,$C$43:$CP$69,K$2,0)),K28*(1+(VLOOKUP($A29,'MoM Forecasts'!$2:$25,'Unchained Indices'!K$2,0))))</f>
        <v>100.75322233042458</v>
      </c>
      <c r="L29">
        <f>IF($B29=TRUE,L28*(1+VLOOKUP($A29,$C$43:$CP$69,L$2,0)),L28*(1+(VLOOKUP($A29,'MoM Forecasts'!$2:$25,'Unchained Indices'!L$2,0))))</f>
        <v>100.30436099697782</v>
      </c>
      <c r="M29">
        <f>IF($B29=TRUE,M28*(1+VLOOKUP($A29,$C$43:$CP$69,M$2,0)),M28*(1+(VLOOKUP($A29,'MoM Forecasts'!$2:$25,'Unchained Indices'!M$2,0))))</f>
        <v>100.66432825536016</v>
      </c>
      <c r="N29">
        <f>IF($B29=TRUE,N28*(1+VLOOKUP($A29,$C$43:$CP$69,N$2,0)),N28*(1+(VLOOKUP($A29,'MoM Forecasts'!$2:$25,'Unchained Indices'!N$2,0))))</f>
        <v>100.93716884127211</v>
      </c>
      <c r="O29">
        <f>IF($B29=TRUE,O28*(1+VLOOKUP($A29,$C$43:$CP$69,O$2,0)),O28*(1+(VLOOKUP($A29,'MoM Forecasts'!$2:$25,'Unchained Indices'!O$2,0))))</f>
        <v>100.94505263089202</v>
      </c>
      <c r="P29">
        <f>IF($B29=TRUE,P28*(1+VLOOKUP($A29,$C$43:$CP$69,P$2,0)),P28*(1+(VLOOKUP($A29,'MoM Forecasts'!$2:$25,'Unchained Indices'!P$2,0))))</f>
        <v>100.91513125589989</v>
      </c>
      <c r="Q29">
        <f>IF($B29=TRUE,Q28*(1+VLOOKUP($A29,$C$43:$CP$69,Q$2,0)),Q28*(1+(VLOOKUP($A29,'MoM Forecasts'!$2:$25,'Unchained Indices'!Q$2,0))))</f>
        <v>100.92901911501254</v>
      </c>
      <c r="R29">
        <f>IF($B29=TRUE,R28*(1+VLOOKUP($A29,$C$43:$CP$69,R$2,0)),R28*(1+(VLOOKUP($A29,'MoM Forecasts'!$2:$25,'Unchained Indices'!R$2,0))))</f>
        <v>100.63236263033022</v>
      </c>
      <c r="S29">
        <f>IF($B29=TRUE,S28*(1+VLOOKUP($A29,$C$43:$CP$69,S$2,0)),S28*(1+(VLOOKUP($A29,'MoM Forecasts'!$2:$25,'Unchained Indices'!S$2,0))))</f>
        <v>100.84675664034772</v>
      </c>
      <c r="T29">
        <f>IF($B29=TRUE,T28*(1+VLOOKUP($A29,$C$43:$CP$69,T$2,0)),T28*(1+(VLOOKUP($A29,'MoM Forecasts'!$2:$25,'Unchained Indices'!T$2,0))))</f>
        <v>100.93324753156296</v>
      </c>
      <c r="U29">
        <f>IF($B29=TRUE,U28*(1+VLOOKUP($A29,$C$43:$CP$69,U$2,0)),U28*(1+(VLOOKUP($A29,'MoM Forecasts'!$2:$25,'Unchained Indices'!U$2,0))))</f>
        <v>100.75902363888348</v>
      </c>
      <c r="V29">
        <f>IF($B29=TRUE,V28*(1+VLOOKUP($A29,$C$43:$CP$69,V$2,0)),V28*(1+(VLOOKUP($A29,'MoM Forecasts'!$2:$25,'Unchained Indices'!V$2,0))))</f>
        <v>100.56439385734672</v>
      </c>
      <c r="W29">
        <f>IF($B29=TRUE,W28*(1+VLOOKUP($A29,$C$43:$CP$69,W$2,0)),W28*(1+(VLOOKUP($A29,'MoM Forecasts'!$2:$25,'Unchained Indices'!W$2,0))))</f>
        <v>100.72223540467532</v>
      </c>
      <c r="X29">
        <f>IF($B29=TRUE,X28*(1+VLOOKUP($A29,$C$43:$CP$69,X$2,0)),X28*(1+(VLOOKUP($A29,'MoM Forecasts'!$2:$25,'Unchained Indices'!X$2,0))))</f>
        <v>100.74752195656664</v>
      </c>
      <c r="Y29">
        <f>IF($B29=TRUE,Y28*(1+VLOOKUP($A29,$C$43:$CP$69,Y$2,0)),Y28*(1+(VLOOKUP($A29,'MoM Forecasts'!$2:$25,'Unchained Indices'!Y$2,0))))</f>
        <v>100.77312039881187</v>
      </c>
      <c r="Z29">
        <f>IF($B29=TRUE,Z28*(1+VLOOKUP($A29,$C$43:$CP$69,Z$2,0)),Z28*(1+(VLOOKUP($A29,'MoM Forecasts'!$2:$25,'Unchained Indices'!Z$2,0))))</f>
        <v>100.61772041502228</v>
      </c>
      <c r="AA29">
        <f>IF($B29=TRUE,AA28*(1+VLOOKUP($A29,$C$43:$CP$69,AA$2,0)),AA28*(1+(VLOOKUP($A29,'MoM Forecasts'!$2:$25,'Unchained Indices'!AA$2,0))))</f>
        <v>101.10389457328206</v>
      </c>
      <c r="AB29">
        <f>IF($B29=TRUE,AB28*(1+VLOOKUP($A29,$C$43:$CP$69,AB$2,0)),AB28*(1+(VLOOKUP($A29,'MoM Forecasts'!$2:$25,'Unchained Indices'!AB$2,0))))</f>
        <v>100.81727473274582</v>
      </c>
      <c r="AC29">
        <f>IF($B29=TRUE,AC28*(1+VLOOKUP($A29,$C$43:$CP$69,AC$2,0)),AC28*(1+(VLOOKUP($A29,'MoM Forecasts'!$2:$25,'Unchained Indices'!AC$2,0))))</f>
        <v>100.98405718025482</v>
      </c>
      <c r="AD29">
        <f>IF($B29=TRUE,AD28*(1+VLOOKUP($A29,$C$43:$CP$69,AD$2,0)),AD28*(1+(VLOOKUP($A29,'MoM Forecasts'!$2:$25,'Unchained Indices'!AD$2,0))))</f>
        <v>100.70398203289137</v>
      </c>
      <c r="AE29">
        <f>IF($B29=TRUE,AE28*(1+VLOOKUP($A29,$C$43:$CP$69,AE$2,0)),AE28*(1+(VLOOKUP($A29,'MoM Forecasts'!$2:$25,'Unchained Indices'!AE$2,0))))</f>
        <v>101.00796875327501</v>
      </c>
      <c r="AF29">
        <f>IF($B29=TRUE,AF28*(1+VLOOKUP($A29,$C$43:$CP$69,AF$2,0)),AF28*(1+(VLOOKUP($A29,'MoM Forecasts'!$2:$25,'Unchained Indices'!AF$2,0))))</f>
        <v>101.31100825193177</v>
      </c>
      <c r="AG29">
        <f>IF($B29=TRUE,AG28*(1+VLOOKUP($A29,$C$43:$CP$69,AG$2,0)),AG28*(1+(VLOOKUP($A29,'MoM Forecasts'!$2:$25,'Unchained Indices'!AG$2,0))))</f>
        <v>100.88663059810102</v>
      </c>
      <c r="AH29">
        <f>IF($B29=TRUE,AH28*(1+VLOOKUP($A29,$C$43:$CP$69,AH$2,0)),AH28*(1+(VLOOKUP($A29,'MoM Forecasts'!$2:$25,'Unchained Indices'!AH$2,0))))</f>
        <v>100.79668820842117</v>
      </c>
      <c r="AI29">
        <f>IF($B29=TRUE,AI28*(1+VLOOKUP($A29,$C$43:$CP$69,AI$2,0)),AI28*(1+(VLOOKUP($A29,'MoM Forecasts'!$2:$25,'Unchained Indices'!AI$2,0))))</f>
        <v>98.529295131283121</v>
      </c>
      <c r="AJ29">
        <f>IF($B29=TRUE,AJ28*(1+VLOOKUP($A29,$C$43:$CP$69,AJ$2,0)),AJ28*(1+(VLOOKUP($A29,'MoM Forecasts'!$2:$25,'Unchained Indices'!AJ$2,0))))</f>
        <v>100.95153210824589</v>
      </c>
      <c r="AK29">
        <f>IF($B29=TRUE,AK28*(1+VLOOKUP($A29,$C$43:$CP$69,AK$2,0)),AK28*(1+(VLOOKUP($A29,'MoM Forecasts'!$2:$25,'Unchained Indices'!AK$2,0))))</f>
        <v>100.60174013351353</v>
      </c>
      <c r="AL29">
        <f>IF($B29=TRUE,AL28*(1+VLOOKUP($A29,$C$43:$CP$69,AL$2,0)),AL28*(1+(VLOOKUP($A29,'MoM Forecasts'!$2:$25,'Unchained Indices'!AL$2,0))))</f>
        <v>100.95023765526395</v>
      </c>
      <c r="AM29">
        <f>IF($B29=TRUE,AM28*(1+VLOOKUP($A29,$C$43:$CP$69,AM$2,0)),AM28*(1+(VLOOKUP($A29,'MoM Forecasts'!$2:$25,'Unchained Indices'!AM$2,0))))</f>
        <v>101.09089529446544</v>
      </c>
      <c r="AN29">
        <f>IF($B29=TRUE,AN28*(1+VLOOKUP($A29,$C$43:$CP$69,AN$2,0)),AN28*(1+(VLOOKUP($A29,'MoM Forecasts'!$2:$25,'Unchained Indices'!AN$2,0))))</f>
        <v>100.92336491895723</v>
      </c>
      <c r="AO29">
        <f>IF($B29=TRUE,AO28*(1+VLOOKUP($A29,$C$43:$CP$69,AO$2,0)),AO28*(1+(VLOOKUP($A29,'MoM Forecasts'!$2:$25,'Unchained Indices'!AO$2,0))))</f>
        <v>100.95922497535093</v>
      </c>
      <c r="AP29">
        <f>IF($B29=TRUE,AP28*(1+VLOOKUP($A29,$C$43:$CP$69,AP$2,0)),AP28*(1+(VLOOKUP($A29,'MoM Forecasts'!$2:$25,'Unchained Indices'!AP$2,0))))</f>
        <v>101.0127173764035</v>
      </c>
      <c r="AQ29">
        <f>IF($B29=TRUE,AQ28*(1+VLOOKUP($A29,$C$43:$CP$69,AQ$2,0)),AQ28*(1+(VLOOKUP($A29,'MoM Forecasts'!$2:$25,'Unchained Indices'!AQ$2,0))))</f>
        <v>100.42325225294096</v>
      </c>
      <c r="AR29">
        <f>IF($B29=TRUE,AR28*(1+VLOOKUP($A29,$C$43:$CP$69,AR$2,0)),AR28*(1+(VLOOKUP($A29,'MoM Forecasts'!$2:$25,'Unchained Indices'!AR$2,0))))</f>
        <v>100.87307987785937</v>
      </c>
      <c r="AS29">
        <f>IF($B29=TRUE,AS28*(1+VLOOKUP($A29,$C$43:$CP$69,AS$2,0)),AS28*(1+(VLOOKUP($A29,'MoM Forecasts'!$2:$25,'Unchained Indices'!AS$2,0))))</f>
        <v>100.99631859682256</v>
      </c>
      <c r="AT29">
        <f>IF($B29=TRUE,AT28*(1+VLOOKUP($A29,$C$43:$CP$69,AT$2,0)),AT28*(1+(VLOOKUP($A29,'MoM Forecasts'!$2:$25,'Unchained Indices'!AT$2,0))))</f>
        <v>100.68255457002836</v>
      </c>
      <c r="AU29">
        <f>IF($B29=TRUE,AU28*(1+VLOOKUP($A29,$C$43:$CP$69,AU$2,0)),AU28*(1+(VLOOKUP($A29,'MoM Forecasts'!$2:$25,'Unchained Indices'!AU$2,0))))</f>
        <v>101.21028019553056</v>
      </c>
      <c r="AV29">
        <f>IF($B29=TRUE,AV28*(1+VLOOKUP($A29,$C$43:$CP$69,AV$2,0)),AV28*(1+(VLOOKUP($A29,'MoM Forecasts'!$2:$25,'Unchained Indices'!AV$2,0))))</f>
        <v>101.06577222703157</v>
      </c>
      <c r="AW29">
        <f>IF($B29=TRUE,AW28*(1+VLOOKUP($A29,$C$43:$CP$69,AW$2,0)),AW28*(1+(VLOOKUP($A29,'MoM Forecasts'!$2:$25,'Unchained Indices'!AW$2,0))))</f>
        <v>101.00419473050128</v>
      </c>
      <c r="AX29">
        <f>IF($B29=TRUE,AX28*(1+VLOOKUP($A29,$C$43:$CP$69,AX$2,0)),AX28*(1+(VLOOKUP($A29,'MoM Forecasts'!$2:$25,'Unchained Indices'!AX$2,0))))</f>
        <v>106.15038218015674</v>
      </c>
      <c r="AY29">
        <f>IF($B29=TRUE,AY28*(1+VLOOKUP($A29,$C$43:$CP$69,AY$2,0)),AY28*(1+(VLOOKUP($A29,'MoM Forecasts'!$2:$25,'Unchained Indices'!AY$2,0))))</f>
        <v>101.3015284154142</v>
      </c>
      <c r="AZ29">
        <f>IF($B29=TRUE,AZ28*(1+VLOOKUP($A29,$C$43:$CP$69,AZ$2,0)),AZ28*(1+(VLOOKUP($A29,'MoM Forecasts'!$2:$25,'Unchained Indices'!AZ$2,0))))</f>
        <v>101.05493322937764</v>
      </c>
      <c r="BA29">
        <f>IF($B29=TRUE,BA28*(1+VLOOKUP($A29,$C$43:$CP$69,BA$2,0)),BA28*(1+(VLOOKUP($A29,'MoM Forecasts'!$2:$25,'Unchained Indices'!BA$2,0))))</f>
        <v>101.18420411968192</v>
      </c>
      <c r="BB29">
        <f>IF($B29=TRUE,BB28*(1+VLOOKUP($A29,$C$43:$CP$69,BB$2,0)),BB28*(1+(VLOOKUP($A29,'MoM Forecasts'!$2:$25,'Unchained Indices'!BB$2,0))))</f>
        <v>101.19955566761958</v>
      </c>
      <c r="BC29">
        <f>IF($B29=TRUE,BC28*(1+VLOOKUP($A29,$C$43:$CP$69,BC$2,0)),BC28*(1+(VLOOKUP($A29,'MoM Forecasts'!$2:$25,'Unchained Indices'!BC$2,0))))</f>
        <v>100.71489217960914</v>
      </c>
      <c r="BD29">
        <f>IF($B29=TRUE,BD28*(1+VLOOKUP($A29,$C$43:$CP$69,BD$2,0)),BD28*(1+(VLOOKUP($A29,'MoM Forecasts'!$2:$25,'Unchained Indices'!BD$2,0))))</f>
        <v>100.80619450176452</v>
      </c>
      <c r="BE29">
        <f>IF($B29=TRUE,BE28*(1+VLOOKUP($A29,$C$43:$CP$69,BE$2,0)),BE28*(1+(VLOOKUP($A29,'MoM Forecasts'!$2:$25,'Unchained Indices'!BE$2,0))))</f>
        <v>100.99021793886915</v>
      </c>
      <c r="BF29">
        <f>IF($B29=TRUE,BF28*(1+VLOOKUP($A29,$C$43:$CP$69,BF$2,0)),BF28*(1+(VLOOKUP($A29,'MoM Forecasts'!$2:$25,'Unchained Indices'!BF$2,0))))</f>
        <v>100.69681039606888</v>
      </c>
      <c r="BG29">
        <f>IF($B29=TRUE,BG28*(1+VLOOKUP($A29,$C$43:$CP$69,BG$2,0)),BG28*(1+(VLOOKUP($A29,'MoM Forecasts'!$2:$25,'Unchained Indices'!BG$2,0))))</f>
        <v>100.79464625010323</v>
      </c>
      <c r="BH29">
        <f>IF($B29=TRUE,BH28*(1+VLOOKUP($A29,$C$43:$CP$69,BH$2,0)),BH28*(1+(VLOOKUP($A29,'MoM Forecasts'!$2:$25,'Unchained Indices'!BH$2,0))))</f>
        <v>106.39015121396825</v>
      </c>
      <c r="BI29">
        <f>IF($B29=TRUE,BI28*(1+VLOOKUP($A29,$C$43:$CP$69,BI$2,0)),BI28*(1+(VLOOKUP($A29,'MoM Forecasts'!$2:$25,'Unchained Indices'!BI$2,0))))</f>
        <v>100.77152955452925</v>
      </c>
      <c r="BJ29">
        <f>IF($B29=TRUE,BJ28*(1+VLOOKUP($A29,$C$43:$CP$69,BJ$2,0)),BJ28*(1+(VLOOKUP($A29,'MoM Forecasts'!$2:$25,'Unchained Indices'!BJ$2,0))))</f>
        <v>100.77659710382248</v>
      </c>
      <c r="BK29">
        <f>IF($B29=TRUE,BK28*(1+VLOOKUP($A29,$C$43:$CP$69,BK$2,0)),BK28*(1+(VLOOKUP($A29,'MoM Forecasts'!$2:$25,'Unchained Indices'!BK$2,0))))</f>
        <v>99.347280004133509</v>
      </c>
      <c r="BL29">
        <f>IF($B29=TRUE,BL28*(1+VLOOKUP($A29,$C$43:$CP$69,BL$2,0)),BL28*(1+(VLOOKUP($A29,'MoM Forecasts'!$2:$25,'Unchained Indices'!BL$2,0))))</f>
        <v>100.61408650266038</v>
      </c>
      <c r="BM29">
        <f>IF($B29=TRUE,BM28*(1+VLOOKUP($A29,$C$43:$CP$69,BM$2,0)),BM28*(1+(VLOOKUP($A29,'MoM Forecasts'!$2:$25,'Unchained Indices'!BM$2,0))))</f>
        <v>100.64503634963192</v>
      </c>
      <c r="BN29">
        <f>IF($B29=TRUE,BN28*(1+VLOOKUP($A29,$C$43:$CP$69,BN$2,0)),BN28*(1+(VLOOKUP($A29,'MoM Forecasts'!$2:$25,'Unchained Indices'!BN$2,0))))</f>
        <v>100.86991502623906</v>
      </c>
      <c r="BO29">
        <f>IF($B29=TRUE,BO28*(1+VLOOKUP($A29,$C$43:$CP$69,BO$2,0)),BO28*(1+(VLOOKUP($A29,'MoM Forecasts'!$2:$25,'Unchained Indices'!BO$2,0))))</f>
        <v>101.08035825664267</v>
      </c>
      <c r="BP29">
        <f>IF($B29=TRUE,BP28*(1+VLOOKUP($A29,$C$43:$CP$69,BP$2,0)),BP28*(1+(VLOOKUP($A29,'MoM Forecasts'!$2:$25,'Unchained Indices'!BP$2,0))))</f>
        <v>99.977819892728263</v>
      </c>
      <c r="BQ29">
        <f>IF($B29=TRUE,BQ28*(1+VLOOKUP($A29,$C$43:$CP$69,BQ$2,0)),BQ28*(1+(VLOOKUP($A29,'MoM Forecasts'!$2:$25,'Unchained Indices'!BQ$2,0))))</f>
        <v>101.0882817835455</v>
      </c>
      <c r="BR29">
        <f>IF($B29=TRUE,BR28*(1+VLOOKUP($A29,$C$43:$CP$69,BR$2,0)),BR28*(1+(VLOOKUP($A29,'MoM Forecasts'!$2:$25,'Unchained Indices'!BR$2,0))))</f>
        <v>101.12828068756093</v>
      </c>
      <c r="BS29">
        <f>IF($B29=TRUE,BS28*(1+VLOOKUP($A29,$C$43:$CP$69,BS$2,0)),BS28*(1+(VLOOKUP($A29,'MoM Forecasts'!$2:$25,'Unchained Indices'!BS$2,0))))</f>
        <v>100.41712826456977</v>
      </c>
      <c r="BT29">
        <f>IF($B29=TRUE,BT28*(1+VLOOKUP($A29,$C$43:$CP$69,BT$2,0)),BT28*(1+(VLOOKUP($A29,'MoM Forecasts'!$2:$25,'Unchained Indices'!BT$2,0))))</f>
        <v>100.18688433578842</v>
      </c>
      <c r="BU29">
        <f>IF($B29=TRUE,BU28*(1+VLOOKUP($A29,$C$43:$CP$69,BU$2,0)),BU28*(1+(VLOOKUP($A29,'MoM Forecasts'!$2:$25,'Unchained Indices'!BU$2,0))))</f>
        <v>100.37549344809668</v>
      </c>
      <c r="BV29">
        <f>IF($B29=TRUE,BV28*(1+VLOOKUP($A29,$C$43:$CP$69,BV$2,0)),BV28*(1+(VLOOKUP($A29,'MoM Forecasts'!$2:$25,'Unchained Indices'!BV$2,0))))</f>
        <v>100.63168445717061</v>
      </c>
      <c r="BW29">
        <f>IF($B29=TRUE,BW28*(1+VLOOKUP($A29,$C$43:$CP$69,BW$2,0)),BW28*(1+(VLOOKUP($A29,'MoM Forecasts'!$2:$25,'Unchained Indices'!BW$2,0))))</f>
        <v>100.30916863412553</v>
      </c>
      <c r="BX29">
        <f>IF($B29=TRUE,BX28*(1+VLOOKUP($A29,$C$43:$CP$69,BX$2,0)),BX28*(1+(VLOOKUP($A29,'MoM Forecasts'!$2:$25,'Unchained Indices'!BX$2,0))))</f>
        <v>100.72529492208338</v>
      </c>
      <c r="BY29">
        <f>IF($B29=TRUE,BY28*(1+VLOOKUP($A29,$C$43:$CP$69,BY$2,0)),BY28*(1+(VLOOKUP($A29,'MoM Forecasts'!$2:$25,'Unchained Indices'!BY$2,0))))</f>
        <v>100.68452329131065</v>
      </c>
      <c r="BZ29">
        <f>IF($B29=TRUE,BZ28*(1+VLOOKUP($A29,$C$43:$CP$69,BZ$2,0)),BZ28*(1+(VLOOKUP($A29,'MoM Forecasts'!$2:$25,'Unchained Indices'!BZ$2,0))))</f>
        <v>101.13429359671932</v>
      </c>
      <c r="CA29">
        <f>IF($B29=TRUE,CA28*(1+VLOOKUP($A29,$C$43:$CP$69,CA$2,0)),CA28*(1+(VLOOKUP($A29,'MoM Forecasts'!$2:$25,'Unchained Indices'!CA$2,0))))</f>
        <v>99.541724532760426</v>
      </c>
      <c r="CB29">
        <f>IF($B29=TRUE,CB28*(1+VLOOKUP($A29,$C$43:$CP$69,CB$2,0)),CB28*(1+(VLOOKUP($A29,'MoM Forecasts'!$2:$25,'Unchained Indices'!CB$2,0))))</f>
        <v>101.11114750948275</v>
      </c>
      <c r="CC29">
        <f>IF($B29=TRUE,CC28*(1+VLOOKUP($A29,$C$43:$CP$69,CC$2,0)),CC28*(1+(VLOOKUP($A29,'MoM Forecasts'!$2:$25,'Unchained Indices'!CC$2,0))))</f>
        <v>100.86565589591117</v>
      </c>
      <c r="CD29">
        <f>IF($B29=TRUE,CD28*(1+VLOOKUP($A29,$C$43:$CP$69,CD$2,0)),CD28*(1+(VLOOKUP($A29,'MoM Forecasts'!$2:$25,'Unchained Indices'!CD$2,0))))</f>
        <v>101.06352780987744</v>
      </c>
      <c r="CE29">
        <f>IF($B29=TRUE,CE28*(1+VLOOKUP($A29,$C$43:$CP$69,CE$2,0)),CE28*(1+(VLOOKUP($A29,'MoM Forecasts'!$2:$25,'Unchained Indices'!CE$2,0))))</f>
        <v>101.06945953564895</v>
      </c>
      <c r="CF29">
        <f>IF($B29=TRUE,CF28*(1+VLOOKUP($A29,$C$43:$CP$69,CF$2,0)),CF28*(1+(VLOOKUP($A29,'MoM Forecasts'!$2:$25,'Unchained Indices'!CF$2,0))))</f>
        <v>101.04598915500283</v>
      </c>
      <c r="CG29">
        <f>IF($B29=TRUE,CG28*(1+VLOOKUP($A29,$C$43:$CP$69,CG$2,0)),CG28*(1+(VLOOKUP($A29,'MoM Forecasts'!$2:$25,'Unchained Indices'!CG$2,0))))</f>
        <v>100.9404312481073</v>
      </c>
      <c r="CH29">
        <f>IF($B29=TRUE,CH28*(1+VLOOKUP($A29,$C$43:$CP$69,CH$2,0)),CH28*(1+(VLOOKUP($A29,'MoM Forecasts'!$2:$25,'Unchained Indices'!CH$2,0))))</f>
        <v>73.701824503004573</v>
      </c>
      <c r="CI29">
        <f>IF($B29=TRUE,CI28*(1+VLOOKUP($A29,$C$43:$CP$69,CI$2,0)),CI28*(1+(VLOOKUP($A29,'MoM Forecasts'!$2:$25,'Unchained Indices'!CI$2,0))))</f>
        <v>100.10876222843821</v>
      </c>
      <c r="CJ29">
        <f>IF($B29=TRUE,CJ28*(1+VLOOKUP($A29,$C$43:$CP$69,CJ$2,0)),CJ28*(1+(VLOOKUP($A29,'MoM Forecasts'!$2:$25,'Unchained Indices'!CJ$2,0))))</f>
        <v>99.516980712525651</v>
      </c>
      <c r="CK29">
        <f>IF($B29=TRUE,CK28*(1+VLOOKUP($A29,$C$43:$CP$69,CK$2,0)),CK28*(1+(VLOOKUP($A29,'MoM Forecasts'!$2:$25,'Unchained Indices'!CK$2,0))))</f>
        <v>100.96721939319428</v>
      </c>
      <c r="CL29">
        <f>IF($B29=TRUE,CL28*(1+VLOOKUP($A29,$C$43:$CP$69,CL$2,0)),CL28*(1+(VLOOKUP($A29,'MoM Forecasts'!$2:$25,'Unchained Indices'!CL$2,0))))</f>
        <v>100.4773278582568</v>
      </c>
      <c r="CM29">
        <f>IF($B29=TRUE,CM28*(1+VLOOKUP($A29,$C$43:$CP$69,CM$2,0)),CM28*(1+(VLOOKUP($A29,'MoM Forecasts'!$2:$25,'Unchained Indices'!CM$2,0))))</f>
        <v>100.8097397199648</v>
      </c>
      <c r="CN29">
        <f>IF($B29=TRUE,CN28*(1+VLOOKUP($A29,$C$43:$CP$69,CN$2,0)),CN28*(1+(VLOOKUP($A29,'MoM Forecasts'!$2:$25,'Unchained Indices'!CN$2,0))))</f>
        <v>101.18110060624095</v>
      </c>
      <c r="CO29">
        <f>IF($B29=TRUE,CO28*(1+VLOOKUP($A29,$C$43:$CP$69,CO$2,0)),CO28*(1+(VLOOKUP($A29,'MoM Forecasts'!$2:$25,'Unchained Indices'!CO$2,0))))</f>
        <v>101.11755120027803</v>
      </c>
      <c r="CP29">
        <f>IF($B29=TRUE,CP28*(1+VLOOKUP($A29,$C$43:$CP$69,CP$2,0)),CP28*(1+(VLOOKUP($A29,'MoM Forecasts'!$2:$25,'Unchained Indices'!CP$2,0))))</f>
        <v>101.07087116552378</v>
      </c>
    </row>
    <row r="30" spans="1:94" x14ac:dyDescent="0.25">
      <c r="A30" s="6"/>
      <c r="B30" s="8"/>
      <c r="C30" s="7"/>
    </row>
    <row r="31" spans="1:94" x14ac:dyDescent="0.25">
      <c r="A31" s="6">
        <f>EDATE(A28,1)</f>
        <v>45292</v>
      </c>
      <c r="B31" s="8" t="str">
        <f>IF(A31&lt;='MoM Forecasts'!$A$2,TRUE,"")</f>
        <v/>
      </c>
      <c r="C31" s="7">
        <f t="shared" si="5"/>
        <v>45292</v>
      </c>
      <c r="D31">
        <v>100</v>
      </c>
      <c r="E31">
        <v>100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100</v>
      </c>
      <c r="L31">
        <v>100</v>
      </c>
      <c r="M31">
        <v>100</v>
      </c>
      <c r="N31">
        <v>100</v>
      </c>
      <c r="O31">
        <v>100</v>
      </c>
      <c r="P31">
        <v>100</v>
      </c>
      <c r="Q31">
        <v>100</v>
      </c>
      <c r="R31">
        <v>100</v>
      </c>
      <c r="S31">
        <v>100</v>
      </c>
      <c r="T31">
        <v>100</v>
      </c>
      <c r="U31">
        <v>100</v>
      </c>
      <c r="V31">
        <v>100</v>
      </c>
      <c r="W31">
        <v>100</v>
      </c>
      <c r="X31">
        <v>100</v>
      </c>
      <c r="Y31">
        <v>100</v>
      </c>
      <c r="Z31">
        <v>100</v>
      </c>
      <c r="AA31">
        <v>100</v>
      </c>
      <c r="AB31">
        <v>100</v>
      </c>
      <c r="AC31">
        <v>100</v>
      </c>
      <c r="AD31">
        <v>100</v>
      </c>
      <c r="AE31">
        <v>100</v>
      </c>
      <c r="AF31">
        <v>100</v>
      </c>
      <c r="AG31">
        <v>100</v>
      </c>
      <c r="AH31">
        <v>100</v>
      </c>
      <c r="AI31">
        <v>100</v>
      </c>
      <c r="AJ31">
        <v>100</v>
      </c>
      <c r="AK31">
        <v>100</v>
      </c>
      <c r="AL31">
        <v>100</v>
      </c>
      <c r="AM31">
        <v>100</v>
      </c>
      <c r="AN31">
        <v>100</v>
      </c>
      <c r="AO31">
        <v>100</v>
      </c>
      <c r="AP31">
        <v>100</v>
      </c>
      <c r="AQ31">
        <v>100</v>
      </c>
      <c r="AR31">
        <v>100</v>
      </c>
      <c r="AS31">
        <v>100</v>
      </c>
      <c r="AT31">
        <v>100</v>
      </c>
      <c r="AU31">
        <v>100</v>
      </c>
      <c r="AV31">
        <v>100</v>
      </c>
      <c r="AW31">
        <v>100</v>
      </c>
      <c r="AX31">
        <v>100</v>
      </c>
      <c r="AY31">
        <v>100</v>
      </c>
      <c r="AZ31">
        <v>100</v>
      </c>
      <c r="BA31">
        <v>100</v>
      </c>
      <c r="BB31">
        <v>100</v>
      </c>
      <c r="BC31">
        <v>100</v>
      </c>
      <c r="BD31">
        <v>100</v>
      </c>
      <c r="BE31">
        <v>100</v>
      </c>
      <c r="BF31">
        <v>100</v>
      </c>
      <c r="BG31">
        <v>100</v>
      </c>
      <c r="BH31">
        <v>100</v>
      </c>
      <c r="BI31">
        <v>100</v>
      </c>
      <c r="BJ31">
        <v>100</v>
      </c>
      <c r="BK31">
        <v>100</v>
      </c>
      <c r="BL31">
        <v>100</v>
      </c>
      <c r="BM31">
        <v>100</v>
      </c>
      <c r="BN31">
        <v>100</v>
      </c>
      <c r="BO31">
        <v>100</v>
      </c>
      <c r="BP31">
        <v>100</v>
      </c>
      <c r="BQ31">
        <v>100</v>
      </c>
      <c r="BR31">
        <v>100</v>
      </c>
      <c r="BS31">
        <v>100</v>
      </c>
      <c r="BT31">
        <v>100</v>
      </c>
      <c r="BU31">
        <v>100</v>
      </c>
      <c r="BV31">
        <v>100</v>
      </c>
      <c r="BW31">
        <v>100</v>
      </c>
      <c r="BX31">
        <v>100</v>
      </c>
      <c r="BY31">
        <v>100</v>
      </c>
      <c r="BZ31">
        <v>100</v>
      </c>
      <c r="CA31">
        <v>100</v>
      </c>
      <c r="CB31">
        <v>100</v>
      </c>
      <c r="CC31">
        <v>100</v>
      </c>
      <c r="CD31">
        <v>100</v>
      </c>
      <c r="CE31">
        <v>100</v>
      </c>
      <c r="CF31">
        <v>100</v>
      </c>
      <c r="CG31">
        <v>100</v>
      </c>
      <c r="CH31">
        <v>100</v>
      </c>
      <c r="CI31">
        <v>100</v>
      </c>
      <c r="CJ31">
        <v>100</v>
      </c>
      <c r="CK31">
        <v>100</v>
      </c>
      <c r="CL31">
        <v>100</v>
      </c>
      <c r="CM31">
        <v>100</v>
      </c>
      <c r="CN31">
        <v>100</v>
      </c>
      <c r="CO31">
        <v>100</v>
      </c>
      <c r="CP31">
        <v>100</v>
      </c>
    </row>
    <row r="32" spans="1:94" x14ac:dyDescent="0.25">
      <c r="A32" s="6">
        <f t="shared" si="4"/>
        <v>45323</v>
      </c>
      <c r="B32" s="8" t="str">
        <f>IF(A32&lt;='MoM Forecasts'!$A$2,TRUE,"")</f>
        <v/>
      </c>
      <c r="C32" s="7">
        <f>EDATE(A32,-(MONTH(A32)-1))</f>
        <v>45292</v>
      </c>
      <c r="D32">
        <f>IF($B32=TRUE,D31*(1+D121),D31*(1+(VLOOKUP($A32,'MoM Forecasts'!$2:$25,'Unchained Indices'!D$2,0))))</f>
        <v>100.06503387308325</v>
      </c>
      <c r="E32">
        <f>IF($B32=TRUE,E31*(1+E121),E31*(1+(VLOOKUP($A32,'MoM Forecasts'!$2:$25,'Unchained Indices'!E$2,0))))</f>
        <v>100.05809925498109</v>
      </c>
      <c r="F32">
        <f>IF($B32=TRUE,F31*(1+F121),F31*(1+(VLOOKUP($A32,'MoM Forecasts'!$2:$25,'Unchained Indices'!F$2,0))))</f>
        <v>100.0673701300455</v>
      </c>
      <c r="G32">
        <f>IF($B32=TRUE,G31*(1+G121),G31*(1+(VLOOKUP($A32,'MoM Forecasts'!$2:$25,'Unchained Indices'!G$2,0))))</f>
        <v>100.06201910816227</v>
      </c>
      <c r="H32">
        <f>IF($B32=TRUE,H31*(1+H121),H31*(1+(VLOOKUP($A32,'MoM Forecasts'!$2:$25,'Unchained Indices'!H$2,0))))</f>
        <v>100.08123378983259</v>
      </c>
      <c r="I32">
        <f>IF($B32=TRUE,I31*(1+I121),I31*(1+(VLOOKUP($A32,'MoM Forecasts'!$2:$25,'Unchained Indices'!I$2,0))))</f>
        <v>100.08114668177477</v>
      </c>
      <c r="J32">
        <f>IF($B32=TRUE,J31*(1+J121),J31*(1+(VLOOKUP($A32,'MoM Forecasts'!$2:$25,'Unchained Indices'!J$2,0))))</f>
        <v>100.06959016472901</v>
      </c>
      <c r="K32">
        <f>IF($B32=TRUE,K31*(1+K121),K31*(1+(VLOOKUP($A32,'MoM Forecasts'!$2:$25,'Unchained Indices'!K$2,0))))</f>
        <v>100.06229927548075</v>
      </c>
      <c r="L32">
        <f>IF($B32=TRUE,L31*(1+L121),L31*(1+(VLOOKUP($A32,'MoM Forecasts'!$2:$25,'Unchained Indices'!L$2,0))))</f>
        <v>100.02528645431038</v>
      </c>
      <c r="M32">
        <f>IF($B32=TRUE,M31*(1+M121),M31*(1+(VLOOKUP($A32,'MoM Forecasts'!$2:$25,'Unchained Indices'!M$2,0))))</f>
        <v>100.05499533837474</v>
      </c>
      <c r="N32">
        <f>IF($B32=TRUE,N31*(1+N121),N31*(1+(VLOOKUP($A32,'MoM Forecasts'!$2:$25,'Unchained Indices'!N$2,0))))</f>
        <v>100.07737229440441</v>
      </c>
      <c r="O32">
        <f>IF($B32=TRUE,O31*(1+O121),O31*(1+(VLOOKUP($A32,'MoM Forecasts'!$2:$25,'Unchained Indices'!O$2,0))))</f>
        <v>100.07801708340838</v>
      </c>
      <c r="P32">
        <f>IF($B32=TRUE,P31*(1+P121),P31*(1+(VLOOKUP($A32,'MoM Forecasts'!$2:$25,'Unchained Indices'!P$2,0))))</f>
        <v>100.07556937898468</v>
      </c>
      <c r="Q32">
        <f>IF($B32=TRUE,Q31*(1+Q121),Q31*(1+(VLOOKUP($A32,'MoM Forecasts'!$2:$25,'Unchained Indices'!Q$2,0))))</f>
        <v>100.07670564943881</v>
      </c>
      <c r="R32">
        <f>IF($B32=TRUE,R31*(1+R121),R31*(1+(VLOOKUP($A32,'MoM Forecasts'!$2:$25,'Unchained Indices'!R$2,0))))</f>
        <v>100.0523657444618</v>
      </c>
      <c r="S32">
        <f>IF($B32=TRUE,S31*(1+S121),S31*(1+(VLOOKUP($A32,'MoM Forecasts'!$2:$25,'Unchained Indices'!S$2,0))))</f>
        <v>100.06997057289009</v>
      </c>
      <c r="T32">
        <f>IF($B32=TRUE,T31*(1+T121),T31*(1+(VLOOKUP($A32,'MoM Forecasts'!$2:$25,'Unchained Indices'!T$2,0))))</f>
        <v>100.07705154597937</v>
      </c>
      <c r="U32">
        <f>IF($B32=TRUE,U31*(1+U121),U31*(1+(VLOOKUP($A32,'MoM Forecasts'!$2:$25,'Unchained Indices'!U$2,0))))</f>
        <v>100.06277548910522</v>
      </c>
      <c r="V32">
        <f>IF($B32=TRUE,V31*(1+V121),V31*(1+(VLOOKUP($A32,'MoM Forecasts'!$2:$25,'Unchained Indices'!V$2,0))))</f>
        <v>100.04676886086767</v>
      </c>
      <c r="W32">
        <f>IF($B32=TRUE,W31*(1+W121),W31*(1+(VLOOKUP($A32,'MoM Forecasts'!$2:$25,'Unchained Indices'!W$2,0))))</f>
        <v>100.0597547140223</v>
      </c>
      <c r="X32">
        <f>IF($B32=TRUE,X31*(1+X121),X31*(1+(VLOOKUP($A32,'MoM Forecasts'!$2:$25,'Unchained Indices'!X$2,0))))</f>
        <v>100.06183129388275</v>
      </c>
      <c r="Y32">
        <f>IF($B32=TRUE,Y31*(1+Y121),Y31*(1+(VLOOKUP($A32,'MoM Forecasts'!$2:$25,'Unchained Indices'!Y$2,0))))</f>
        <v>100.06393242527969</v>
      </c>
      <c r="Z32">
        <f>IF($B32=TRUE,Z31*(1+Z121),Z31*(1+(VLOOKUP($A32,'MoM Forecasts'!$2:$25,'Unchained Indices'!Z$2,0))))</f>
        <v>100.05116067134053</v>
      </c>
      <c r="AA32">
        <f>IF($B32=TRUE,AA31*(1+AA121),AA31*(1+(VLOOKUP($A32,'MoM Forecasts'!$2:$25,'Unchained Indices'!AA$2,0))))</f>
        <v>100.09098681591686</v>
      </c>
      <c r="AB32">
        <f>IF($B32=TRUE,AB31*(1+AB121),AB31*(1+(VLOOKUP($A32,'MoM Forecasts'!$2:$25,'Unchained Indices'!AB$2,0))))</f>
        <v>100.0675541249348</v>
      </c>
      <c r="AC32">
        <f>IF($B32=TRUE,AC31*(1+AC121),AC31*(1+(VLOOKUP($A32,'MoM Forecasts'!$2:$25,'Unchained Indices'!AC$2,0))))</f>
        <v>100.18276196838367</v>
      </c>
      <c r="AD32">
        <f>IF($B32=TRUE,AD31*(1+AD121),AD31*(1+(VLOOKUP($A32,'MoM Forecasts'!$2:$25,'Unchained Indices'!AD$2,0))))</f>
        <v>100.05825506422224</v>
      </c>
      <c r="AE32">
        <f>IF($B32=TRUE,AE31*(1+AE121),AE31*(1+(VLOOKUP($A32,'MoM Forecasts'!$2:$25,'Unchained Indices'!AE$2,0))))</f>
        <v>99.499851963976383</v>
      </c>
      <c r="AF32">
        <f>IF($B32=TRUE,AF31*(1+AF121),AF31*(1+(VLOOKUP($A32,'MoM Forecasts'!$2:$25,'Unchained Indices'!AF$2,0))))</f>
        <v>99.543235574265722</v>
      </c>
      <c r="AG32">
        <f>IF($B32=TRUE,AG31*(1+AG121),AG31*(1+(VLOOKUP($A32,'MoM Forecasts'!$2:$25,'Unchained Indices'!AG$2,0))))</f>
        <v>100.07323654555323</v>
      </c>
      <c r="AH32">
        <f>IF($B32=TRUE,AH31*(1+AH121),AH31*(1+(VLOOKUP($A32,'MoM Forecasts'!$2:$25,'Unchained Indices'!AH$2,0))))</f>
        <v>100.0658659378747</v>
      </c>
      <c r="AI32">
        <f>IF($B32=TRUE,AI31*(1+AI121),AI31*(1+(VLOOKUP($A32,'MoM Forecasts'!$2:$25,'Unchained Indices'!AI$2,0))))</f>
        <v>97.462749167804148</v>
      </c>
      <c r="AJ32">
        <f>IF($B32=TRUE,AJ31*(1+AJ121),AJ31*(1+(VLOOKUP($A32,'MoM Forecasts'!$2:$25,'Unchained Indices'!AJ$2,0))))</f>
        <v>100.0785469429714</v>
      </c>
      <c r="AK32">
        <f>IF($B32=TRUE,AK31*(1+AK121),AK31*(1+(VLOOKUP($A32,'MoM Forecasts'!$2:$25,'Unchained Indices'!AK$2,0))))</f>
        <v>100.0498450733154</v>
      </c>
      <c r="AL32">
        <f>IF($B32=TRUE,AL31*(1+AL121),AL31*(1+(VLOOKUP($A32,'MoM Forecasts'!$2:$25,'Unchained Indices'!AL$2,0))))</f>
        <v>100.07844109445527</v>
      </c>
      <c r="AM32">
        <f>IF($B32=TRUE,AM31*(1+AM121),AM31*(1+(VLOOKUP($A32,'MoM Forecasts'!$2:$25,'Unchained Indices'!AM$2,0))))</f>
        <v>100.08992693253003</v>
      </c>
      <c r="AN32">
        <f>IF($B32=TRUE,AN31*(1+AN121),AN31*(1+(VLOOKUP($A32,'MoM Forecasts'!$2:$25,'Unchained Indices'!AN$2,0))))</f>
        <v>100.07624307477417</v>
      </c>
      <c r="AO32">
        <f>IF($B32=TRUE,AO31*(1+AO121),AO31*(1+(VLOOKUP($A32,'MoM Forecasts'!$2:$25,'Unchained Indices'!AO$2,0))))</f>
        <v>100.07917593922902</v>
      </c>
      <c r="AP32">
        <f>IF($B32=TRUE,AP31*(1+AP121),AP31*(1+(VLOOKUP($A32,'MoM Forecasts'!$2:$25,'Unchained Indices'!AP$2,0))))</f>
        <v>100.08354701951619</v>
      </c>
      <c r="AQ32">
        <f>IF($B32=TRUE,AQ31*(1+AQ121),AQ31*(1+(VLOOKUP($A32,'MoM Forecasts'!$2:$25,'Unchained Indices'!AQ$2,0))))</f>
        <v>100.03512236487776</v>
      </c>
      <c r="AR32">
        <f>IF($B32=TRUE,AR31*(1+AR121),AR31*(1+(VLOOKUP($A32,'MoM Forecasts'!$2:$25,'Unchained Indices'!AR$2,0))))</f>
        <v>100.07212693076922</v>
      </c>
      <c r="AS32">
        <f>IF($B32=TRUE,AS31*(1+AS121),AS31*(1+(VLOOKUP($A32,'MoM Forecasts'!$2:$25,'Unchained Indices'!AS$2,0))))</f>
        <v>100.08220750111363</v>
      </c>
      <c r="AT32">
        <f>IF($B32=TRUE,AT31*(1+AT121),AT31*(1+(VLOOKUP($A32,'MoM Forecasts'!$2:$25,'Unchained Indices'!AT$2,0))))</f>
        <v>100.05649394549559</v>
      </c>
      <c r="AU32">
        <f>IF($B32=TRUE,AU31*(1+AU121),AU31*(1+(VLOOKUP($A32,'MoM Forecasts'!$2:$25,'Unchained Indices'!AU$2,0))))</f>
        <v>100.09965063110786</v>
      </c>
      <c r="AV32">
        <f>IF($B32=TRUE,AV31*(1+AV121),AV31*(1+(VLOOKUP($A32,'MoM Forecasts'!$2:$25,'Unchained Indices'!AV$2,0))))</f>
        <v>100.08787777532943</v>
      </c>
      <c r="AW32">
        <f>IF($B32=TRUE,AW31*(1+AW121),AW31*(1+(VLOOKUP($A32,'MoM Forecasts'!$2:$25,'Unchained Indices'!AW$2,0))))</f>
        <v>100.08285090973868</v>
      </c>
      <c r="AX32">
        <f>IF($B32=TRUE,AX31*(1+AX121),AX31*(1+(VLOOKUP($A32,'MoM Forecasts'!$2:$25,'Unchained Indices'!AX$2,0))))</f>
        <v>100.39758242891652</v>
      </c>
      <c r="AY32">
        <f>IF($B32=TRUE,AY31*(1+AY121),AY31*(1+(VLOOKUP($A32,'MoM Forecasts'!$2:$25,'Unchained Indices'!AY$2,0))))</f>
        <v>100.1070671913653</v>
      </c>
      <c r="AZ32">
        <f>IF($B32=TRUE,AZ31*(1+AZ121),AZ31*(1+(VLOOKUP($A32,'MoM Forecasts'!$2:$25,'Unchained Indices'!AZ$2,0))))</f>
        <v>100.08699338037124</v>
      </c>
      <c r="BA32">
        <f>IF($B32=TRUE,BA31*(1+BA121),BA31*(1+(VLOOKUP($A32,'MoM Forecasts'!$2:$25,'Unchained Indices'!BA$2,0))))</f>
        <v>100.09752873731499</v>
      </c>
      <c r="BB32">
        <f>IF($B32=TRUE,BB31*(1+BB121),BB31*(1+(VLOOKUP($A32,'MoM Forecasts'!$2:$25,'Unchained Indices'!BB$2,0))))</f>
        <v>100.09877807431285</v>
      </c>
      <c r="BC32">
        <f>IF($B32=TRUE,BC31*(1+BC121),BC31*(1+(VLOOKUP($A32,'MoM Forecasts'!$2:$25,'Unchained Indices'!BC$2,0))))</f>
        <v>100.05915147900323</v>
      </c>
      <c r="BD32">
        <f>IF($B32=TRUE,BD31*(1+BD121),BD31*(1+(VLOOKUP($A32,'MoM Forecasts'!$2:$25,'Unchained Indices'!BD$2,0))))</f>
        <v>100.06664558212826</v>
      </c>
      <c r="BE32">
        <f>IF($B32=TRUE,BE31*(1+BE121),BE31*(1+(VLOOKUP($A32,'MoM Forecasts'!$2:$25,'Unchained Indices'!BE$2,0))))</f>
        <v>100.08170906376535</v>
      </c>
      <c r="BF32">
        <f>IF($B32=TRUE,BF31*(1+BF121),BF31*(1+(VLOOKUP($A32,'MoM Forecasts'!$2:$25,'Unchained Indices'!BF$2,0))))</f>
        <v>100.05766571232726</v>
      </c>
      <c r="BG32">
        <f>IF($B32=TRUE,BG31*(1+BG121),BG31*(1+(VLOOKUP($A32,'MoM Forecasts'!$2:$25,'Unchained Indices'!BG$2,0))))</f>
        <v>100.06569845056812</v>
      </c>
      <c r="BH32">
        <f>IF($B32=TRUE,BH31*(1+BH121),BH31*(1+(VLOOKUP($A32,'MoM Forecasts'!$2:$25,'Unchained Indices'!BH$2,0))))</f>
        <v>99.079638596643477</v>
      </c>
      <c r="BI32">
        <f>IF($B32=TRUE,BI31*(1+BI121),BI31*(1+(VLOOKUP($A32,'MoM Forecasts'!$2:$25,'Unchained Indices'!BI$2,0))))</f>
        <v>100.06380187918981</v>
      </c>
      <c r="BJ32">
        <f>IF($B32=TRUE,BJ31*(1+BJ121),BJ31*(1+(VLOOKUP($A32,'MoM Forecasts'!$2:$25,'Unchained Indices'!BJ$2,0))))</f>
        <v>100.06421771242373</v>
      </c>
      <c r="BK32">
        <f>IF($B32=TRUE,BK31*(1+BK121),BK31*(1+(VLOOKUP($A32,'MoM Forecasts'!$2:$25,'Unchained Indices'!BK$2,0))))</f>
        <v>99.945249298232824</v>
      </c>
      <c r="BL32">
        <f>IF($B32=TRUE,BL31*(1+BL121),BL31*(1+(VLOOKUP($A32,'MoM Forecasts'!$2:$25,'Unchained Indices'!BL$2,0))))</f>
        <v>100.05086154136116</v>
      </c>
      <c r="BM32">
        <f>IF($B32=TRUE,BM31*(1+BM121),BM31*(1+(VLOOKUP($A32,'MoM Forecasts'!$2:$25,'Unchained Indices'!BM$2,0))))</f>
        <v>100.05340852473763</v>
      </c>
      <c r="BN32">
        <f>IF($B32=TRUE,BN31*(1+BN121),BN31*(1+(VLOOKUP($A32,'MoM Forecasts'!$2:$25,'Unchained Indices'!BN$2,0))))</f>
        <v>100.07186773066519</v>
      </c>
      <c r="BO32">
        <f>IF($B32=TRUE,BO31*(1+BO121),BO31*(1+(VLOOKUP($A32,'MoM Forecasts'!$2:$25,'Unchained Indices'!BO$2,0))))</f>
        <v>100.08906760549033</v>
      </c>
      <c r="BP32">
        <f>IF($B32=TRUE,BP31*(1+BP121),BP31*(1+(VLOOKUP($A32,'MoM Forecasts'!$2:$25,'Unchained Indices'!BP$2,0))))</f>
        <v>99.998151247672112</v>
      </c>
      <c r="BQ32">
        <f>IF($B32=TRUE,BQ31*(1+BQ121),BQ31*(1+(VLOOKUP($A32,'MoM Forecasts'!$2:$25,'Unchained Indices'!BQ$2,0))))</f>
        <v>100.08971380958178</v>
      </c>
      <c r="BR32">
        <f>IF($B32=TRUE,BR31*(1+BR121),BR31*(1+(VLOOKUP($A32,'MoM Forecasts'!$2:$25,'Unchained Indices'!BR$2,0))))</f>
        <v>100.09297437867116</v>
      </c>
      <c r="BS32">
        <f>IF($B32=TRUE,BS31*(1+BS121),BS31*(1+(VLOOKUP($A32,'MoM Forecasts'!$2:$25,'Unchained Indices'!BS$2,0))))</f>
        <v>100.03461629436619</v>
      </c>
      <c r="BT32">
        <f>IF($B32=TRUE,BT31*(1+BT121),BT31*(1+(VLOOKUP($A32,'MoM Forecasts'!$2:$25,'Unchained Indices'!BT$2,0))))</f>
        <v>100.01554464414406</v>
      </c>
      <c r="BU32">
        <f>IF($B32=TRUE,BU31*(1+BU121),BU31*(1+(VLOOKUP($A32,'MoM Forecasts'!$2:$25,'Unchained Indices'!BU$2,0))))</f>
        <v>100.03117406410651</v>
      </c>
      <c r="BV32">
        <f>IF($B32=TRUE,BV31*(1+BV121),BV31*(1+(VLOOKUP($A32,'MoM Forecasts'!$2:$25,'Unchained Indices'!BV$2,0))))</f>
        <v>100.05230993768497</v>
      </c>
      <c r="BW32">
        <f>IF($B32=TRUE,BW31*(1+BW121),BW31*(1+(VLOOKUP($A32,'MoM Forecasts'!$2:$25,'Unchained Indices'!BW$2,0))))</f>
        <v>100.02568464398081</v>
      </c>
      <c r="BX32">
        <f>IF($B32=TRUE,BX31*(1+BX121),BX31*(1+(VLOOKUP($A32,'MoM Forecasts'!$2:$25,'Unchained Indices'!BX$2,0))))</f>
        <v>100.06000602287013</v>
      </c>
      <c r="BY32">
        <f>IF($B32=TRUE,BY31*(1+BY121),BY31*(1+(VLOOKUP($A32,'MoM Forecasts'!$2:$25,'Unchained Indices'!BY$2,0))))</f>
        <v>100.05665578556118</v>
      </c>
      <c r="BZ32">
        <f>IF($B32=TRUE,BZ31*(1+BZ121),BZ31*(1+(VLOOKUP($A32,'MoM Forecasts'!$2:$25,'Unchained Indices'!BZ$2,0))))</f>
        <v>100.09346430674664</v>
      </c>
      <c r="CA32">
        <f>IF($B32=TRUE,CA31*(1+CA121),CA31*(1+(VLOOKUP($A32,'MoM Forecasts'!$2:$25,'Unchained Indices'!CA$2,0))))</f>
        <v>99.961634558322928</v>
      </c>
      <c r="CB32">
        <f>IF($B32=TRUE,CB31*(1+CB121),CB31*(1+(VLOOKUP($A32,'MoM Forecasts'!$2:$25,'Unchained Indices'!CB$2,0))))</f>
        <v>100.09157805847425</v>
      </c>
      <c r="CC32">
        <f>IF($B32=TRUE,CC31*(1+CC121),CC31*(1+(VLOOKUP($A32,'MoM Forecasts'!$2:$25,'Unchained Indices'!CC$2,0))))</f>
        <v>100.07151888389083</v>
      </c>
      <c r="CD32">
        <f>IF($B32=TRUE,CD31*(1+CD121),CD31*(1+(VLOOKUP($A32,'MoM Forecasts'!$2:$25,'Unchained Indices'!CD$2,0))))</f>
        <v>100.08769466038878</v>
      </c>
      <c r="CE32">
        <f>IF($B32=TRUE,CE31*(1+CE121),CE31*(1+(VLOOKUP($A32,'MoM Forecasts'!$2:$25,'Unchained Indices'!CE$2,0))))</f>
        <v>100.08817859359316</v>
      </c>
      <c r="CF32">
        <f>IF($B32=TRUE,CF31*(1+CF121),CF31*(1+(VLOOKUP($A32,'MoM Forecasts'!$2:$25,'Unchained Indices'!CF$2,0))))</f>
        <v>100.08626345651702</v>
      </c>
      <c r="CG32">
        <f>IF($B32=TRUE,CG31*(1+CG121),CG31*(1+(VLOOKUP($A32,'MoM Forecasts'!$2:$25,'Unchained Indices'!CG$2,0))))</f>
        <v>100.57209502823837</v>
      </c>
      <c r="CH32">
        <f>IF($B32=TRUE,CH31*(1+CH121),CH31*(1+(VLOOKUP($A32,'MoM Forecasts'!$2:$25,'Unchained Indices'!CH$2,0))))</f>
        <v>97.026512383475293</v>
      </c>
      <c r="CI32">
        <f>IF($B32=TRUE,CI31*(1+CI121),CI31*(1+(VLOOKUP($A32,'MoM Forecasts'!$2:$25,'Unchained Indices'!CI$2,0))))</f>
        <v>101.89622437174606</v>
      </c>
      <c r="CJ32">
        <f>IF($B32=TRUE,CJ31*(1+CJ121),CJ31*(1+(VLOOKUP($A32,'MoM Forecasts'!$2:$25,'Unchained Indices'!CJ$2,0))))</f>
        <v>99.959553026024977</v>
      </c>
      <c r="CK32">
        <f>IF($B32=TRUE,CK31*(1+CK121),CK31*(1+(VLOOKUP($A32,'MoM Forecasts'!$2:$25,'Unchained Indices'!CK$2,0))))</f>
        <v>100.07982948979277</v>
      </c>
      <c r="CL32">
        <f>IF($B32=TRUE,CL31*(1+CL121),CL31*(1+(VLOOKUP($A32,'MoM Forecasts'!$2:$25,'Unchained Indices'!CL$2,0))))</f>
        <v>100.03958835527304</v>
      </c>
      <c r="CM32">
        <f>IF($B32=TRUE,CM31*(1+CM121),CM31*(1+(VLOOKUP($A32,'MoM Forecasts'!$2:$25,'Unchained Indices'!CM$2,0))))</f>
        <v>100.06693630018739</v>
      </c>
      <c r="CN32">
        <f>IF($B32=TRUE,CN31*(1+CN121),CN31*(1+(VLOOKUP($A32,'MoM Forecasts'!$2:$25,'Unchained Indices'!CN$2,0))))</f>
        <v>100.09727612165746</v>
      </c>
      <c r="CO32">
        <f>IF($B32=TRUE,CO31*(1+CO121),CO31*(1+(VLOOKUP($A32,'MoM Forecasts'!$2:$25,'Unchained Indices'!CO$2,0))))</f>
        <v>100.09210000201188</v>
      </c>
      <c r="CP32">
        <f>IF($B32=TRUE,CP31*(1+CP121),CP31*(1+(VLOOKUP($A32,'MoM Forecasts'!$2:$25,'Unchained Indices'!CP$2,0))))</f>
        <v>100.08829375146824</v>
      </c>
    </row>
    <row r="33" spans="1:94" x14ac:dyDescent="0.25">
      <c r="A33" s="6">
        <f t="shared" si="4"/>
        <v>45352</v>
      </c>
      <c r="B33" s="8" t="str">
        <f>IF(A33&lt;='MoM Forecasts'!$A$2,TRUE,"")</f>
        <v/>
      </c>
      <c r="C33" s="7">
        <f t="shared" si="5"/>
        <v>45292</v>
      </c>
      <c r="D33">
        <f>IF($B33=TRUE,D32*(1+D122),D32*(1+(VLOOKUP($A33,'MoM Forecasts'!$2:$25,'Unchained Indices'!D$2,0))))</f>
        <v>100.13006774616649</v>
      </c>
      <c r="E33">
        <f>IF($B33=TRUE,E32*(1+E122),E32*(1+(VLOOKUP($A33,'MoM Forecasts'!$2:$25,'Unchained Indices'!E$2,0))))</f>
        <v>100.11619850996217</v>
      </c>
      <c r="F33">
        <f>IF($B33=TRUE,F32*(1+F122),F32*(1+(VLOOKUP($A33,'MoM Forecasts'!$2:$25,'Unchained Indices'!F$2,0))))</f>
        <v>100.13474026009099</v>
      </c>
      <c r="G33">
        <f>IF($B33=TRUE,G32*(1+G122),G32*(1+(VLOOKUP($A33,'MoM Forecasts'!$2:$25,'Unchained Indices'!G$2,0))))</f>
        <v>100.12403821632458</v>
      </c>
      <c r="H33">
        <f>IF($B33=TRUE,H32*(1+H122),H32*(1+(VLOOKUP($A33,'MoM Forecasts'!$2:$25,'Unchained Indices'!H$2,0))))</f>
        <v>100.1624675796652</v>
      </c>
      <c r="I33">
        <f>IF($B33=TRUE,I32*(1+I122),I32*(1+(VLOOKUP($A33,'MoM Forecasts'!$2:$25,'Unchained Indices'!I$2,0))))</f>
        <v>100.16229336354954</v>
      </c>
      <c r="J33">
        <f>IF($B33=TRUE,J32*(1+J122),J32*(1+(VLOOKUP($A33,'MoM Forecasts'!$2:$25,'Unchained Indices'!J$2,0))))</f>
        <v>100.13918032945801</v>
      </c>
      <c r="K33">
        <f>IF($B33=TRUE,K32*(1+K122),K32*(1+(VLOOKUP($A33,'MoM Forecasts'!$2:$25,'Unchained Indices'!K$2,0))))</f>
        <v>100.12459855096151</v>
      </c>
      <c r="L33">
        <f>IF($B33=TRUE,L32*(1+L122),L32*(1+(VLOOKUP($A33,'MoM Forecasts'!$2:$25,'Unchained Indices'!L$2,0))))</f>
        <v>100.05057290862077</v>
      </c>
      <c r="M33">
        <f>IF($B33=TRUE,M32*(1+M122),M32*(1+(VLOOKUP($A33,'MoM Forecasts'!$2:$25,'Unchained Indices'!M$2,0))))</f>
        <v>100.10999067674946</v>
      </c>
      <c r="N33">
        <f>IF($B33=TRUE,N32*(1+N122),N32*(1+(VLOOKUP($A33,'MoM Forecasts'!$2:$25,'Unchained Indices'!N$2,0))))</f>
        <v>100.15474458880882</v>
      </c>
      <c r="O33">
        <f>IF($B33=TRUE,O32*(1+O122),O32*(1+(VLOOKUP($A33,'MoM Forecasts'!$2:$25,'Unchained Indices'!O$2,0))))</f>
        <v>100.15603416681675</v>
      </c>
      <c r="P33">
        <f>IF($B33=TRUE,P32*(1+P122),P32*(1+(VLOOKUP($A33,'MoM Forecasts'!$2:$25,'Unchained Indices'!P$2,0))))</f>
        <v>100.15113875796938</v>
      </c>
      <c r="Q33">
        <f>IF($B33=TRUE,Q32*(1+Q122),Q32*(1+(VLOOKUP($A33,'MoM Forecasts'!$2:$25,'Unchained Indices'!Q$2,0))))</f>
        <v>100.1534112988776</v>
      </c>
      <c r="R33">
        <f>IF($B33=TRUE,R32*(1+R122),R32*(1+(VLOOKUP($A33,'MoM Forecasts'!$2:$25,'Unchained Indices'!R$2,0))))</f>
        <v>100.10473148892358</v>
      </c>
      <c r="S33">
        <f>IF($B33=TRUE,S32*(1+S122),S32*(1+(VLOOKUP($A33,'MoM Forecasts'!$2:$25,'Unchained Indices'!S$2,0))))</f>
        <v>100.13994114578017</v>
      </c>
      <c r="T33">
        <f>IF($B33=TRUE,T32*(1+T122),T32*(1+(VLOOKUP($A33,'MoM Forecasts'!$2:$25,'Unchained Indices'!T$2,0))))</f>
        <v>100.15410309195873</v>
      </c>
      <c r="U33">
        <f>IF($B33=TRUE,U32*(1+U122),U32*(1+(VLOOKUP($A33,'MoM Forecasts'!$2:$25,'Unchained Indices'!U$2,0))))</f>
        <v>100.12555097821044</v>
      </c>
      <c r="V33">
        <f>IF($B33=TRUE,V32*(1+V122),V32*(1+(VLOOKUP($A33,'MoM Forecasts'!$2:$25,'Unchained Indices'!V$2,0))))</f>
        <v>100.09353772173534</v>
      </c>
      <c r="W33">
        <f>IF($B33=TRUE,W32*(1+W122),W32*(1+(VLOOKUP($A33,'MoM Forecasts'!$2:$25,'Unchained Indices'!W$2,0))))</f>
        <v>100.11950942804464</v>
      </c>
      <c r="X33">
        <f>IF($B33=TRUE,X32*(1+X122),X32*(1+(VLOOKUP($A33,'MoM Forecasts'!$2:$25,'Unchained Indices'!X$2,0))))</f>
        <v>100.12366258776551</v>
      </c>
      <c r="Y33">
        <f>IF($B33=TRUE,Y32*(1+Y122),Y32*(1+(VLOOKUP($A33,'MoM Forecasts'!$2:$25,'Unchained Indices'!Y$2,0))))</f>
        <v>100.12786485055939</v>
      </c>
      <c r="Z33">
        <f>IF($B33=TRUE,Z32*(1+Z122),Z32*(1+(VLOOKUP($A33,'MoM Forecasts'!$2:$25,'Unchained Indices'!Z$2,0))))</f>
        <v>100.10232134268104</v>
      </c>
      <c r="AA33">
        <f>IF($B33=TRUE,AA32*(1+AA122),AA32*(1+(VLOOKUP($A33,'MoM Forecasts'!$2:$25,'Unchained Indices'!AA$2,0))))</f>
        <v>100.18197363183373</v>
      </c>
      <c r="AB33">
        <f>IF($B33=TRUE,AB32*(1+AB122),AB32*(1+(VLOOKUP($A33,'MoM Forecasts'!$2:$25,'Unchained Indices'!AB$2,0))))</f>
        <v>100.13510824986959</v>
      </c>
      <c r="AC33">
        <f>IF($B33=TRUE,AC32*(1+AC122),AC32*(1+(VLOOKUP($A33,'MoM Forecasts'!$2:$25,'Unchained Indices'!AC$2,0))))</f>
        <v>99.708539028895174</v>
      </c>
      <c r="AD33">
        <f>IF($B33=TRUE,AD32*(1+AD122),AD32*(1+(VLOOKUP($A33,'MoM Forecasts'!$2:$25,'Unchained Indices'!AD$2,0))))</f>
        <v>100.11651012844447</v>
      </c>
      <c r="AE33">
        <f>IF($B33=TRUE,AE32*(1+AE122),AE32*(1+(VLOOKUP($A33,'MoM Forecasts'!$2:$25,'Unchained Indices'!AE$2,0))))</f>
        <v>99.687678640366329</v>
      </c>
      <c r="AF33">
        <f>IF($B33=TRUE,AF32*(1+AF122),AF32*(1+(VLOOKUP($A33,'MoM Forecasts'!$2:$25,'Unchained Indices'!AF$2,0))))</f>
        <v>98.689938446206114</v>
      </c>
      <c r="AG33">
        <f>IF($B33=TRUE,AG32*(1+AG122),AG32*(1+(VLOOKUP($A33,'MoM Forecasts'!$2:$25,'Unchained Indices'!AG$2,0))))</f>
        <v>100.14647309110644</v>
      </c>
      <c r="AH33">
        <f>IF($B33=TRUE,AH32*(1+AH122),AH32*(1+(VLOOKUP($A33,'MoM Forecasts'!$2:$25,'Unchained Indices'!AH$2,0))))</f>
        <v>100.13173187574938</v>
      </c>
      <c r="AI33">
        <f>IF($B33=TRUE,AI32*(1+AI122),AI32*(1+(VLOOKUP($A33,'MoM Forecasts'!$2:$25,'Unchained Indices'!AI$2,0))))</f>
        <v>95.123762184810147</v>
      </c>
      <c r="AJ33">
        <f>IF($B33=TRUE,AJ32*(1+AJ122),AJ32*(1+(VLOOKUP($A33,'MoM Forecasts'!$2:$25,'Unchained Indices'!AJ$2,0))))</f>
        <v>100.1570938859428</v>
      </c>
      <c r="AK33">
        <f>IF($B33=TRUE,AK32*(1+AK122),AK32*(1+(VLOOKUP($A33,'MoM Forecasts'!$2:$25,'Unchained Indices'!AK$2,0))))</f>
        <v>100.09969014663081</v>
      </c>
      <c r="AL33">
        <f>IF($B33=TRUE,AL32*(1+AL122),AL32*(1+(VLOOKUP($A33,'MoM Forecasts'!$2:$25,'Unchained Indices'!AL$2,0))))</f>
        <v>100.15688218891056</v>
      </c>
      <c r="AM33">
        <f>IF($B33=TRUE,AM32*(1+AM122),AM32*(1+(VLOOKUP($A33,'MoM Forecasts'!$2:$25,'Unchained Indices'!AM$2,0))))</f>
        <v>100.17985386506005</v>
      </c>
      <c r="AN33">
        <f>IF($B33=TRUE,AN32*(1+AN122),AN32*(1+(VLOOKUP($A33,'MoM Forecasts'!$2:$25,'Unchained Indices'!AN$2,0))))</f>
        <v>100.15248614954834</v>
      </c>
      <c r="AO33">
        <f>IF($B33=TRUE,AO32*(1+AO122),AO32*(1+(VLOOKUP($A33,'MoM Forecasts'!$2:$25,'Unchained Indices'!AO$2,0))))</f>
        <v>100.15835187845805</v>
      </c>
      <c r="AP33">
        <f>IF($B33=TRUE,AP32*(1+AP122),AP32*(1+(VLOOKUP($A33,'MoM Forecasts'!$2:$25,'Unchained Indices'!AP$2,0))))</f>
        <v>100.16709403903238</v>
      </c>
      <c r="AQ33">
        <f>IF($B33=TRUE,AQ32*(1+AQ122),AQ32*(1+(VLOOKUP($A33,'MoM Forecasts'!$2:$25,'Unchained Indices'!AQ$2,0))))</f>
        <v>100.07024472975556</v>
      </c>
      <c r="AR33">
        <f>IF($B33=TRUE,AR32*(1+AR122),AR32*(1+(VLOOKUP($A33,'MoM Forecasts'!$2:$25,'Unchained Indices'!AR$2,0))))</f>
        <v>100.14425386153844</v>
      </c>
      <c r="AS33">
        <f>IF($B33=TRUE,AS32*(1+AS122),AS32*(1+(VLOOKUP($A33,'MoM Forecasts'!$2:$25,'Unchained Indices'!AS$2,0))))</f>
        <v>100.16441500222726</v>
      </c>
      <c r="AT33">
        <f>IF($B33=TRUE,AT32*(1+AT122),AT32*(1+(VLOOKUP($A33,'MoM Forecasts'!$2:$25,'Unchained Indices'!AT$2,0))))</f>
        <v>100.11298789099118</v>
      </c>
      <c r="AU33">
        <f>IF($B33=TRUE,AU32*(1+AU122),AU32*(1+(VLOOKUP($A33,'MoM Forecasts'!$2:$25,'Unchained Indices'!AU$2,0))))</f>
        <v>100.19930126221573</v>
      </c>
      <c r="AV33">
        <f>IF($B33=TRUE,AV32*(1+AV122),AV32*(1+(VLOOKUP($A33,'MoM Forecasts'!$2:$25,'Unchained Indices'!AV$2,0))))</f>
        <v>100.17575555065889</v>
      </c>
      <c r="AW33">
        <f>IF($B33=TRUE,AW32*(1+AW122),AW32*(1+(VLOOKUP($A33,'MoM Forecasts'!$2:$25,'Unchained Indices'!AW$2,0))))</f>
        <v>100.16570181947735</v>
      </c>
      <c r="AX33">
        <f>IF($B33=TRUE,AX32*(1+AX122),AX32*(1+(VLOOKUP($A33,'MoM Forecasts'!$2:$25,'Unchained Indices'!AX$2,0))))</f>
        <v>101.19364477201783</v>
      </c>
      <c r="AY33">
        <f>IF($B33=TRUE,AY32*(1+AY122),AY32*(1+(VLOOKUP($A33,'MoM Forecasts'!$2:$25,'Unchained Indices'!AY$2,0))))</f>
        <v>100.21413438273062</v>
      </c>
      <c r="AZ33">
        <f>IF($B33=TRUE,AZ32*(1+AZ122),AZ32*(1+(VLOOKUP($A33,'MoM Forecasts'!$2:$25,'Unchained Indices'!AZ$2,0))))</f>
        <v>100.17398676074248</v>
      </c>
      <c r="BA33">
        <f>IF($B33=TRUE,BA32*(1+BA122),BA32*(1+(VLOOKUP($A33,'MoM Forecasts'!$2:$25,'Unchained Indices'!BA$2,0))))</f>
        <v>100.19505747463</v>
      </c>
      <c r="BB33">
        <f>IF($B33=TRUE,BB32*(1+BB122),BB32*(1+(VLOOKUP($A33,'MoM Forecasts'!$2:$25,'Unchained Indices'!BB$2,0))))</f>
        <v>100.19755614862569</v>
      </c>
      <c r="BC33">
        <f>IF($B33=TRUE,BC32*(1+BC122),BC32*(1+(VLOOKUP($A33,'MoM Forecasts'!$2:$25,'Unchained Indices'!BC$2,0))))</f>
        <v>100.11830295800645</v>
      </c>
      <c r="BD33">
        <f>IF($B33=TRUE,BD32*(1+BD122),BD32*(1+(VLOOKUP($A33,'MoM Forecasts'!$2:$25,'Unchained Indices'!BD$2,0))))</f>
        <v>100.13329116425652</v>
      </c>
      <c r="BE33">
        <f>IF($B33=TRUE,BE32*(1+BE122),BE32*(1+(VLOOKUP($A33,'MoM Forecasts'!$2:$25,'Unchained Indices'!BE$2,0))))</f>
        <v>100.16341812753068</v>
      </c>
      <c r="BF33">
        <f>IF($B33=TRUE,BF32*(1+BF122),BF32*(1+(VLOOKUP($A33,'MoM Forecasts'!$2:$25,'Unchained Indices'!BF$2,0))))</f>
        <v>100.11533142465454</v>
      </c>
      <c r="BG33">
        <f>IF($B33=TRUE,BG32*(1+BG122),BG32*(1+(VLOOKUP($A33,'MoM Forecasts'!$2:$25,'Unchained Indices'!BG$2,0))))</f>
        <v>100.13139690113623</v>
      </c>
      <c r="BH33">
        <f>IF($B33=TRUE,BH32*(1+BH122),BH32*(1+(VLOOKUP($A33,'MoM Forecasts'!$2:$25,'Unchained Indices'!BH$2,0))))</f>
        <v>99.146669620219953</v>
      </c>
      <c r="BI33">
        <f>IF($B33=TRUE,BI32*(1+BI122),BI32*(1+(VLOOKUP($A33,'MoM Forecasts'!$2:$25,'Unchained Indices'!BI$2,0))))</f>
        <v>100.12760375837964</v>
      </c>
      <c r="BJ33">
        <f>IF($B33=TRUE,BJ32*(1+BJ122),BJ32*(1+(VLOOKUP($A33,'MoM Forecasts'!$2:$25,'Unchained Indices'!BJ$2,0))))</f>
        <v>100.12843542484744</v>
      </c>
      <c r="BK33">
        <f>IF($B33=TRUE,BK32*(1+BK122),BK32*(1+(VLOOKUP($A33,'MoM Forecasts'!$2:$25,'Unchained Indices'!BK$2,0))))</f>
        <v>99.890498596465633</v>
      </c>
      <c r="BL33">
        <f>IF($B33=TRUE,BL32*(1+BL122),BL32*(1+(VLOOKUP($A33,'MoM Forecasts'!$2:$25,'Unchained Indices'!BL$2,0))))</f>
        <v>100.1017230827223</v>
      </c>
      <c r="BM33">
        <f>IF($B33=TRUE,BM32*(1+BM122),BM32*(1+(VLOOKUP($A33,'MoM Forecasts'!$2:$25,'Unchained Indices'!BM$2,0))))</f>
        <v>100.10681704947527</v>
      </c>
      <c r="BN33">
        <f>IF($B33=TRUE,BN32*(1+BN122),BN32*(1+(VLOOKUP($A33,'MoM Forecasts'!$2:$25,'Unchained Indices'!BN$2,0))))</f>
        <v>100.14373546133038</v>
      </c>
      <c r="BO33">
        <f>IF($B33=TRUE,BO32*(1+BO122),BO32*(1+(VLOOKUP($A33,'MoM Forecasts'!$2:$25,'Unchained Indices'!BO$2,0))))</f>
        <v>100.17813521098064</v>
      </c>
      <c r="BP33">
        <f>IF($B33=TRUE,BP32*(1+BP122),BP32*(1+(VLOOKUP($A33,'MoM Forecasts'!$2:$25,'Unchained Indices'!BP$2,0))))</f>
        <v>99.996302495344239</v>
      </c>
      <c r="BQ33">
        <f>IF($B33=TRUE,BQ32*(1+BQ122),BQ32*(1+(VLOOKUP($A33,'MoM Forecasts'!$2:$25,'Unchained Indices'!BQ$2,0))))</f>
        <v>100.17942761916356</v>
      </c>
      <c r="BR33">
        <f>IF($B33=TRUE,BR32*(1+BR122),BR32*(1+(VLOOKUP($A33,'MoM Forecasts'!$2:$25,'Unchained Indices'!BR$2,0))))</f>
        <v>100.18594875734232</v>
      </c>
      <c r="BS33">
        <f>IF($B33=TRUE,BS32*(1+BS122),BS32*(1+(VLOOKUP($A33,'MoM Forecasts'!$2:$25,'Unchained Indices'!BS$2,0))))</f>
        <v>100.06923258873239</v>
      </c>
      <c r="BT33">
        <f>IF($B33=TRUE,BT32*(1+BT122),BT32*(1+(VLOOKUP($A33,'MoM Forecasts'!$2:$25,'Unchained Indices'!BT$2,0))))</f>
        <v>100.03108928828814</v>
      </c>
      <c r="BU33">
        <f>IF($B33=TRUE,BU32*(1+BU122),BU32*(1+(VLOOKUP($A33,'MoM Forecasts'!$2:$25,'Unchained Indices'!BU$2,0))))</f>
        <v>100.06234812821302</v>
      </c>
      <c r="BV33">
        <f>IF($B33=TRUE,BV32*(1+BV122),BV32*(1+(VLOOKUP($A33,'MoM Forecasts'!$2:$25,'Unchained Indices'!BV$2,0))))</f>
        <v>100.10461987536993</v>
      </c>
      <c r="BW33">
        <f>IF($B33=TRUE,BW32*(1+BW122),BW32*(1+(VLOOKUP($A33,'MoM Forecasts'!$2:$25,'Unchained Indices'!BW$2,0))))</f>
        <v>100.05136928796163</v>
      </c>
      <c r="BX33">
        <f>IF($B33=TRUE,BX32*(1+BX122),BX32*(1+(VLOOKUP($A33,'MoM Forecasts'!$2:$25,'Unchained Indices'!BX$2,0))))</f>
        <v>100.12001204574027</v>
      </c>
      <c r="BY33">
        <f>IF($B33=TRUE,BY32*(1+BY122),BY32*(1+(VLOOKUP($A33,'MoM Forecasts'!$2:$25,'Unchained Indices'!BY$2,0))))</f>
        <v>100.11331157112237</v>
      </c>
      <c r="BZ33">
        <f>IF($B33=TRUE,BZ32*(1+BZ122),BZ32*(1+(VLOOKUP($A33,'MoM Forecasts'!$2:$25,'Unchained Indices'!BZ$2,0))))</f>
        <v>100.18692861349325</v>
      </c>
      <c r="CA33">
        <f>IF($B33=TRUE,CA32*(1+CA122),CA32*(1+(VLOOKUP($A33,'MoM Forecasts'!$2:$25,'Unchained Indices'!CA$2,0))))</f>
        <v>99.923269116645855</v>
      </c>
      <c r="CB33">
        <f>IF($B33=TRUE,CB32*(1+CB122),CB32*(1+(VLOOKUP($A33,'MoM Forecasts'!$2:$25,'Unchained Indices'!CB$2,0))))</f>
        <v>100.18315611694852</v>
      </c>
      <c r="CC33">
        <f>IF($B33=TRUE,CC32*(1+CC122),CC32*(1+(VLOOKUP($A33,'MoM Forecasts'!$2:$25,'Unchained Indices'!CC$2,0))))</f>
        <v>100.14303776778166</v>
      </c>
      <c r="CD33">
        <f>IF($B33=TRUE,CD32*(1+CD122),CD32*(1+(VLOOKUP($A33,'MoM Forecasts'!$2:$25,'Unchained Indices'!CD$2,0))))</f>
        <v>100.17538932077754</v>
      </c>
      <c r="CE33">
        <f>IF($B33=TRUE,CE32*(1+CE122),CE32*(1+(VLOOKUP($A33,'MoM Forecasts'!$2:$25,'Unchained Indices'!CE$2,0))))</f>
        <v>100.17635718718633</v>
      </c>
      <c r="CF33">
        <f>IF($B33=TRUE,CF32*(1+CF122),CF32*(1+(VLOOKUP($A33,'MoM Forecasts'!$2:$25,'Unchained Indices'!CF$2,0))))</f>
        <v>100.17252691303402</v>
      </c>
      <c r="CG33">
        <f>IF($B33=TRUE,CG32*(1+CG122),CG32*(1+(VLOOKUP($A33,'MoM Forecasts'!$2:$25,'Unchained Indices'!CG$2,0))))</f>
        <v>101.14864322498079</v>
      </c>
      <c r="CH33">
        <f>IF($B33=TRUE,CH32*(1+CH122),CH32*(1+(VLOOKUP($A33,'MoM Forecasts'!$2:$25,'Unchained Indices'!CH$2,0))))</f>
        <v>94.053024766950571</v>
      </c>
      <c r="CI33">
        <f>IF($B33=TRUE,CI32*(1+CI122),CI32*(1+(VLOOKUP($A33,'MoM Forecasts'!$2:$25,'Unchained Indices'!CI$2,0))))</f>
        <v>101.9004769979759</v>
      </c>
      <c r="CJ33">
        <f>IF($B33=TRUE,CJ32*(1+CJ122),CJ32*(1+(VLOOKUP($A33,'MoM Forecasts'!$2:$25,'Unchained Indices'!CJ$2,0))))</f>
        <v>99.919106052049955</v>
      </c>
      <c r="CK33">
        <f>IF($B33=TRUE,CK32*(1+CK122),CK32*(1+(VLOOKUP($A33,'MoM Forecasts'!$2:$25,'Unchained Indices'!CK$2,0))))</f>
        <v>100.15965897958552</v>
      </c>
      <c r="CL33">
        <f>IF($B33=TRUE,CL32*(1+CL122),CL32*(1+(VLOOKUP($A33,'MoM Forecasts'!$2:$25,'Unchained Indices'!CL$2,0))))</f>
        <v>100.07917671054611</v>
      </c>
      <c r="CM33">
        <f>IF($B33=TRUE,CM32*(1+CM122),CM32*(1+(VLOOKUP($A33,'MoM Forecasts'!$2:$25,'Unchained Indices'!CM$2,0))))</f>
        <v>100.13387260037476</v>
      </c>
      <c r="CN33">
        <f>IF($B33=TRUE,CN32*(1+CN122),CN32*(1+(VLOOKUP($A33,'MoM Forecasts'!$2:$25,'Unchained Indices'!CN$2,0))))</f>
        <v>100.19455224331492</v>
      </c>
      <c r="CO33">
        <f>IF($B33=TRUE,CO32*(1+CO122),CO32*(1+(VLOOKUP($A33,'MoM Forecasts'!$2:$25,'Unchained Indices'!CO$2,0))))</f>
        <v>100.18420000402379</v>
      </c>
      <c r="CP33">
        <f>IF($B33=TRUE,CP32*(1+CP122),CP32*(1+(VLOOKUP($A33,'MoM Forecasts'!$2:$25,'Unchained Indices'!CP$2,0))))</f>
        <v>100.17658750293646</v>
      </c>
    </row>
    <row r="34" spans="1:94" x14ac:dyDescent="0.25">
      <c r="A34" s="6">
        <f t="shared" si="4"/>
        <v>45383</v>
      </c>
      <c r="B34" s="8" t="str">
        <f>IF(A34&lt;='MoM Forecasts'!$A$2,TRUE,"")</f>
        <v/>
      </c>
      <c r="C34" s="7">
        <f t="shared" si="5"/>
        <v>45292</v>
      </c>
      <c r="D34">
        <f>IF($B34=TRUE,D33*(1+D123),D33*(1+(VLOOKUP($A34,'MoM Forecasts'!$2:$25,'Unchained Indices'!D$2,0))))</f>
        <v>100.19510161924975</v>
      </c>
      <c r="E34">
        <f>IF($B34=TRUE,E33*(1+E123),E33*(1+(VLOOKUP($A34,'MoM Forecasts'!$2:$25,'Unchained Indices'!E$2,0))))</f>
        <v>100.17429776494326</v>
      </c>
      <c r="F34">
        <f>IF($B34=TRUE,F33*(1+F123),F33*(1+(VLOOKUP($A34,'MoM Forecasts'!$2:$25,'Unchained Indices'!F$2,0))))</f>
        <v>100.20211039013648</v>
      </c>
      <c r="G34">
        <f>IF($B34=TRUE,G33*(1+G123),G33*(1+(VLOOKUP($A34,'MoM Forecasts'!$2:$25,'Unchained Indices'!G$2,0))))</f>
        <v>100.18605732448687</v>
      </c>
      <c r="H34">
        <f>IF($B34=TRUE,H33*(1+H123),H33*(1+(VLOOKUP($A34,'MoM Forecasts'!$2:$25,'Unchained Indices'!H$2,0))))</f>
        <v>100.24370136949778</v>
      </c>
      <c r="I34">
        <f>IF($B34=TRUE,I33*(1+I123),I33*(1+(VLOOKUP($A34,'MoM Forecasts'!$2:$25,'Unchained Indices'!I$2,0))))</f>
        <v>100.24344004532431</v>
      </c>
      <c r="J34">
        <f>IF($B34=TRUE,J33*(1+J123),J33*(1+(VLOOKUP($A34,'MoM Forecasts'!$2:$25,'Unchained Indices'!J$2,0))))</f>
        <v>100.20877049418702</v>
      </c>
      <c r="K34">
        <f>IF($B34=TRUE,K33*(1+K123),K33*(1+(VLOOKUP($A34,'MoM Forecasts'!$2:$25,'Unchained Indices'!K$2,0))))</f>
        <v>100.18689782644226</v>
      </c>
      <c r="L34">
        <f>IF($B34=TRUE,L33*(1+L123),L33*(1+(VLOOKUP($A34,'MoM Forecasts'!$2:$25,'Unchained Indices'!L$2,0))))</f>
        <v>100.07585936293115</v>
      </c>
      <c r="M34">
        <f>IF($B34=TRUE,M33*(1+M123),M33*(1+(VLOOKUP($A34,'MoM Forecasts'!$2:$25,'Unchained Indices'!M$2,0))))</f>
        <v>100.1649860151242</v>
      </c>
      <c r="N34">
        <f>IF($B34=TRUE,N33*(1+N123),N33*(1+(VLOOKUP($A34,'MoM Forecasts'!$2:$25,'Unchained Indices'!N$2,0))))</f>
        <v>100.23211688321325</v>
      </c>
      <c r="O34">
        <f>IF($B34=TRUE,O33*(1+O123),O33*(1+(VLOOKUP($A34,'MoM Forecasts'!$2:$25,'Unchained Indices'!O$2,0))))</f>
        <v>100.23405125022512</v>
      </c>
      <c r="P34">
        <f>IF($B34=TRUE,P33*(1+P123),P33*(1+(VLOOKUP($A34,'MoM Forecasts'!$2:$25,'Unchained Indices'!P$2,0))))</f>
        <v>100.22670813695406</v>
      </c>
      <c r="Q34">
        <f>IF($B34=TRUE,Q33*(1+Q123),Q33*(1+(VLOOKUP($A34,'MoM Forecasts'!$2:$25,'Unchained Indices'!Q$2,0))))</f>
        <v>100.23011694831641</v>
      </c>
      <c r="R34">
        <f>IF($B34=TRUE,R33*(1+R123),R33*(1+(VLOOKUP($A34,'MoM Forecasts'!$2:$25,'Unchained Indices'!R$2,0))))</f>
        <v>100.15709723338536</v>
      </c>
      <c r="S34">
        <f>IF($B34=TRUE,S33*(1+S123),S33*(1+(VLOOKUP($A34,'MoM Forecasts'!$2:$25,'Unchained Indices'!S$2,0))))</f>
        <v>100.20991171867023</v>
      </c>
      <c r="T34">
        <f>IF($B34=TRUE,T33*(1+T123),T33*(1+(VLOOKUP($A34,'MoM Forecasts'!$2:$25,'Unchained Indices'!T$2,0))))</f>
        <v>100.23115463793809</v>
      </c>
      <c r="U34">
        <f>IF($B34=TRUE,U33*(1+U123),U33*(1+(VLOOKUP($A34,'MoM Forecasts'!$2:$25,'Unchained Indices'!U$2,0))))</f>
        <v>100.18832646731566</v>
      </c>
      <c r="V34">
        <f>IF($B34=TRUE,V33*(1+V123),V33*(1+(VLOOKUP($A34,'MoM Forecasts'!$2:$25,'Unchained Indices'!V$2,0))))</f>
        <v>100.14030658260302</v>
      </c>
      <c r="W34">
        <f>IF($B34=TRUE,W33*(1+W123),W33*(1+(VLOOKUP($A34,'MoM Forecasts'!$2:$25,'Unchained Indices'!W$2,0))))</f>
        <v>100.17926414206696</v>
      </c>
      <c r="X34">
        <f>IF($B34=TRUE,X33*(1+X123),X33*(1+(VLOOKUP($A34,'MoM Forecasts'!$2:$25,'Unchained Indices'!X$2,0))))</f>
        <v>100.18549388164827</v>
      </c>
      <c r="Y34">
        <f>IF($B34=TRUE,Y33*(1+Y123),Y33*(1+(VLOOKUP($A34,'MoM Forecasts'!$2:$25,'Unchained Indices'!Y$2,0))))</f>
        <v>100.19179727583906</v>
      </c>
      <c r="Z34">
        <f>IF($B34=TRUE,Z33*(1+Z123),Z33*(1+(VLOOKUP($A34,'MoM Forecasts'!$2:$25,'Unchained Indices'!Z$2,0))))</f>
        <v>100.15348201402158</v>
      </c>
      <c r="AA34">
        <f>IF($B34=TRUE,AA33*(1+AA123),AA33*(1+(VLOOKUP($A34,'MoM Forecasts'!$2:$25,'Unchained Indices'!AA$2,0))))</f>
        <v>100.27296044775059</v>
      </c>
      <c r="AB34">
        <f>IF($B34=TRUE,AB33*(1+AB123),AB33*(1+(VLOOKUP($A34,'MoM Forecasts'!$2:$25,'Unchained Indices'!AB$2,0))))</f>
        <v>100.20266237480439</v>
      </c>
      <c r="AC34">
        <f>IF($B34=TRUE,AC33*(1+AC123),AC33*(1+(VLOOKUP($A34,'MoM Forecasts'!$2:$25,'Unchained Indices'!AC$2,0))))</f>
        <v>100.72634283860019</v>
      </c>
      <c r="AD34">
        <f>IF($B34=TRUE,AD33*(1+AD123),AD33*(1+(VLOOKUP($A34,'MoM Forecasts'!$2:$25,'Unchained Indices'!AD$2,0))))</f>
        <v>100.1747651926667</v>
      </c>
      <c r="AE34">
        <f>IF($B34=TRUE,AE33*(1+AE123),AE33*(1+(VLOOKUP($A34,'MoM Forecasts'!$2:$25,'Unchained Indices'!AE$2,0))))</f>
        <v>98.866249103139921</v>
      </c>
      <c r="AF34">
        <f>IF($B34=TRUE,AF33*(1+AF123),AF33*(1+(VLOOKUP($A34,'MoM Forecasts'!$2:$25,'Unchained Indices'!AF$2,0))))</f>
        <v>98.779578873435469</v>
      </c>
      <c r="AG34">
        <f>IF($B34=TRUE,AG33*(1+AG123),AG33*(1+(VLOOKUP($A34,'MoM Forecasts'!$2:$25,'Unchained Indices'!AG$2,0))))</f>
        <v>100.21970963665967</v>
      </c>
      <c r="AH34">
        <f>IF($B34=TRUE,AH33*(1+AH123),AH33*(1+(VLOOKUP($A34,'MoM Forecasts'!$2:$25,'Unchained Indices'!AH$2,0))))</f>
        <v>100.19759781362407</v>
      </c>
      <c r="AI34">
        <f>IF($B34=TRUE,AI33*(1+AI123),AI33*(1+(VLOOKUP($A34,'MoM Forecasts'!$2:$25,'Unchained Indices'!AI$2,0))))</f>
        <v>94.507771421366698</v>
      </c>
      <c r="AJ34">
        <f>IF($B34=TRUE,AJ33*(1+AJ123),AJ33*(1+(VLOOKUP($A34,'MoM Forecasts'!$2:$25,'Unchained Indices'!AJ$2,0))))</f>
        <v>100.2356408289142</v>
      </c>
      <c r="AK34">
        <f>IF($B34=TRUE,AK33*(1+AK123),AK33*(1+(VLOOKUP($A34,'MoM Forecasts'!$2:$25,'Unchained Indices'!AK$2,0))))</f>
        <v>100.14953521994623</v>
      </c>
      <c r="AL34">
        <f>IF($B34=TRUE,AL33*(1+AL123),AL33*(1+(VLOOKUP($A34,'MoM Forecasts'!$2:$25,'Unchained Indices'!AL$2,0))))</f>
        <v>100.23532328336584</v>
      </c>
      <c r="AM34">
        <f>IF($B34=TRUE,AM33*(1+AM123),AM33*(1+(VLOOKUP($A34,'MoM Forecasts'!$2:$25,'Unchained Indices'!AM$2,0))))</f>
        <v>100.26978079759007</v>
      </c>
      <c r="AN34">
        <f>IF($B34=TRUE,AN33*(1+AN123),AN33*(1+(VLOOKUP($A34,'MoM Forecasts'!$2:$25,'Unchained Indices'!AN$2,0))))</f>
        <v>100.22872922432251</v>
      </c>
      <c r="AO34">
        <f>IF($B34=TRUE,AO33*(1+AO123),AO33*(1+(VLOOKUP($A34,'MoM Forecasts'!$2:$25,'Unchained Indices'!AO$2,0))))</f>
        <v>100.23752781768707</v>
      </c>
      <c r="AP34">
        <f>IF($B34=TRUE,AP33*(1+AP123),AP33*(1+(VLOOKUP($A34,'MoM Forecasts'!$2:$25,'Unchained Indices'!AP$2,0))))</f>
        <v>100.25064105854857</v>
      </c>
      <c r="AQ34">
        <f>IF($B34=TRUE,AQ33*(1+AQ123),AQ33*(1+(VLOOKUP($A34,'MoM Forecasts'!$2:$25,'Unchained Indices'!AQ$2,0))))</f>
        <v>100.10536709463334</v>
      </c>
      <c r="AR34">
        <f>IF($B34=TRUE,AR33*(1+AR123),AR33*(1+(VLOOKUP($A34,'MoM Forecasts'!$2:$25,'Unchained Indices'!AR$2,0))))</f>
        <v>100.21638079230766</v>
      </c>
      <c r="AS34">
        <f>IF($B34=TRUE,AS33*(1+AS123),AS33*(1+(VLOOKUP($A34,'MoM Forecasts'!$2:$25,'Unchained Indices'!AS$2,0))))</f>
        <v>100.2466225033409</v>
      </c>
      <c r="AT34">
        <f>IF($B34=TRUE,AT33*(1+AT123),AT33*(1+(VLOOKUP($A34,'MoM Forecasts'!$2:$25,'Unchained Indices'!AT$2,0))))</f>
        <v>100.16948183648677</v>
      </c>
      <c r="AU34">
        <f>IF($B34=TRUE,AU33*(1+AU123),AU33*(1+(VLOOKUP($A34,'MoM Forecasts'!$2:$25,'Unchained Indices'!AU$2,0))))</f>
        <v>100.29895189332359</v>
      </c>
      <c r="AV34">
        <f>IF($B34=TRUE,AV33*(1+AV123),AV33*(1+(VLOOKUP($A34,'MoM Forecasts'!$2:$25,'Unchained Indices'!AV$2,0))))</f>
        <v>100.26363332598832</v>
      </c>
      <c r="AW34">
        <f>IF($B34=TRUE,AW33*(1+AW123),AW33*(1+(VLOOKUP($A34,'MoM Forecasts'!$2:$25,'Unchained Indices'!AW$2,0))))</f>
        <v>100.24855272921602</v>
      </c>
      <c r="AX34">
        <f>IF($B34=TRUE,AX33*(1+AX123),AX33*(1+(VLOOKUP($A34,'MoM Forecasts'!$2:$25,'Unchained Indices'!AX$2,0))))</f>
        <v>101.09116796673582</v>
      </c>
      <c r="AY34">
        <f>IF($B34=TRUE,AY33*(1+AY123),AY33*(1+(VLOOKUP($A34,'MoM Forecasts'!$2:$25,'Unchained Indices'!AY$2,0))))</f>
        <v>100.32120157409592</v>
      </c>
      <c r="AZ34">
        <f>IF($B34=TRUE,AZ33*(1+AZ123),AZ33*(1+(VLOOKUP($A34,'MoM Forecasts'!$2:$25,'Unchained Indices'!AZ$2,0))))</f>
        <v>100.26098014111372</v>
      </c>
      <c r="BA34">
        <f>IF($B34=TRUE,BA33*(1+BA123),BA33*(1+(VLOOKUP($A34,'MoM Forecasts'!$2:$25,'Unchained Indices'!BA$2,0))))</f>
        <v>100.29258621194502</v>
      </c>
      <c r="BB34">
        <f>IF($B34=TRUE,BB33*(1+BB123),BB33*(1+(VLOOKUP($A34,'MoM Forecasts'!$2:$25,'Unchained Indices'!BB$2,0))))</f>
        <v>100.29633422293854</v>
      </c>
      <c r="BC34">
        <f>IF($B34=TRUE,BC33*(1+BC123),BC33*(1+(VLOOKUP($A34,'MoM Forecasts'!$2:$25,'Unchained Indices'!BC$2,0))))</f>
        <v>100.1774544370097</v>
      </c>
      <c r="BD34">
        <f>IF($B34=TRUE,BD33*(1+BD123),BD33*(1+(VLOOKUP($A34,'MoM Forecasts'!$2:$25,'Unchained Indices'!BD$2,0))))</f>
        <v>100.19993674638475</v>
      </c>
      <c r="BE34">
        <f>IF($B34=TRUE,BE33*(1+BE123),BE33*(1+(VLOOKUP($A34,'MoM Forecasts'!$2:$25,'Unchained Indices'!BE$2,0))))</f>
        <v>100.24512719129602</v>
      </c>
      <c r="BF34">
        <f>IF($B34=TRUE,BF33*(1+BF123),BF33*(1+(VLOOKUP($A34,'MoM Forecasts'!$2:$25,'Unchained Indices'!BF$2,0))))</f>
        <v>100.17299713698182</v>
      </c>
      <c r="BG34">
        <f>IF($B34=TRUE,BG33*(1+BG123),BG33*(1+(VLOOKUP($A34,'MoM Forecasts'!$2:$25,'Unchained Indices'!BG$2,0))))</f>
        <v>100.19709535170436</v>
      </c>
      <c r="BH34">
        <f>IF($B34=TRUE,BH33*(1+BH123),BH33*(1+(VLOOKUP($A34,'MoM Forecasts'!$2:$25,'Unchained Indices'!BH$2,0))))</f>
        <v>100.0902739804886</v>
      </c>
      <c r="BI34">
        <f>IF($B34=TRUE,BI33*(1+BI123),BI33*(1+(VLOOKUP($A34,'MoM Forecasts'!$2:$25,'Unchained Indices'!BI$2,0))))</f>
        <v>100.19140563756946</v>
      </c>
      <c r="BJ34">
        <f>IF($B34=TRUE,BJ33*(1+BJ123),BJ33*(1+(VLOOKUP($A34,'MoM Forecasts'!$2:$25,'Unchained Indices'!BJ$2,0))))</f>
        <v>100.19265313727117</v>
      </c>
      <c r="BK34">
        <f>IF($B34=TRUE,BK33*(1+BK123),BK33*(1+(VLOOKUP($A34,'MoM Forecasts'!$2:$25,'Unchained Indices'!BK$2,0))))</f>
        <v>99.835747894698443</v>
      </c>
      <c r="BL34">
        <f>IF($B34=TRUE,BL33*(1+BL123),BL33*(1+(VLOOKUP($A34,'MoM Forecasts'!$2:$25,'Unchained Indices'!BL$2,0))))</f>
        <v>100.15258462408346</v>
      </c>
      <c r="BM34">
        <f>IF($B34=TRUE,BM33*(1+BM123),BM33*(1+(VLOOKUP($A34,'MoM Forecasts'!$2:$25,'Unchained Indices'!BM$2,0))))</f>
        <v>100.1602255742129</v>
      </c>
      <c r="BN34">
        <f>IF($B34=TRUE,BN33*(1+BN123),BN33*(1+(VLOOKUP($A34,'MoM Forecasts'!$2:$25,'Unchained Indices'!BN$2,0))))</f>
        <v>100.21560319199556</v>
      </c>
      <c r="BO34">
        <f>IF($B34=TRUE,BO33*(1+BO123),BO33*(1+(VLOOKUP($A34,'MoM Forecasts'!$2:$25,'Unchained Indices'!BO$2,0))))</f>
        <v>100.26720281647096</v>
      </c>
      <c r="BP34">
        <f>IF($B34=TRUE,BP33*(1+BP123),BP33*(1+(VLOOKUP($A34,'MoM Forecasts'!$2:$25,'Unchained Indices'!BP$2,0))))</f>
        <v>99.994453743016351</v>
      </c>
      <c r="BQ34">
        <f>IF($B34=TRUE,BQ33*(1+BQ123),BQ33*(1+(VLOOKUP($A34,'MoM Forecasts'!$2:$25,'Unchained Indices'!BQ$2,0))))</f>
        <v>100.26914142874536</v>
      </c>
      <c r="BR34">
        <f>IF($B34=TRUE,BR33*(1+BR123),BR33*(1+(VLOOKUP($A34,'MoM Forecasts'!$2:$25,'Unchained Indices'!BR$2,0))))</f>
        <v>100.27892313601347</v>
      </c>
      <c r="BS34">
        <f>IF($B34=TRUE,BS33*(1+BS123),BS33*(1+(VLOOKUP($A34,'MoM Forecasts'!$2:$25,'Unchained Indices'!BS$2,0))))</f>
        <v>100.10384888309859</v>
      </c>
      <c r="BT34">
        <f>IF($B34=TRUE,BT33*(1+BT123),BT33*(1+(VLOOKUP($A34,'MoM Forecasts'!$2:$25,'Unchained Indices'!BT$2,0))))</f>
        <v>100.04663393243221</v>
      </c>
      <c r="BU34">
        <f>IF($B34=TRUE,BU33*(1+BU123),BU33*(1+(VLOOKUP($A34,'MoM Forecasts'!$2:$25,'Unchained Indices'!BU$2,0))))</f>
        <v>100.09352219231951</v>
      </c>
      <c r="BV34">
        <f>IF($B34=TRUE,BV33*(1+BV123),BV33*(1+(VLOOKUP($A34,'MoM Forecasts'!$2:$25,'Unchained Indices'!BV$2,0))))</f>
        <v>100.1569298130549</v>
      </c>
      <c r="BW34">
        <f>IF($B34=TRUE,BW33*(1+BW123),BW33*(1+(VLOOKUP($A34,'MoM Forecasts'!$2:$25,'Unchained Indices'!BW$2,0))))</f>
        <v>100.07705393194246</v>
      </c>
      <c r="BX34">
        <f>IF($B34=TRUE,BX33*(1+BX123),BX33*(1+(VLOOKUP($A34,'MoM Forecasts'!$2:$25,'Unchained Indices'!BX$2,0))))</f>
        <v>100.18001806861041</v>
      </c>
      <c r="BY34">
        <f>IF($B34=TRUE,BY33*(1+BY123),BY33*(1+(VLOOKUP($A34,'MoM Forecasts'!$2:$25,'Unchained Indices'!BY$2,0))))</f>
        <v>100.16996735668356</v>
      </c>
      <c r="BZ34">
        <f>IF($B34=TRUE,BZ33*(1+BZ123),BZ33*(1+(VLOOKUP($A34,'MoM Forecasts'!$2:$25,'Unchained Indices'!BZ$2,0))))</f>
        <v>100.28039292023988</v>
      </c>
      <c r="CA34">
        <f>IF($B34=TRUE,CA33*(1+CA123),CA33*(1+(VLOOKUP($A34,'MoM Forecasts'!$2:$25,'Unchained Indices'!CA$2,0))))</f>
        <v>99.884903674968783</v>
      </c>
      <c r="CB34">
        <f>IF($B34=TRUE,CB33*(1+CB123),CB33*(1+(VLOOKUP($A34,'MoM Forecasts'!$2:$25,'Unchained Indices'!CB$2,0))))</f>
        <v>100.27473417542278</v>
      </c>
      <c r="CC34">
        <f>IF($B34=TRUE,CC33*(1+CC123),CC33*(1+(VLOOKUP($A34,'MoM Forecasts'!$2:$25,'Unchained Indices'!CC$2,0))))</f>
        <v>100.2145566516725</v>
      </c>
      <c r="CD34">
        <f>IF($B34=TRUE,CD33*(1+CD123),CD33*(1+(VLOOKUP($A34,'MoM Forecasts'!$2:$25,'Unchained Indices'!CD$2,0))))</f>
        <v>100.2630839811663</v>
      </c>
      <c r="CE34">
        <f>IF($B34=TRUE,CE33*(1+CE123),CE33*(1+(VLOOKUP($A34,'MoM Forecasts'!$2:$25,'Unchained Indices'!CE$2,0))))</f>
        <v>100.26453578077948</v>
      </c>
      <c r="CF34">
        <f>IF($B34=TRUE,CF33*(1+CF123),CF33*(1+(VLOOKUP($A34,'MoM Forecasts'!$2:$25,'Unchained Indices'!CF$2,0))))</f>
        <v>100.25879036955102</v>
      </c>
      <c r="CG34">
        <f>IF($B34=TRUE,CG33*(1+CG123),CG33*(1+(VLOOKUP($A34,'MoM Forecasts'!$2:$25,'Unchained Indices'!CG$2,0))))</f>
        <v>105.61001287180969</v>
      </c>
      <c r="CH34">
        <f>IF($B34=TRUE,CH33*(1+CH123),CH33*(1+(VLOOKUP($A34,'MoM Forecasts'!$2:$25,'Unchained Indices'!CH$2,0))))</f>
        <v>91.07953715042585</v>
      </c>
      <c r="CI34">
        <f>IF($B34=TRUE,CI33*(1+CI123),CI33*(1+(VLOOKUP($A34,'MoM Forecasts'!$2:$25,'Unchained Indices'!CI$2,0))))</f>
        <v>102.49975445249362</v>
      </c>
      <c r="CJ34">
        <f>IF($B34=TRUE,CJ33*(1+CJ123),CJ33*(1+(VLOOKUP($A34,'MoM Forecasts'!$2:$25,'Unchained Indices'!CJ$2,0))))</f>
        <v>99.878659078074918</v>
      </c>
      <c r="CK34">
        <f>IF($B34=TRUE,CK33*(1+CK123),CK33*(1+(VLOOKUP($A34,'MoM Forecasts'!$2:$25,'Unchained Indices'!CK$2,0))))</f>
        <v>100.23948846937827</v>
      </c>
      <c r="CL34">
        <f>IF($B34=TRUE,CL33*(1+CL123),CL33*(1+(VLOOKUP($A34,'MoM Forecasts'!$2:$25,'Unchained Indices'!CL$2,0))))</f>
        <v>100.11876506581916</v>
      </c>
      <c r="CM34">
        <f>IF($B34=TRUE,CM33*(1+CM123),CM33*(1+(VLOOKUP($A34,'MoM Forecasts'!$2:$25,'Unchained Indices'!CM$2,0))))</f>
        <v>100.20080890056212</v>
      </c>
      <c r="CN34">
        <f>IF($B34=TRUE,CN33*(1+CN123),CN33*(1+(VLOOKUP($A34,'MoM Forecasts'!$2:$25,'Unchained Indices'!CN$2,0))))</f>
        <v>100.29182836497237</v>
      </c>
      <c r="CO34">
        <f>IF($B34=TRUE,CO33*(1+CO123),CO33*(1+(VLOOKUP($A34,'MoM Forecasts'!$2:$25,'Unchained Indices'!CO$2,0))))</f>
        <v>100.27630000603568</v>
      </c>
      <c r="CP34">
        <f>IF($B34=TRUE,CP33*(1+CP123),CP33*(1+(VLOOKUP($A34,'MoM Forecasts'!$2:$25,'Unchained Indices'!CP$2,0))))</f>
        <v>100.26488125440466</v>
      </c>
    </row>
    <row r="35" spans="1:94" x14ac:dyDescent="0.25">
      <c r="A35" s="6">
        <f t="shared" si="4"/>
        <v>45413</v>
      </c>
      <c r="B35" s="8" t="str">
        <f>IF(A35&lt;='MoM Forecasts'!$A$2,TRUE,"")</f>
        <v/>
      </c>
      <c r="C35" s="7">
        <f t="shared" si="5"/>
        <v>45292</v>
      </c>
      <c r="D35">
        <f>IF($B35=TRUE,D34*(1+D124),D34*(1+(VLOOKUP($A35,'MoM Forecasts'!$2:$25,'Unchained Indices'!D$2,0))))</f>
        <v>100.26013549233302</v>
      </c>
      <c r="E35">
        <f>IF($B35=TRUE,E34*(1+E124),E34*(1+(VLOOKUP($A35,'MoM Forecasts'!$2:$25,'Unchained Indices'!E$2,0))))</f>
        <v>100.23239701992435</v>
      </c>
      <c r="F35">
        <f>IF($B35=TRUE,F34*(1+F124),F34*(1+(VLOOKUP($A35,'MoM Forecasts'!$2:$25,'Unchained Indices'!F$2,0))))</f>
        <v>100.269480520182</v>
      </c>
      <c r="G35">
        <f>IF($B35=TRUE,G34*(1+G124),G34*(1+(VLOOKUP($A35,'MoM Forecasts'!$2:$25,'Unchained Indices'!G$2,0))))</f>
        <v>100.24807643264917</v>
      </c>
      <c r="H35">
        <f>IF($B35=TRUE,H34*(1+H124),H34*(1+(VLOOKUP($A35,'MoM Forecasts'!$2:$25,'Unchained Indices'!H$2,0))))</f>
        <v>100.32493515933038</v>
      </c>
      <c r="I35">
        <f>IF($B35=TRUE,I34*(1+I124),I34*(1+(VLOOKUP($A35,'MoM Forecasts'!$2:$25,'Unchained Indices'!I$2,0))))</f>
        <v>100.32458672709909</v>
      </c>
      <c r="J35">
        <f>IF($B35=TRUE,J34*(1+J124),J34*(1+(VLOOKUP($A35,'MoM Forecasts'!$2:$25,'Unchained Indices'!J$2,0))))</f>
        <v>100.27836065891603</v>
      </c>
      <c r="K35">
        <f>IF($B35=TRUE,K34*(1+K124),K34*(1+(VLOOKUP($A35,'MoM Forecasts'!$2:$25,'Unchained Indices'!K$2,0))))</f>
        <v>100.24919710192303</v>
      </c>
      <c r="L35">
        <f>IF($B35=TRUE,L34*(1+L124),L34*(1+(VLOOKUP($A35,'MoM Forecasts'!$2:$25,'Unchained Indices'!L$2,0))))</f>
        <v>100.10114581724154</v>
      </c>
      <c r="M35">
        <f>IF($B35=TRUE,M34*(1+M124),M34*(1+(VLOOKUP($A35,'MoM Forecasts'!$2:$25,'Unchained Indices'!M$2,0))))</f>
        <v>100.21998135349892</v>
      </c>
      <c r="N35">
        <f>IF($B35=TRUE,N34*(1+N124),N34*(1+(VLOOKUP($A35,'MoM Forecasts'!$2:$25,'Unchained Indices'!N$2,0))))</f>
        <v>100.30948917761766</v>
      </c>
      <c r="O35">
        <f>IF($B35=TRUE,O34*(1+O124),O34*(1+(VLOOKUP($A35,'MoM Forecasts'!$2:$25,'Unchained Indices'!O$2,0))))</f>
        <v>100.3120683336335</v>
      </c>
      <c r="P35">
        <f>IF($B35=TRUE,P34*(1+P124),P34*(1+(VLOOKUP($A35,'MoM Forecasts'!$2:$25,'Unchained Indices'!P$2,0))))</f>
        <v>100.30227751593871</v>
      </c>
      <c r="Q35">
        <f>IF($B35=TRUE,Q34*(1+Q124),Q34*(1+(VLOOKUP($A35,'MoM Forecasts'!$2:$25,'Unchained Indices'!Q$2,0))))</f>
        <v>100.3068225977552</v>
      </c>
      <c r="R35">
        <f>IF($B35=TRUE,R34*(1+R124),R34*(1+(VLOOKUP($A35,'MoM Forecasts'!$2:$25,'Unchained Indices'!R$2,0))))</f>
        <v>100.20946297784714</v>
      </c>
      <c r="S35">
        <f>IF($B35=TRUE,S34*(1+S124),S34*(1+(VLOOKUP($A35,'MoM Forecasts'!$2:$25,'Unchained Indices'!S$2,0))))</f>
        <v>100.27988229156031</v>
      </c>
      <c r="T35">
        <f>IF($B35=TRUE,T34*(1+T124),T34*(1+(VLOOKUP($A35,'MoM Forecasts'!$2:$25,'Unchained Indices'!T$2,0))))</f>
        <v>100.30820618391745</v>
      </c>
      <c r="U35">
        <f>IF($B35=TRUE,U34*(1+U124),U34*(1+(VLOOKUP($A35,'MoM Forecasts'!$2:$25,'Unchained Indices'!U$2,0))))</f>
        <v>100.25110195642088</v>
      </c>
      <c r="V35">
        <f>IF($B35=TRUE,V34*(1+V124),V34*(1+(VLOOKUP($A35,'MoM Forecasts'!$2:$25,'Unchained Indices'!V$2,0))))</f>
        <v>100.18707544347069</v>
      </c>
      <c r="W35">
        <f>IF($B35=TRUE,W34*(1+W124),W34*(1+(VLOOKUP($A35,'MoM Forecasts'!$2:$25,'Unchained Indices'!W$2,0))))</f>
        <v>100.23901885608927</v>
      </c>
      <c r="X35">
        <f>IF($B35=TRUE,X34*(1+X124),X34*(1+(VLOOKUP($A35,'MoM Forecasts'!$2:$25,'Unchained Indices'!X$2,0))))</f>
        <v>100.24732517553102</v>
      </c>
      <c r="Y35">
        <f>IF($B35=TRUE,Y34*(1+Y124),Y34*(1+(VLOOKUP($A35,'MoM Forecasts'!$2:$25,'Unchained Indices'!Y$2,0))))</f>
        <v>100.25572970111877</v>
      </c>
      <c r="Z35">
        <f>IF($B35=TRUE,Z34*(1+Z124),Z34*(1+(VLOOKUP($A35,'MoM Forecasts'!$2:$25,'Unchained Indices'!Z$2,0))))</f>
        <v>100.20464268536209</v>
      </c>
      <c r="AA35">
        <f>IF($B35=TRUE,AA34*(1+AA124),AA34*(1+(VLOOKUP($A35,'MoM Forecasts'!$2:$25,'Unchained Indices'!AA$2,0))))</f>
        <v>100.36394726366744</v>
      </c>
      <c r="AB35">
        <f>IF($B35=TRUE,AB34*(1+AB124),AB34*(1+(VLOOKUP($A35,'MoM Forecasts'!$2:$25,'Unchained Indices'!AB$2,0))))</f>
        <v>100.27021649973918</v>
      </c>
      <c r="AC35">
        <f>IF($B35=TRUE,AC34*(1+AC124),AC34*(1+(VLOOKUP($A35,'MoM Forecasts'!$2:$25,'Unchained Indices'!AC$2,0))))</f>
        <v>103.43114126077924</v>
      </c>
      <c r="AD35">
        <f>IF($B35=TRUE,AD34*(1+AD124),AD34*(1+(VLOOKUP($A35,'MoM Forecasts'!$2:$25,'Unchained Indices'!AD$2,0))))</f>
        <v>100.23302025688893</v>
      </c>
      <c r="AE35">
        <f>IF($B35=TRUE,AE34*(1+AE124),AE34*(1+(VLOOKUP($A35,'MoM Forecasts'!$2:$25,'Unchained Indices'!AE$2,0))))</f>
        <v>98.964763572920191</v>
      </c>
      <c r="AF35">
        <f>IF($B35=TRUE,AF34*(1+AF124),AF34*(1+(VLOOKUP($A35,'MoM Forecasts'!$2:$25,'Unchained Indices'!AF$2,0))))</f>
        <v>97.486368383633192</v>
      </c>
      <c r="AG35">
        <f>IF($B35=TRUE,AG34*(1+AG124),AG34*(1+(VLOOKUP($A35,'MoM Forecasts'!$2:$25,'Unchained Indices'!AG$2,0))))</f>
        <v>100.2929461822129</v>
      </c>
      <c r="AH35">
        <f>IF($B35=TRUE,AH34*(1+AH124),AH34*(1+(VLOOKUP($A35,'MoM Forecasts'!$2:$25,'Unchained Indices'!AH$2,0))))</f>
        <v>100.26346375149875</v>
      </c>
      <c r="AI35">
        <f>IF($B35=TRUE,AI34*(1+AI124),AI34*(1+(VLOOKUP($A35,'MoM Forecasts'!$2:$25,'Unchained Indices'!AI$2,0))))</f>
        <v>95.83393651882686</v>
      </c>
      <c r="AJ35">
        <f>IF($B35=TRUE,AJ34*(1+AJ124),AJ34*(1+(VLOOKUP($A35,'MoM Forecasts'!$2:$25,'Unchained Indices'!AJ$2,0))))</f>
        <v>100.31418777188561</v>
      </c>
      <c r="AK35">
        <f>IF($B35=TRUE,AK34*(1+AK124),AK34*(1+(VLOOKUP($A35,'MoM Forecasts'!$2:$25,'Unchained Indices'!AK$2,0))))</f>
        <v>100.19938029326163</v>
      </c>
      <c r="AL35">
        <f>IF($B35=TRUE,AL34*(1+AL124),AL34*(1+(VLOOKUP($A35,'MoM Forecasts'!$2:$25,'Unchained Indices'!AL$2,0))))</f>
        <v>100.31376437782113</v>
      </c>
      <c r="AM35">
        <f>IF($B35=TRUE,AM34*(1+AM124),AM34*(1+(VLOOKUP($A35,'MoM Forecasts'!$2:$25,'Unchained Indices'!AM$2,0))))</f>
        <v>100.35970773012011</v>
      </c>
      <c r="AN35">
        <f>IF($B35=TRUE,AN34*(1+AN124),AN34*(1+(VLOOKUP($A35,'MoM Forecasts'!$2:$25,'Unchained Indices'!AN$2,0))))</f>
        <v>100.30497229909666</v>
      </c>
      <c r="AO35">
        <f>IF($B35=TRUE,AO34*(1+AO124),AO34*(1+(VLOOKUP($A35,'MoM Forecasts'!$2:$25,'Unchained Indices'!AO$2,0))))</f>
        <v>100.31670375691608</v>
      </c>
      <c r="AP35">
        <f>IF($B35=TRUE,AP34*(1+AP124),AP34*(1+(VLOOKUP($A35,'MoM Forecasts'!$2:$25,'Unchained Indices'!AP$2,0))))</f>
        <v>100.33418807806476</v>
      </c>
      <c r="AQ35">
        <f>IF($B35=TRUE,AQ34*(1+AQ124),AQ34*(1+(VLOOKUP($A35,'MoM Forecasts'!$2:$25,'Unchained Indices'!AQ$2,0))))</f>
        <v>100.1404894595111</v>
      </c>
      <c r="AR35">
        <f>IF($B35=TRUE,AR34*(1+AR124),AR34*(1+(VLOOKUP($A35,'MoM Forecasts'!$2:$25,'Unchained Indices'!AR$2,0))))</f>
        <v>100.28850772307689</v>
      </c>
      <c r="AS35">
        <f>IF($B35=TRUE,AS34*(1+AS124),AS34*(1+(VLOOKUP($A35,'MoM Forecasts'!$2:$25,'Unchained Indices'!AS$2,0))))</f>
        <v>100.32883000445455</v>
      </c>
      <c r="AT35">
        <f>IF($B35=TRUE,AT34*(1+AT124),AT34*(1+(VLOOKUP($A35,'MoM Forecasts'!$2:$25,'Unchained Indices'!AT$2,0))))</f>
        <v>100.22597578198237</v>
      </c>
      <c r="AU35">
        <f>IF($B35=TRUE,AU34*(1+AU124),AU34*(1+(VLOOKUP($A35,'MoM Forecasts'!$2:$25,'Unchained Indices'!AU$2,0))))</f>
        <v>100.39860252443145</v>
      </c>
      <c r="AV35">
        <f>IF($B35=TRUE,AV34*(1+AV124),AV34*(1+(VLOOKUP($A35,'MoM Forecasts'!$2:$25,'Unchained Indices'!AV$2,0))))</f>
        <v>100.35151110131775</v>
      </c>
      <c r="AW35">
        <f>IF($B35=TRUE,AW34*(1+AW124),AW34*(1+(VLOOKUP($A35,'MoM Forecasts'!$2:$25,'Unchained Indices'!AW$2,0))))</f>
        <v>100.33140363895468</v>
      </c>
      <c r="AX35">
        <f>IF($B35=TRUE,AX34*(1+AX124),AX34*(1+(VLOOKUP($A35,'MoM Forecasts'!$2:$25,'Unchained Indices'!AX$2,0))))</f>
        <v>101.974039405846</v>
      </c>
      <c r="AY35">
        <f>IF($B35=TRUE,AY34*(1+AY124),AY34*(1+(VLOOKUP($A35,'MoM Forecasts'!$2:$25,'Unchained Indices'!AY$2,0))))</f>
        <v>100.42826876546123</v>
      </c>
      <c r="AZ35">
        <f>IF($B35=TRUE,AZ34*(1+AZ124),AZ34*(1+(VLOOKUP($A35,'MoM Forecasts'!$2:$25,'Unchained Indices'!AZ$2,0))))</f>
        <v>100.34797352148496</v>
      </c>
      <c r="BA35">
        <f>IF($B35=TRUE,BA34*(1+BA124),BA34*(1+(VLOOKUP($A35,'MoM Forecasts'!$2:$25,'Unchained Indices'!BA$2,0))))</f>
        <v>100.39011494926001</v>
      </c>
      <c r="BB35">
        <f>IF($B35=TRUE,BB34*(1+BB124),BB34*(1+(VLOOKUP($A35,'MoM Forecasts'!$2:$25,'Unchained Indices'!BB$2,0))))</f>
        <v>100.39511229725137</v>
      </c>
      <c r="BC35">
        <f>IF($B35=TRUE,BC34*(1+BC124),BC34*(1+(VLOOKUP($A35,'MoM Forecasts'!$2:$25,'Unchained Indices'!BC$2,0))))</f>
        <v>100.23660591601295</v>
      </c>
      <c r="BD35">
        <f>IF($B35=TRUE,BD34*(1+BD124),BD34*(1+(VLOOKUP($A35,'MoM Forecasts'!$2:$25,'Unchained Indices'!BD$2,0))))</f>
        <v>100.26658232851301</v>
      </c>
      <c r="BE35">
        <f>IF($B35=TRUE,BE34*(1+BE124),BE34*(1+(VLOOKUP($A35,'MoM Forecasts'!$2:$25,'Unchained Indices'!BE$2,0))))</f>
        <v>100.32683625506137</v>
      </c>
      <c r="BF35">
        <f>IF($B35=TRUE,BF34*(1+BF124),BF34*(1+(VLOOKUP($A35,'MoM Forecasts'!$2:$25,'Unchained Indices'!BF$2,0))))</f>
        <v>100.2306628493091</v>
      </c>
      <c r="BG35">
        <f>IF($B35=TRUE,BG34*(1+BG124),BG34*(1+(VLOOKUP($A35,'MoM Forecasts'!$2:$25,'Unchained Indices'!BG$2,0))))</f>
        <v>100.26279380227248</v>
      </c>
      <c r="BH35">
        <f>IF($B35=TRUE,BH34*(1+BH124),BH34*(1+(VLOOKUP($A35,'MoM Forecasts'!$2:$25,'Unchained Indices'!BH$2,0))))</f>
        <v>101.70854174834344</v>
      </c>
      <c r="BI35">
        <f>IF($B35=TRUE,BI34*(1+BI124),BI34*(1+(VLOOKUP($A35,'MoM Forecasts'!$2:$25,'Unchained Indices'!BI$2,0))))</f>
        <v>100.25520751675927</v>
      </c>
      <c r="BJ35">
        <f>IF($B35=TRUE,BJ34*(1+BJ124),BJ34*(1+(VLOOKUP($A35,'MoM Forecasts'!$2:$25,'Unchained Indices'!BJ$2,0))))</f>
        <v>100.25687084969486</v>
      </c>
      <c r="BK35">
        <f>IF($B35=TRUE,BK34*(1+BK124),BK34*(1+(VLOOKUP($A35,'MoM Forecasts'!$2:$25,'Unchained Indices'!BK$2,0))))</f>
        <v>99.780997192931267</v>
      </c>
      <c r="BL35">
        <f>IF($B35=TRUE,BL34*(1+BL124),BL34*(1+(VLOOKUP($A35,'MoM Forecasts'!$2:$25,'Unchained Indices'!BL$2,0))))</f>
        <v>100.20344616544462</v>
      </c>
      <c r="BM35">
        <f>IF($B35=TRUE,BM34*(1+BM124),BM34*(1+(VLOOKUP($A35,'MoM Forecasts'!$2:$25,'Unchained Indices'!BM$2,0))))</f>
        <v>100.21363409895052</v>
      </c>
      <c r="BN35">
        <f>IF($B35=TRUE,BN34*(1+BN124),BN34*(1+(VLOOKUP($A35,'MoM Forecasts'!$2:$25,'Unchained Indices'!BN$2,0))))</f>
        <v>100.28747092266073</v>
      </c>
      <c r="BO35">
        <f>IF($B35=TRUE,BO34*(1+BO124),BO34*(1+(VLOOKUP($A35,'MoM Forecasts'!$2:$25,'Unchained Indices'!BO$2,0))))</f>
        <v>100.35627042196127</v>
      </c>
      <c r="BP35">
        <f>IF($B35=TRUE,BP34*(1+BP124),BP34*(1+(VLOOKUP($A35,'MoM Forecasts'!$2:$25,'Unchained Indices'!BP$2,0))))</f>
        <v>99.992604990688463</v>
      </c>
      <c r="BQ35">
        <f>IF($B35=TRUE,BQ34*(1+BQ124),BQ34*(1+(VLOOKUP($A35,'MoM Forecasts'!$2:$25,'Unchained Indices'!BQ$2,0))))</f>
        <v>100.35885523832714</v>
      </c>
      <c r="BR35">
        <f>IF($B35=TRUE,BR34*(1+BR124),BR34*(1+(VLOOKUP($A35,'MoM Forecasts'!$2:$25,'Unchained Indices'!BR$2,0))))</f>
        <v>100.37189751468462</v>
      </c>
      <c r="BS35">
        <f>IF($B35=TRUE,BS34*(1+BS124),BS34*(1+(VLOOKUP($A35,'MoM Forecasts'!$2:$25,'Unchained Indices'!BS$2,0))))</f>
        <v>100.13846517746479</v>
      </c>
      <c r="BT35">
        <f>IF($B35=TRUE,BT34*(1+BT124),BT34*(1+(VLOOKUP($A35,'MoM Forecasts'!$2:$25,'Unchained Indices'!BT$2,0))))</f>
        <v>100.06217857657629</v>
      </c>
      <c r="BU35">
        <f>IF($B35=TRUE,BU34*(1+BU124),BU34*(1+(VLOOKUP($A35,'MoM Forecasts'!$2:$25,'Unchained Indices'!BU$2,0))))</f>
        <v>100.12469625642602</v>
      </c>
      <c r="BV35">
        <f>IF($B35=TRUE,BV34*(1+BV124),BV34*(1+(VLOOKUP($A35,'MoM Forecasts'!$2:$25,'Unchained Indices'!BV$2,0))))</f>
        <v>100.20923975073987</v>
      </c>
      <c r="BW35">
        <f>IF($B35=TRUE,BW34*(1+BW124),BW34*(1+(VLOOKUP($A35,'MoM Forecasts'!$2:$25,'Unchained Indices'!BW$2,0))))</f>
        <v>100.10273857592328</v>
      </c>
      <c r="BX35">
        <f>IF($B35=TRUE,BX34*(1+BX124),BX34*(1+(VLOOKUP($A35,'MoM Forecasts'!$2:$25,'Unchained Indices'!BX$2,0))))</f>
        <v>100.24002409148052</v>
      </c>
      <c r="BY35">
        <f>IF($B35=TRUE,BY34*(1+BY124),BY34*(1+(VLOOKUP($A35,'MoM Forecasts'!$2:$25,'Unchained Indices'!BY$2,0))))</f>
        <v>100.22662314224475</v>
      </c>
      <c r="BZ35">
        <f>IF($B35=TRUE,BZ34*(1+BZ124),BZ34*(1+(VLOOKUP($A35,'MoM Forecasts'!$2:$25,'Unchained Indices'!BZ$2,0))))</f>
        <v>100.37385722698653</v>
      </c>
      <c r="CA35">
        <f>IF($B35=TRUE,CA34*(1+CA124),CA34*(1+(VLOOKUP($A35,'MoM Forecasts'!$2:$25,'Unchained Indices'!CA$2,0))))</f>
        <v>99.84653823329171</v>
      </c>
      <c r="CB35">
        <f>IF($B35=TRUE,CB34*(1+CB124),CB34*(1+(VLOOKUP($A35,'MoM Forecasts'!$2:$25,'Unchained Indices'!CB$2,0))))</f>
        <v>100.36631223389705</v>
      </c>
      <c r="CC35">
        <f>IF($B35=TRUE,CC34*(1+CC124),CC34*(1+(VLOOKUP($A35,'MoM Forecasts'!$2:$25,'Unchained Indices'!CC$2,0))))</f>
        <v>100.28607553556334</v>
      </c>
      <c r="CD35">
        <f>IF($B35=TRUE,CD34*(1+CD124),CD34*(1+(VLOOKUP($A35,'MoM Forecasts'!$2:$25,'Unchained Indices'!CD$2,0))))</f>
        <v>100.35077864155505</v>
      </c>
      <c r="CE35">
        <f>IF($B35=TRUE,CE34*(1+CE124),CE34*(1+(VLOOKUP($A35,'MoM Forecasts'!$2:$25,'Unchained Indices'!CE$2,0))))</f>
        <v>100.35271437437264</v>
      </c>
      <c r="CF35">
        <f>IF($B35=TRUE,CF34*(1+CF124),CF34*(1+(VLOOKUP($A35,'MoM Forecasts'!$2:$25,'Unchained Indices'!CF$2,0))))</f>
        <v>100.34505382606804</v>
      </c>
      <c r="CG35">
        <f>IF($B35=TRUE,CG34*(1+CG124),CG34*(1+(VLOOKUP($A35,'MoM Forecasts'!$2:$25,'Unchained Indices'!CG$2,0))))</f>
        <v>100.31055651221853</v>
      </c>
      <c r="CH35">
        <f>IF($B35=TRUE,CH34*(1+CH124),CH34*(1+(VLOOKUP($A35,'MoM Forecasts'!$2:$25,'Unchained Indices'!CH$2,0))))</f>
        <v>88.106049533901142</v>
      </c>
      <c r="CI35">
        <f>IF($B35=TRUE,CI34*(1+CI124),CI34*(1+(VLOOKUP($A35,'MoM Forecasts'!$2:$25,'Unchained Indices'!CI$2,0))))</f>
        <v>102.42341242678359</v>
      </c>
      <c r="CJ35">
        <f>IF($B35=TRUE,CJ34*(1+CJ124),CJ34*(1+(VLOOKUP($A35,'MoM Forecasts'!$2:$25,'Unchained Indices'!CJ$2,0))))</f>
        <v>99.838212104099881</v>
      </c>
      <c r="CK35">
        <f>IF($B35=TRUE,CK34*(1+CK124),CK34*(1+(VLOOKUP($A35,'MoM Forecasts'!$2:$25,'Unchained Indices'!CK$2,0))))</f>
        <v>100.31931795917103</v>
      </c>
      <c r="CL35">
        <f>IF($B35=TRUE,CL34*(1+CL124),CL34*(1+(VLOOKUP($A35,'MoM Forecasts'!$2:$25,'Unchained Indices'!CL$2,0))))</f>
        <v>100.15835342109223</v>
      </c>
      <c r="CM35">
        <f>IF($B35=TRUE,CM34*(1+CM124),CM34*(1+(VLOOKUP($A35,'MoM Forecasts'!$2:$25,'Unchained Indices'!CM$2,0))))</f>
        <v>100.2677452007495</v>
      </c>
      <c r="CN35">
        <f>IF($B35=TRUE,CN34*(1+CN124),CN34*(1+(VLOOKUP($A35,'MoM Forecasts'!$2:$25,'Unchained Indices'!CN$2,0))))</f>
        <v>100.38910448662982</v>
      </c>
      <c r="CO35">
        <f>IF($B35=TRUE,CO34*(1+CO124),CO34*(1+(VLOOKUP($A35,'MoM Forecasts'!$2:$25,'Unchained Indices'!CO$2,0))))</f>
        <v>100.36840000804759</v>
      </c>
      <c r="CP35">
        <f>IF($B35=TRUE,CP34*(1+CP124),CP34*(1+(VLOOKUP($A35,'MoM Forecasts'!$2:$25,'Unchained Indices'!CP$2,0))))</f>
        <v>100.35317500587286</v>
      </c>
    </row>
    <row r="36" spans="1:94" x14ac:dyDescent="0.25">
      <c r="A36" s="6">
        <f t="shared" si="4"/>
        <v>45444</v>
      </c>
      <c r="B36" s="8" t="str">
        <f>IF(A36&lt;'MoM Forecasts'!$A$2,TRUE,"")</f>
        <v/>
      </c>
      <c r="C36" s="7">
        <f t="shared" si="5"/>
        <v>45292</v>
      </c>
      <c r="D36">
        <f>IF($B36=TRUE,D35*(1+D125),D35*(1+(VLOOKUP($A36,'MoM Forecasts'!$2:$25,'Unchained Indices'!D$2,0))))</f>
        <v>100.32516936541626</v>
      </c>
      <c r="E36">
        <f>IF($B36=TRUE,E35*(1+E125),E35*(1+(VLOOKUP($A36,'MoM Forecasts'!$2:$25,'Unchained Indices'!E$2,0))))</f>
        <v>100.29049627490544</v>
      </c>
      <c r="F36">
        <f>IF($B36=TRUE,F35*(1+F125),F35*(1+(VLOOKUP($A36,'MoM Forecasts'!$2:$25,'Unchained Indices'!F$2,0))))</f>
        <v>100.33685065022749</v>
      </c>
      <c r="G36">
        <f>IF($B36=TRUE,G35*(1+G125),G35*(1+(VLOOKUP($A36,'MoM Forecasts'!$2:$25,'Unchained Indices'!G$2,0))))</f>
        <v>100.31009554081146</v>
      </c>
      <c r="H36">
        <f>IF($B36=TRUE,H35*(1+H125),H35*(1+(VLOOKUP($A36,'MoM Forecasts'!$2:$25,'Unchained Indices'!H$2,0))))</f>
        <v>100.40616894916296</v>
      </c>
      <c r="I36">
        <f>IF($B36=TRUE,I35*(1+I125),I35*(1+(VLOOKUP($A36,'MoM Forecasts'!$2:$25,'Unchained Indices'!I$2,0))))</f>
        <v>100.40573340887387</v>
      </c>
      <c r="J36">
        <f>IF($B36=TRUE,J35*(1+J125),J35*(1+(VLOOKUP($A36,'MoM Forecasts'!$2:$25,'Unchained Indices'!J$2,0))))</f>
        <v>100.34795082364505</v>
      </c>
      <c r="K36">
        <f>IF($B36=TRUE,K35*(1+K125),K35*(1+(VLOOKUP($A36,'MoM Forecasts'!$2:$25,'Unchained Indices'!K$2,0))))</f>
        <v>100.31149637740381</v>
      </c>
      <c r="L36">
        <f>IF($B36=TRUE,L35*(1+L125),L35*(1+(VLOOKUP($A36,'MoM Forecasts'!$2:$25,'Unchained Indices'!L$2,0))))</f>
        <v>100.12643227155192</v>
      </c>
      <c r="M36">
        <f>IF($B36=TRUE,M35*(1+M125),M35*(1+(VLOOKUP($A36,'MoM Forecasts'!$2:$25,'Unchained Indices'!M$2,0))))</f>
        <v>100.27497669187366</v>
      </c>
      <c r="N36">
        <f>IF($B36=TRUE,N35*(1+N125),N35*(1+(VLOOKUP($A36,'MoM Forecasts'!$2:$25,'Unchained Indices'!N$2,0))))</f>
        <v>100.38686147202205</v>
      </c>
      <c r="O36">
        <f>IF($B36=TRUE,O35*(1+O125),O35*(1+(VLOOKUP($A36,'MoM Forecasts'!$2:$25,'Unchained Indices'!O$2,0))))</f>
        <v>100.39008541704187</v>
      </c>
      <c r="P36">
        <f>IF($B36=TRUE,P35*(1+P125),P35*(1+(VLOOKUP($A36,'MoM Forecasts'!$2:$25,'Unchained Indices'!P$2,0))))</f>
        <v>100.37784689492341</v>
      </c>
      <c r="Q36">
        <f>IF($B36=TRUE,Q35*(1+Q125),Q35*(1+(VLOOKUP($A36,'MoM Forecasts'!$2:$25,'Unchained Indices'!Q$2,0))))</f>
        <v>100.38352824719401</v>
      </c>
      <c r="R36">
        <f>IF($B36=TRUE,R35*(1+R125),R35*(1+(VLOOKUP($A36,'MoM Forecasts'!$2:$25,'Unchained Indices'!R$2,0))))</f>
        <v>100.26182872230893</v>
      </c>
      <c r="S36">
        <f>IF($B36=TRUE,S35*(1+S125),S35*(1+(VLOOKUP($A36,'MoM Forecasts'!$2:$25,'Unchained Indices'!S$2,0))))</f>
        <v>100.3498528644504</v>
      </c>
      <c r="T36">
        <f>IF($B36=TRUE,T35*(1+T125),T35*(1+(VLOOKUP($A36,'MoM Forecasts'!$2:$25,'Unchained Indices'!T$2,0))))</f>
        <v>100.38525772989679</v>
      </c>
      <c r="U36">
        <f>IF($B36=TRUE,U35*(1+U125),U35*(1+(VLOOKUP($A36,'MoM Forecasts'!$2:$25,'Unchained Indices'!U$2,0))))</f>
        <v>100.31387744552609</v>
      </c>
      <c r="V36">
        <f>IF($B36=TRUE,V35*(1+V125),V35*(1+(VLOOKUP($A36,'MoM Forecasts'!$2:$25,'Unchained Indices'!V$2,0))))</f>
        <v>100.23384430433836</v>
      </c>
      <c r="W36">
        <f>IF($B36=TRUE,W35*(1+W125),W35*(1+(VLOOKUP($A36,'MoM Forecasts'!$2:$25,'Unchained Indices'!W$2,0))))</f>
        <v>100.29877357011159</v>
      </c>
      <c r="X36">
        <f>IF($B36=TRUE,X35*(1+X125),X35*(1+(VLOOKUP($A36,'MoM Forecasts'!$2:$25,'Unchained Indices'!X$2,0))))</f>
        <v>100.30915646941376</v>
      </c>
      <c r="Y36">
        <f>IF($B36=TRUE,Y35*(1+Y125),Y35*(1+(VLOOKUP($A36,'MoM Forecasts'!$2:$25,'Unchained Indices'!Y$2,0))))</f>
        <v>100.31966212639846</v>
      </c>
      <c r="Z36">
        <f>IF($B36=TRUE,Z35*(1+Z125),Z35*(1+(VLOOKUP($A36,'MoM Forecasts'!$2:$25,'Unchained Indices'!Z$2,0))))</f>
        <v>100.25580335670261</v>
      </c>
      <c r="AA36">
        <f>IF($B36=TRUE,AA35*(1+AA125),AA35*(1+(VLOOKUP($A36,'MoM Forecasts'!$2:$25,'Unchained Indices'!AA$2,0))))</f>
        <v>100.45493407958428</v>
      </c>
      <c r="AB36">
        <f>IF($B36=TRUE,AB35*(1+AB125),AB35*(1+(VLOOKUP($A36,'MoM Forecasts'!$2:$25,'Unchained Indices'!AB$2,0))))</f>
        <v>100.33777062467398</v>
      </c>
      <c r="AC36">
        <f>IF($B36=TRUE,AC35*(1+AC125),AC35*(1+(VLOOKUP($A36,'MoM Forecasts'!$2:$25,'Unchained Indices'!AC$2,0))))</f>
        <v>102.12240365462345</v>
      </c>
      <c r="AD36">
        <f>IF($B36=TRUE,AD35*(1+AD125),AD35*(1+(VLOOKUP($A36,'MoM Forecasts'!$2:$25,'Unchained Indices'!AD$2,0))))</f>
        <v>100.29127532111117</v>
      </c>
      <c r="AE36">
        <f>IF($B36=TRUE,AE35*(1+AE125),AE35*(1+(VLOOKUP($A36,'MoM Forecasts'!$2:$25,'Unchained Indices'!AE$2,0))))</f>
        <v>99.522993547006507</v>
      </c>
      <c r="AF36">
        <f>IF($B36=TRUE,AF35*(1+AF125),AF35*(1+(VLOOKUP($A36,'MoM Forecasts'!$2:$25,'Unchained Indices'!AF$2,0))))</f>
        <v>97.185336932585514</v>
      </c>
      <c r="AG36">
        <f>IF($B36=TRUE,AG35*(1+AG125),AG35*(1+(VLOOKUP($A36,'MoM Forecasts'!$2:$25,'Unchained Indices'!AG$2,0))))</f>
        <v>100.36618272776613</v>
      </c>
      <c r="AH36">
        <f>IF($B36=TRUE,AH35*(1+AH125),AH35*(1+(VLOOKUP($A36,'MoM Forecasts'!$2:$25,'Unchained Indices'!AH$2,0))))</f>
        <v>100.32932968937342</v>
      </c>
      <c r="AI36">
        <f>IF($B36=TRUE,AI35*(1+AI125),AI35*(1+(VLOOKUP($A36,'MoM Forecasts'!$2:$25,'Unchained Indices'!AI$2,0))))</f>
        <v>97.54683592010943</v>
      </c>
      <c r="AJ36">
        <f>IF($B36=TRUE,AJ35*(1+AJ125),AJ35*(1+(VLOOKUP($A36,'MoM Forecasts'!$2:$25,'Unchained Indices'!AJ$2,0))))</f>
        <v>100.39273471485701</v>
      </c>
      <c r="AK36">
        <f>IF($B36=TRUE,AK35*(1+AK125),AK35*(1+(VLOOKUP($A36,'MoM Forecasts'!$2:$25,'Unchained Indices'!AK$2,0))))</f>
        <v>100.24922536657704</v>
      </c>
      <c r="AL36">
        <f>IF($B36=TRUE,AL35*(1+AL125),AL35*(1+(VLOOKUP($A36,'MoM Forecasts'!$2:$25,'Unchained Indices'!AL$2,0))))</f>
        <v>100.3922054722764</v>
      </c>
      <c r="AM36">
        <f>IF($B36=TRUE,AM35*(1+AM125),AM35*(1+(VLOOKUP($A36,'MoM Forecasts'!$2:$25,'Unchained Indices'!AM$2,0))))</f>
        <v>100.44963466265014</v>
      </c>
      <c r="AN36">
        <f>IF($B36=TRUE,AN35*(1+AN125),AN35*(1+(VLOOKUP($A36,'MoM Forecasts'!$2:$25,'Unchained Indices'!AN$2,0))))</f>
        <v>100.38121537387084</v>
      </c>
      <c r="AO36">
        <f>IF($B36=TRUE,AO35*(1+AO125),AO35*(1+(VLOOKUP($A36,'MoM Forecasts'!$2:$25,'Unchained Indices'!AO$2,0))))</f>
        <v>100.3958796961451</v>
      </c>
      <c r="AP36">
        <f>IF($B36=TRUE,AP35*(1+AP125),AP35*(1+(VLOOKUP($A36,'MoM Forecasts'!$2:$25,'Unchained Indices'!AP$2,0))))</f>
        <v>100.41773509758094</v>
      </c>
      <c r="AQ36">
        <f>IF($B36=TRUE,AQ35*(1+AQ125),AQ35*(1+(VLOOKUP($A36,'MoM Forecasts'!$2:$25,'Unchained Indices'!AQ$2,0))))</f>
        <v>100.17561182438889</v>
      </c>
      <c r="AR36">
        <f>IF($B36=TRUE,AR35*(1+AR125),AR35*(1+(VLOOKUP($A36,'MoM Forecasts'!$2:$25,'Unchained Indices'!AR$2,0))))</f>
        <v>100.36063465384612</v>
      </c>
      <c r="AS36">
        <f>IF($B36=TRUE,AS35*(1+AS125),AS35*(1+(VLOOKUP($A36,'MoM Forecasts'!$2:$25,'Unchained Indices'!AS$2,0))))</f>
        <v>100.41103750556817</v>
      </c>
      <c r="AT36">
        <f>IF($B36=TRUE,AT35*(1+AT125),AT35*(1+(VLOOKUP($A36,'MoM Forecasts'!$2:$25,'Unchained Indices'!AT$2,0))))</f>
        <v>100.28246972747796</v>
      </c>
      <c r="AU36">
        <f>IF($B36=TRUE,AU35*(1+AU125),AU35*(1+(VLOOKUP($A36,'MoM Forecasts'!$2:$25,'Unchained Indices'!AU$2,0))))</f>
        <v>100.4982531555393</v>
      </c>
      <c r="AV36">
        <f>IF($B36=TRUE,AV35*(1+AV125),AV35*(1+(VLOOKUP($A36,'MoM Forecasts'!$2:$25,'Unchained Indices'!AV$2,0))))</f>
        <v>100.43938887664719</v>
      </c>
      <c r="AW36">
        <f>IF($B36=TRUE,AW35*(1+AW125),AW35*(1+(VLOOKUP($A36,'MoM Forecasts'!$2:$25,'Unchained Indices'!AW$2,0))))</f>
        <v>100.41425454869336</v>
      </c>
      <c r="AX36">
        <f>IF($B36=TRUE,AX35*(1+AX125),AX35*(1+(VLOOKUP($A36,'MoM Forecasts'!$2:$25,'Unchained Indices'!AX$2,0))))</f>
        <v>102.02082315890593</v>
      </c>
      <c r="AY36">
        <f>IF($B36=TRUE,AY35*(1+AY125),AY35*(1+(VLOOKUP($A36,'MoM Forecasts'!$2:$25,'Unchained Indices'!AY$2,0))))</f>
        <v>100.53533595682653</v>
      </c>
      <c r="AZ36">
        <f>IF($B36=TRUE,AZ35*(1+AZ125),AZ35*(1+(VLOOKUP($A36,'MoM Forecasts'!$2:$25,'Unchained Indices'!AZ$2,0))))</f>
        <v>100.4349669018562</v>
      </c>
      <c r="BA36">
        <f>IF($B36=TRUE,BA35*(1+BA125),BA35*(1+(VLOOKUP($A36,'MoM Forecasts'!$2:$25,'Unchained Indices'!BA$2,0))))</f>
        <v>100.48764368657503</v>
      </c>
      <c r="BB36">
        <f>IF($B36=TRUE,BB35*(1+BB125),BB35*(1+(VLOOKUP($A36,'MoM Forecasts'!$2:$25,'Unchained Indices'!BB$2,0))))</f>
        <v>100.49389037156422</v>
      </c>
      <c r="BC36">
        <f>IF($B36=TRUE,BC35*(1+BC125),BC35*(1+(VLOOKUP($A36,'MoM Forecasts'!$2:$25,'Unchained Indices'!BC$2,0))))</f>
        <v>100.2957573950162</v>
      </c>
      <c r="BD36">
        <f>IF($B36=TRUE,BD35*(1+BD125),BD35*(1+(VLOOKUP($A36,'MoM Forecasts'!$2:$25,'Unchained Indices'!BD$2,0))))</f>
        <v>100.33322791064127</v>
      </c>
      <c r="BE36">
        <f>IF($B36=TRUE,BE35*(1+BE125),BE35*(1+(VLOOKUP($A36,'MoM Forecasts'!$2:$25,'Unchained Indices'!BE$2,0))))</f>
        <v>100.40854531882668</v>
      </c>
      <c r="BF36">
        <f>IF($B36=TRUE,BF35*(1+BF125),BF35*(1+(VLOOKUP($A36,'MoM Forecasts'!$2:$25,'Unchained Indices'!BF$2,0))))</f>
        <v>100.28832856163639</v>
      </c>
      <c r="BG36">
        <f>IF($B36=TRUE,BG35*(1+BG125),BG35*(1+(VLOOKUP($A36,'MoM Forecasts'!$2:$25,'Unchained Indices'!BG$2,0))))</f>
        <v>100.32849225284062</v>
      </c>
      <c r="BH36">
        <f>IF($B36=TRUE,BH35*(1+BH125),BH35*(1+(VLOOKUP($A36,'MoM Forecasts'!$2:$25,'Unchained Indices'!BH$2,0))))</f>
        <v>106.06221344503348</v>
      </c>
      <c r="BI36">
        <f>IF($B36=TRUE,BI35*(1+BI125),BI35*(1+(VLOOKUP($A36,'MoM Forecasts'!$2:$25,'Unchained Indices'!BI$2,0))))</f>
        <v>100.31900939594908</v>
      </c>
      <c r="BJ36">
        <f>IF($B36=TRUE,BJ35*(1+BJ125),BJ35*(1+(VLOOKUP($A36,'MoM Forecasts'!$2:$25,'Unchained Indices'!BJ$2,0))))</f>
        <v>100.32108856211859</v>
      </c>
      <c r="BK36">
        <f>IF($B36=TRUE,BK35*(1+BK125),BK35*(1+(VLOOKUP($A36,'MoM Forecasts'!$2:$25,'Unchained Indices'!BK$2,0))))</f>
        <v>99.726246491164076</v>
      </c>
      <c r="BL36">
        <f>IF($B36=TRUE,BL35*(1+BL125),BL35*(1+(VLOOKUP($A36,'MoM Forecasts'!$2:$25,'Unchained Indices'!BL$2,0))))</f>
        <v>100.25430770680576</v>
      </c>
      <c r="BM36">
        <f>IF($B36=TRUE,BM35*(1+BM125),BM35*(1+(VLOOKUP($A36,'MoM Forecasts'!$2:$25,'Unchained Indices'!BM$2,0))))</f>
        <v>100.26704262368816</v>
      </c>
      <c r="BN36">
        <f>IF($B36=TRUE,BN35*(1+BN125),BN35*(1+(VLOOKUP($A36,'MoM Forecasts'!$2:$25,'Unchained Indices'!BN$2,0))))</f>
        <v>100.35933865332593</v>
      </c>
      <c r="BO36">
        <f>IF($B36=TRUE,BO35*(1+BO125),BO35*(1+(VLOOKUP($A36,'MoM Forecasts'!$2:$25,'Unchained Indices'!BO$2,0))))</f>
        <v>100.44533802745157</v>
      </c>
      <c r="BP36">
        <f>IF($B36=TRUE,BP35*(1+BP125),BP35*(1+(VLOOKUP($A36,'MoM Forecasts'!$2:$25,'Unchained Indices'!BP$2,0))))</f>
        <v>99.990756238360561</v>
      </c>
      <c r="BQ36">
        <f>IF($B36=TRUE,BQ35*(1+BQ125),BQ35*(1+(VLOOKUP($A36,'MoM Forecasts'!$2:$25,'Unchained Indices'!BQ$2,0))))</f>
        <v>100.44856904790892</v>
      </c>
      <c r="BR36">
        <f>IF($B36=TRUE,BR35*(1+BR125),BR35*(1+(VLOOKUP($A36,'MoM Forecasts'!$2:$25,'Unchained Indices'!BR$2,0))))</f>
        <v>100.46487189335579</v>
      </c>
      <c r="BS36">
        <f>IF($B36=TRUE,BS35*(1+BS125),BS35*(1+(VLOOKUP($A36,'MoM Forecasts'!$2:$25,'Unchained Indices'!BS$2,0))))</f>
        <v>100.173081471831</v>
      </c>
      <c r="BT36">
        <f>IF($B36=TRUE,BT35*(1+BT125),BT35*(1+(VLOOKUP($A36,'MoM Forecasts'!$2:$25,'Unchained Indices'!BT$2,0))))</f>
        <v>100.07772322072037</v>
      </c>
      <c r="BU36">
        <f>IF($B36=TRUE,BU35*(1+BU125),BU35*(1+(VLOOKUP($A36,'MoM Forecasts'!$2:$25,'Unchained Indices'!BU$2,0))))</f>
        <v>100.15587032053251</v>
      </c>
      <c r="BV36">
        <f>IF($B36=TRUE,BV35*(1+BV125),BV35*(1+(VLOOKUP($A36,'MoM Forecasts'!$2:$25,'Unchained Indices'!BV$2,0))))</f>
        <v>100.26154968842484</v>
      </c>
      <c r="BW36">
        <f>IF($B36=TRUE,BW35*(1+BW125),BW35*(1+(VLOOKUP($A36,'MoM Forecasts'!$2:$25,'Unchained Indices'!BW$2,0))))</f>
        <v>100.12842321990408</v>
      </c>
      <c r="BX36">
        <f>IF($B36=TRUE,BX35*(1+BX125),BX35*(1+(VLOOKUP($A36,'MoM Forecasts'!$2:$25,'Unchained Indices'!BX$2,0))))</f>
        <v>100.30003011435065</v>
      </c>
      <c r="BY36">
        <f>IF($B36=TRUE,BY35*(1+BY125),BY35*(1+(VLOOKUP($A36,'MoM Forecasts'!$2:$25,'Unchained Indices'!BY$2,0))))</f>
        <v>100.28327892780592</v>
      </c>
      <c r="BZ36">
        <f>IF($B36=TRUE,BZ35*(1+BZ125),BZ35*(1+(VLOOKUP($A36,'MoM Forecasts'!$2:$25,'Unchained Indices'!BZ$2,0))))</f>
        <v>100.46732153373314</v>
      </c>
      <c r="CA36">
        <f>IF($B36=TRUE,CA35*(1+CA125),CA35*(1+(VLOOKUP($A36,'MoM Forecasts'!$2:$25,'Unchained Indices'!CA$2,0))))</f>
        <v>99.808172791614638</v>
      </c>
      <c r="CB36">
        <f>IF($B36=TRUE,CB35*(1+CB125),CB35*(1+(VLOOKUP($A36,'MoM Forecasts'!$2:$25,'Unchained Indices'!CB$2,0))))</f>
        <v>100.4578902923713</v>
      </c>
      <c r="CC36">
        <f>IF($B36=TRUE,CC35*(1+CC125),CC35*(1+(VLOOKUP($A36,'MoM Forecasts'!$2:$25,'Unchained Indices'!CC$2,0))))</f>
        <v>100.3575944194542</v>
      </c>
      <c r="CD36">
        <f>IF($B36=TRUE,CD35*(1+CD125),CD35*(1+(VLOOKUP($A36,'MoM Forecasts'!$2:$25,'Unchained Indices'!CD$2,0))))</f>
        <v>100.43847330194383</v>
      </c>
      <c r="CE36">
        <f>IF($B36=TRUE,CE35*(1+CE125),CE35*(1+(VLOOKUP($A36,'MoM Forecasts'!$2:$25,'Unchained Indices'!CE$2,0))))</f>
        <v>100.44089296796581</v>
      </c>
      <c r="CF36">
        <f>IF($B36=TRUE,CF35*(1+CF125),CF35*(1+(VLOOKUP($A36,'MoM Forecasts'!$2:$25,'Unchained Indices'!CF$2,0))))</f>
        <v>100.43131728258503</v>
      </c>
      <c r="CG36">
        <f>IF($B36=TRUE,CG35*(1+CG125),CG35*(1+(VLOOKUP($A36,'MoM Forecasts'!$2:$25,'Unchained Indices'!CG$2,0))))</f>
        <v>100.88418591418055</v>
      </c>
      <c r="CH36">
        <f>IF($B36=TRUE,CH35*(1+CH125),CH35*(1+(VLOOKUP($A36,'MoM Forecasts'!$2:$25,'Unchained Indices'!CH$2,0))))</f>
        <v>85.132561917376435</v>
      </c>
      <c r="CI36">
        <f>IF($B36=TRUE,CI35*(1+CI125),CI35*(1+(VLOOKUP($A36,'MoM Forecasts'!$2:$25,'Unchained Indices'!CI$2,0))))</f>
        <v>102.75917714955162</v>
      </c>
      <c r="CJ36">
        <f>IF($B36=TRUE,CJ35*(1+CJ125),CJ35*(1+(VLOOKUP($A36,'MoM Forecasts'!$2:$25,'Unchained Indices'!CJ$2,0))))</f>
        <v>99.797765130124844</v>
      </c>
      <c r="CK36">
        <f>IF($B36=TRUE,CK35*(1+CK125),CK35*(1+(VLOOKUP($A36,'MoM Forecasts'!$2:$25,'Unchained Indices'!CK$2,0))))</f>
        <v>100.39914744896377</v>
      </c>
      <c r="CL36">
        <f>IF($B36=TRUE,CL35*(1+CL125),CL35*(1+(VLOOKUP($A36,'MoM Forecasts'!$2:$25,'Unchained Indices'!CL$2,0))))</f>
        <v>100.19794177636528</v>
      </c>
      <c r="CM36">
        <f>IF($B36=TRUE,CM35*(1+CM125),CM35*(1+(VLOOKUP($A36,'MoM Forecasts'!$2:$25,'Unchained Indices'!CM$2,0))))</f>
        <v>100.33468150093688</v>
      </c>
      <c r="CN36">
        <f>IF($B36=TRUE,CN35*(1+CN125),CN35*(1+(VLOOKUP($A36,'MoM Forecasts'!$2:$25,'Unchained Indices'!CN$2,0))))</f>
        <v>100.48638060828729</v>
      </c>
      <c r="CO36">
        <f>IF($B36=TRUE,CO35*(1+CO125),CO35*(1+(VLOOKUP($A36,'MoM Forecasts'!$2:$25,'Unchained Indices'!CO$2,0))))</f>
        <v>100.46050001005948</v>
      </c>
      <c r="CP36">
        <f>IF($B36=TRUE,CP35*(1+CP125),CP35*(1+(VLOOKUP($A36,'MoM Forecasts'!$2:$25,'Unchained Indices'!CP$2,0))))</f>
        <v>100.44146875734107</v>
      </c>
    </row>
    <row r="37" spans="1:94" x14ac:dyDescent="0.25">
      <c r="A37" s="6">
        <f t="shared" si="4"/>
        <v>45474</v>
      </c>
      <c r="B37" s="8" t="str">
        <f>IF(A37&lt;'MoM Forecasts'!$A$2,TRUE,"")</f>
        <v/>
      </c>
      <c r="C37" s="7">
        <f t="shared" si="5"/>
        <v>45292</v>
      </c>
      <c r="D37" t="e">
        <f>IF($B37=TRUE,D36*(1+D126),D36*(1+(VLOOKUP($A37,'MoM Forecasts'!$2:$25,'Unchained Indices'!D$2,0))))</f>
        <v>#N/A</v>
      </c>
      <c r="E37" t="e">
        <f>IF($B37=TRUE,E36*(1+E126),E36*(1+(VLOOKUP($A37,'MoM Forecasts'!$2:$25,'Unchained Indices'!E$2,0))))</f>
        <v>#N/A</v>
      </c>
      <c r="F37" t="e">
        <f>IF($B37=TRUE,F36*(1+F126),F36*(1+(VLOOKUP($A37,'MoM Forecasts'!$2:$25,'Unchained Indices'!F$2,0))))</f>
        <v>#N/A</v>
      </c>
      <c r="G37" t="e">
        <f>IF($B37=TRUE,G36*(1+G126),G36*(1+(VLOOKUP($A37,'MoM Forecasts'!$2:$25,'Unchained Indices'!G$2,0))))</f>
        <v>#N/A</v>
      </c>
      <c r="H37" t="e">
        <f>IF($B37=TRUE,H36*(1+H126),H36*(1+(VLOOKUP($A37,'MoM Forecasts'!$2:$25,'Unchained Indices'!H$2,0))))</f>
        <v>#N/A</v>
      </c>
      <c r="I37" t="e">
        <f>IF($B37=TRUE,I36*(1+I126),I36*(1+(VLOOKUP($A37,'MoM Forecasts'!$2:$25,'Unchained Indices'!I$2,0))))</f>
        <v>#N/A</v>
      </c>
      <c r="J37" t="e">
        <f>IF($B37=TRUE,J36*(1+J126),J36*(1+(VLOOKUP($A37,'MoM Forecasts'!$2:$25,'Unchained Indices'!J$2,0))))</f>
        <v>#N/A</v>
      </c>
      <c r="K37" t="e">
        <f>IF($B37=TRUE,K36*(1+K126),K36*(1+(VLOOKUP($A37,'MoM Forecasts'!$2:$25,'Unchained Indices'!K$2,0))))</f>
        <v>#N/A</v>
      </c>
      <c r="L37" t="e">
        <f>IF($B37=TRUE,L36*(1+L126),L36*(1+(VLOOKUP($A37,'MoM Forecasts'!$2:$25,'Unchained Indices'!L$2,0))))</f>
        <v>#N/A</v>
      </c>
      <c r="M37" t="e">
        <f>IF($B37=TRUE,M36*(1+M126),M36*(1+(VLOOKUP($A37,'MoM Forecasts'!$2:$25,'Unchained Indices'!M$2,0))))</f>
        <v>#N/A</v>
      </c>
      <c r="N37" t="e">
        <f>IF($B37=TRUE,N36*(1+N126),N36*(1+(VLOOKUP($A37,'MoM Forecasts'!$2:$25,'Unchained Indices'!N$2,0))))</f>
        <v>#N/A</v>
      </c>
      <c r="O37" t="e">
        <f>IF($B37=TRUE,O36*(1+O126),O36*(1+(VLOOKUP($A37,'MoM Forecasts'!$2:$25,'Unchained Indices'!O$2,0))))</f>
        <v>#N/A</v>
      </c>
      <c r="P37" t="e">
        <f>IF($B37=TRUE,P36*(1+P126),P36*(1+(VLOOKUP($A37,'MoM Forecasts'!$2:$25,'Unchained Indices'!P$2,0))))</f>
        <v>#N/A</v>
      </c>
      <c r="Q37" t="e">
        <f>IF($B37=TRUE,Q36*(1+Q126),Q36*(1+(VLOOKUP($A37,'MoM Forecasts'!$2:$25,'Unchained Indices'!Q$2,0))))</f>
        <v>#N/A</v>
      </c>
      <c r="R37" t="e">
        <f>IF($B37=TRUE,R36*(1+R126),R36*(1+(VLOOKUP($A37,'MoM Forecasts'!$2:$25,'Unchained Indices'!R$2,0))))</f>
        <v>#N/A</v>
      </c>
      <c r="S37" t="e">
        <f>IF($B37=TRUE,S36*(1+S126),S36*(1+(VLOOKUP($A37,'MoM Forecasts'!$2:$25,'Unchained Indices'!S$2,0))))</f>
        <v>#N/A</v>
      </c>
      <c r="T37" t="e">
        <f>IF($B37=TRUE,T36*(1+T126),T36*(1+(VLOOKUP($A37,'MoM Forecasts'!$2:$25,'Unchained Indices'!T$2,0))))</f>
        <v>#N/A</v>
      </c>
      <c r="U37" t="e">
        <f>IF($B37=TRUE,U36*(1+U126),U36*(1+(VLOOKUP($A37,'MoM Forecasts'!$2:$25,'Unchained Indices'!U$2,0))))</f>
        <v>#N/A</v>
      </c>
      <c r="V37" t="e">
        <f>IF($B37=TRUE,V36*(1+V126),V36*(1+(VLOOKUP($A37,'MoM Forecasts'!$2:$25,'Unchained Indices'!V$2,0))))</f>
        <v>#N/A</v>
      </c>
      <c r="W37" t="e">
        <f>IF($B37=TRUE,W36*(1+W126),W36*(1+(VLOOKUP($A37,'MoM Forecasts'!$2:$25,'Unchained Indices'!W$2,0))))</f>
        <v>#N/A</v>
      </c>
      <c r="X37" t="e">
        <f>IF($B37=TRUE,X36*(1+X126),X36*(1+(VLOOKUP($A37,'MoM Forecasts'!$2:$25,'Unchained Indices'!X$2,0))))</f>
        <v>#N/A</v>
      </c>
      <c r="Y37" t="e">
        <f>IF($B37=TRUE,Y36*(1+Y126),Y36*(1+(VLOOKUP($A37,'MoM Forecasts'!$2:$25,'Unchained Indices'!Y$2,0))))</f>
        <v>#N/A</v>
      </c>
      <c r="Z37" t="e">
        <f>IF($B37=TRUE,Z36*(1+Z126),Z36*(1+(VLOOKUP($A37,'MoM Forecasts'!$2:$25,'Unchained Indices'!Z$2,0))))</f>
        <v>#N/A</v>
      </c>
      <c r="AA37" t="e">
        <f>IF($B37=TRUE,AA36*(1+AA126),AA36*(1+(VLOOKUP($A37,'MoM Forecasts'!$2:$25,'Unchained Indices'!AA$2,0))))</f>
        <v>#N/A</v>
      </c>
      <c r="AB37" t="e">
        <f>IF($B37=TRUE,AB36*(1+AB126),AB36*(1+(VLOOKUP($A37,'MoM Forecasts'!$2:$25,'Unchained Indices'!AB$2,0))))</f>
        <v>#N/A</v>
      </c>
      <c r="AC37" t="e">
        <f>IF($B37=TRUE,AC36*(1+AC126),AC36*(1+(VLOOKUP($A37,'MoM Forecasts'!$2:$25,'Unchained Indices'!AC$2,0))))</f>
        <v>#N/A</v>
      </c>
      <c r="AD37" t="e">
        <f>IF($B37=TRUE,AD36*(1+AD126),AD36*(1+(VLOOKUP($A37,'MoM Forecasts'!$2:$25,'Unchained Indices'!AD$2,0))))</f>
        <v>#N/A</v>
      </c>
      <c r="AE37" t="e">
        <f>IF($B37=TRUE,AE36*(1+AE126),AE36*(1+(VLOOKUP($A37,'MoM Forecasts'!$2:$25,'Unchained Indices'!AE$2,0))))</f>
        <v>#N/A</v>
      </c>
      <c r="AF37" t="e">
        <f>IF($B37=TRUE,AF36*(1+AF126),AF36*(1+(VLOOKUP($A37,'MoM Forecasts'!$2:$25,'Unchained Indices'!AF$2,0))))</f>
        <v>#N/A</v>
      </c>
      <c r="AG37" t="e">
        <f>IF($B37=TRUE,AG36*(1+AG126),AG36*(1+(VLOOKUP($A37,'MoM Forecasts'!$2:$25,'Unchained Indices'!AG$2,0))))</f>
        <v>#N/A</v>
      </c>
      <c r="AH37" t="e">
        <f>IF($B37=TRUE,AH36*(1+AH126),AH36*(1+(VLOOKUP($A37,'MoM Forecasts'!$2:$25,'Unchained Indices'!AH$2,0))))</f>
        <v>#N/A</v>
      </c>
      <c r="AI37" t="e">
        <f>IF($B37=TRUE,AI36*(1+AI126),AI36*(1+(VLOOKUP($A37,'MoM Forecasts'!$2:$25,'Unchained Indices'!AI$2,0))))</f>
        <v>#N/A</v>
      </c>
      <c r="AJ37" t="e">
        <f>IF($B37=TRUE,AJ36*(1+AJ126),AJ36*(1+(VLOOKUP($A37,'MoM Forecasts'!$2:$25,'Unchained Indices'!AJ$2,0))))</f>
        <v>#N/A</v>
      </c>
      <c r="AK37" t="e">
        <f>IF($B37=TRUE,AK36*(1+AK126),AK36*(1+(VLOOKUP($A37,'MoM Forecasts'!$2:$25,'Unchained Indices'!AK$2,0))))</f>
        <v>#N/A</v>
      </c>
      <c r="AL37" t="e">
        <f>IF($B37=TRUE,AL36*(1+AL126),AL36*(1+(VLOOKUP($A37,'MoM Forecasts'!$2:$25,'Unchained Indices'!AL$2,0))))</f>
        <v>#N/A</v>
      </c>
      <c r="AM37" t="e">
        <f>IF($B37=TRUE,AM36*(1+AM126),AM36*(1+(VLOOKUP($A37,'MoM Forecasts'!$2:$25,'Unchained Indices'!AM$2,0))))</f>
        <v>#N/A</v>
      </c>
      <c r="AN37" t="e">
        <f>IF($B37=TRUE,AN36*(1+AN126),AN36*(1+(VLOOKUP($A37,'MoM Forecasts'!$2:$25,'Unchained Indices'!AN$2,0))))</f>
        <v>#N/A</v>
      </c>
      <c r="AO37" t="e">
        <f>IF($B37=TRUE,AO36*(1+AO126),AO36*(1+(VLOOKUP($A37,'MoM Forecasts'!$2:$25,'Unchained Indices'!AO$2,0))))</f>
        <v>#N/A</v>
      </c>
      <c r="AP37" t="e">
        <f>IF($B37=TRUE,AP36*(1+AP126),AP36*(1+(VLOOKUP($A37,'MoM Forecasts'!$2:$25,'Unchained Indices'!AP$2,0))))</f>
        <v>#N/A</v>
      </c>
      <c r="AQ37" t="e">
        <f>IF($B37=TRUE,AQ36*(1+AQ126),AQ36*(1+(VLOOKUP($A37,'MoM Forecasts'!$2:$25,'Unchained Indices'!AQ$2,0))))</f>
        <v>#N/A</v>
      </c>
      <c r="AR37" t="e">
        <f>IF($B37=TRUE,AR36*(1+AR126),AR36*(1+(VLOOKUP($A37,'MoM Forecasts'!$2:$25,'Unchained Indices'!AR$2,0))))</f>
        <v>#N/A</v>
      </c>
      <c r="AS37" t="e">
        <f>IF($B37=TRUE,AS36*(1+AS126),AS36*(1+(VLOOKUP($A37,'MoM Forecasts'!$2:$25,'Unchained Indices'!AS$2,0))))</f>
        <v>#N/A</v>
      </c>
      <c r="AT37" t="e">
        <f>IF($B37=TRUE,AT36*(1+AT126),AT36*(1+(VLOOKUP($A37,'MoM Forecasts'!$2:$25,'Unchained Indices'!AT$2,0))))</f>
        <v>#N/A</v>
      </c>
      <c r="AU37" t="e">
        <f>IF($B37=TRUE,AU36*(1+AU126),AU36*(1+(VLOOKUP($A37,'MoM Forecasts'!$2:$25,'Unchained Indices'!AU$2,0))))</f>
        <v>#N/A</v>
      </c>
      <c r="AV37" t="e">
        <f>IF($B37=TRUE,AV36*(1+AV126),AV36*(1+(VLOOKUP($A37,'MoM Forecasts'!$2:$25,'Unchained Indices'!AV$2,0))))</f>
        <v>#N/A</v>
      </c>
      <c r="AW37" t="e">
        <f>IF($B37=TRUE,AW36*(1+AW126),AW36*(1+(VLOOKUP($A37,'MoM Forecasts'!$2:$25,'Unchained Indices'!AW$2,0))))</f>
        <v>#N/A</v>
      </c>
      <c r="AX37" t="e">
        <f>IF($B37=TRUE,AX36*(1+AX126),AX36*(1+(VLOOKUP($A37,'MoM Forecasts'!$2:$25,'Unchained Indices'!AX$2,0))))</f>
        <v>#N/A</v>
      </c>
      <c r="AY37" t="e">
        <f>IF($B37=TRUE,AY36*(1+AY126),AY36*(1+(VLOOKUP($A37,'MoM Forecasts'!$2:$25,'Unchained Indices'!AY$2,0))))</f>
        <v>#N/A</v>
      </c>
      <c r="AZ37" t="e">
        <f>IF($B37=TRUE,AZ36*(1+AZ126),AZ36*(1+(VLOOKUP($A37,'MoM Forecasts'!$2:$25,'Unchained Indices'!AZ$2,0))))</f>
        <v>#N/A</v>
      </c>
      <c r="BA37" t="e">
        <f>IF($B37=TRUE,BA36*(1+BA126),BA36*(1+(VLOOKUP($A37,'MoM Forecasts'!$2:$25,'Unchained Indices'!BA$2,0))))</f>
        <v>#N/A</v>
      </c>
      <c r="BB37" t="e">
        <f>IF($B37=TRUE,BB36*(1+BB126),BB36*(1+(VLOOKUP($A37,'MoM Forecasts'!$2:$25,'Unchained Indices'!BB$2,0))))</f>
        <v>#N/A</v>
      </c>
      <c r="BC37" t="e">
        <f>IF($B37=TRUE,BC36*(1+BC126),BC36*(1+(VLOOKUP($A37,'MoM Forecasts'!$2:$25,'Unchained Indices'!BC$2,0))))</f>
        <v>#N/A</v>
      </c>
      <c r="BD37" t="e">
        <f>IF($B37=TRUE,BD36*(1+BD126),BD36*(1+(VLOOKUP($A37,'MoM Forecasts'!$2:$25,'Unchained Indices'!BD$2,0))))</f>
        <v>#N/A</v>
      </c>
      <c r="BE37" t="e">
        <f>IF($B37=TRUE,BE36*(1+BE126),BE36*(1+(VLOOKUP($A37,'MoM Forecasts'!$2:$25,'Unchained Indices'!BE$2,0))))</f>
        <v>#N/A</v>
      </c>
      <c r="BF37" t="e">
        <f>IF($B37=TRUE,BF36*(1+BF126),BF36*(1+(VLOOKUP($A37,'MoM Forecasts'!$2:$25,'Unchained Indices'!BF$2,0))))</f>
        <v>#N/A</v>
      </c>
      <c r="BG37" t="e">
        <f>IF($B37=TRUE,BG36*(1+BG126),BG36*(1+(VLOOKUP($A37,'MoM Forecasts'!$2:$25,'Unchained Indices'!BG$2,0))))</f>
        <v>#N/A</v>
      </c>
      <c r="BH37" t="e">
        <f>IF($B37=TRUE,BH36*(1+BH126),BH36*(1+(VLOOKUP($A37,'MoM Forecasts'!$2:$25,'Unchained Indices'!BH$2,0))))</f>
        <v>#N/A</v>
      </c>
      <c r="BI37" t="e">
        <f>IF($B37=TRUE,BI36*(1+BI126),BI36*(1+(VLOOKUP($A37,'MoM Forecasts'!$2:$25,'Unchained Indices'!BI$2,0))))</f>
        <v>#N/A</v>
      </c>
      <c r="BJ37" t="e">
        <f>IF($B37=TRUE,BJ36*(1+BJ126),BJ36*(1+(VLOOKUP($A37,'MoM Forecasts'!$2:$25,'Unchained Indices'!BJ$2,0))))</f>
        <v>#N/A</v>
      </c>
      <c r="BK37" t="e">
        <f>IF($B37=TRUE,BK36*(1+BK126),BK36*(1+(VLOOKUP($A37,'MoM Forecasts'!$2:$25,'Unchained Indices'!BK$2,0))))</f>
        <v>#N/A</v>
      </c>
      <c r="BL37" t="e">
        <f>IF($B37=TRUE,BL36*(1+BL126),BL36*(1+(VLOOKUP($A37,'MoM Forecasts'!$2:$25,'Unchained Indices'!BL$2,0))))</f>
        <v>#N/A</v>
      </c>
      <c r="BM37" t="e">
        <f>IF($B37=TRUE,BM36*(1+BM126),BM36*(1+(VLOOKUP($A37,'MoM Forecasts'!$2:$25,'Unchained Indices'!BM$2,0))))</f>
        <v>#N/A</v>
      </c>
      <c r="BN37" t="e">
        <f>IF($B37=TRUE,BN36*(1+BN126),BN36*(1+(VLOOKUP($A37,'MoM Forecasts'!$2:$25,'Unchained Indices'!BN$2,0))))</f>
        <v>#N/A</v>
      </c>
      <c r="BO37" t="e">
        <f>IF($B37=TRUE,BO36*(1+BO126),BO36*(1+(VLOOKUP($A37,'MoM Forecasts'!$2:$25,'Unchained Indices'!BO$2,0))))</f>
        <v>#N/A</v>
      </c>
      <c r="BP37" t="e">
        <f>IF($B37=TRUE,BP36*(1+BP126),BP36*(1+(VLOOKUP($A37,'MoM Forecasts'!$2:$25,'Unchained Indices'!BP$2,0))))</f>
        <v>#N/A</v>
      </c>
      <c r="BQ37" t="e">
        <f>IF($B37=TRUE,BQ36*(1+BQ126),BQ36*(1+(VLOOKUP($A37,'MoM Forecasts'!$2:$25,'Unchained Indices'!BQ$2,0))))</f>
        <v>#N/A</v>
      </c>
      <c r="BR37" t="e">
        <f>IF($B37=TRUE,BR36*(1+BR126),BR36*(1+(VLOOKUP($A37,'MoM Forecasts'!$2:$25,'Unchained Indices'!BR$2,0))))</f>
        <v>#N/A</v>
      </c>
      <c r="BS37" t="e">
        <f>IF($B37=TRUE,BS36*(1+BS126),BS36*(1+(VLOOKUP($A37,'MoM Forecasts'!$2:$25,'Unchained Indices'!BS$2,0))))</f>
        <v>#N/A</v>
      </c>
      <c r="BT37" t="e">
        <f>IF($B37=TRUE,BT36*(1+BT126),BT36*(1+(VLOOKUP($A37,'MoM Forecasts'!$2:$25,'Unchained Indices'!BT$2,0))))</f>
        <v>#N/A</v>
      </c>
      <c r="BU37" t="e">
        <f>IF($B37=TRUE,BU36*(1+BU126),BU36*(1+(VLOOKUP($A37,'MoM Forecasts'!$2:$25,'Unchained Indices'!BU$2,0))))</f>
        <v>#N/A</v>
      </c>
      <c r="BV37" t="e">
        <f>IF($B37=TRUE,BV36*(1+BV126),BV36*(1+(VLOOKUP($A37,'MoM Forecasts'!$2:$25,'Unchained Indices'!BV$2,0))))</f>
        <v>#N/A</v>
      </c>
      <c r="BW37" t="e">
        <f>IF($B37=TRUE,BW36*(1+BW126),BW36*(1+(VLOOKUP($A37,'MoM Forecasts'!$2:$25,'Unchained Indices'!BW$2,0))))</f>
        <v>#N/A</v>
      </c>
      <c r="BX37" t="e">
        <f>IF($B37=TRUE,BX36*(1+BX126),BX36*(1+(VLOOKUP($A37,'MoM Forecasts'!$2:$25,'Unchained Indices'!BX$2,0))))</f>
        <v>#N/A</v>
      </c>
      <c r="BY37" t="e">
        <f>IF($B37=TRUE,BY36*(1+BY126),BY36*(1+(VLOOKUP($A37,'MoM Forecasts'!$2:$25,'Unchained Indices'!BY$2,0))))</f>
        <v>#N/A</v>
      </c>
      <c r="BZ37" t="e">
        <f>IF($B37=TRUE,BZ36*(1+BZ126),BZ36*(1+(VLOOKUP($A37,'MoM Forecasts'!$2:$25,'Unchained Indices'!BZ$2,0))))</f>
        <v>#N/A</v>
      </c>
      <c r="CA37" t="e">
        <f>IF($B37=TRUE,CA36*(1+CA126),CA36*(1+(VLOOKUP($A37,'MoM Forecasts'!$2:$25,'Unchained Indices'!CA$2,0))))</f>
        <v>#N/A</v>
      </c>
      <c r="CB37" t="e">
        <f>IF($B37=TRUE,CB36*(1+CB126),CB36*(1+(VLOOKUP($A37,'MoM Forecasts'!$2:$25,'Unchained Indices'!CB$2,0))))</f>
        <v>#N/A</v>
      </c>
      <c r="CC37" t="e">
        <f>IF($B37=TRUE,CC36*(1+CC126),CC36*(1+(VLOOKUP($A37,'MoM Forecasts'!$2:$25,'Unchained Indices'!CC$2,0))))</f>
        <v>#N/A</v>
      </c>
      <c r="CD37" t="e">
        <f>IF($B37=TRUE,CD36*(1+CD126),CD36*(1+(VLOOKUP($A37,'MoM Forecasts'!$2:$25,'Unchained Indices'!CD$2,0))))</f>
        <v>#N/A</v>
      </c>
      <c r="CE37" t="e">
        <f>IF($B37=TRUE,CE36*(1+CE126),CE36*(1+(VLOOKUP($A37,'MoM Forecasts'!$2:$25,'Unchained Indices'!CE$2,0))))</f>
        <v>#N/A</v>
      </c>
      <c r="CF37" t="e">
        <f>IF($B37=TRUE,CF36*(1+CF126),CF36*(1+(VLOOKUP($A37,'MoM Forecasts'!$2:$25,'Unchained Indices'!CF$2,0))))</f>
        <v>#N/A</v>
      </c>
      <c r="CG37" t="e">
        <f>IF($B37=TRUE,CG36*(1+CG126),CG36*(1+(VLOOKUP($A37,'MoM Forecasts'!$2:$25,'Unchained Indices'!CG$2,0))))</f>
        <v>#N/A</v>
      </c>
      <c r="CH37" t="e">
        <f>IF($B37=TRUE,CH36*(1+CH126),CH36*(1+(VLOOKUP($A37,'MoM Forecasts'!$2:$25,'Unchained Indices'!CH$2,0))))</f>
        <v>#N/A</v>
      </c>
      <c r="CI37" t="e">
        <f>IF($B37=TRUE,CI36*(1+CI126),CI36*(1+(VLOOKUP($A37,'MoM Forecasts'!$2:$25,'Unchained Indices'!CI$2,0))))</f>
        <v>#N/A</v>
      </c>
      <c r="CJ37" t="e">
        <f>IF($B37=TRUE,CJ36*(1+CJ126),CJ36*(1+(VLOOKUP($A37,'MoM Forecasts'!$2:$25,'Unchained Indices'!CJ$2,0))))</f>
        <v>#N/A</v>
      </c>
      <c r="CK37" t="e">
        <f>IF($B37=TRUE,CK36*(1+CK126),CK36*(1+(VLOOKUP($A37,'MoM Forecasts'!$2:$25,'Unchained Indices'!CK$2,0))))</f>
        <v>#N/A</v>
      </c>
      <c r="CL37" t="e">
        <f>IF($B37=TRUE,CL36*(1+CL126),CL36*(1+(VLOOKUP($A37,'MoM Forecasts'!$2:$25,'Unchained Indices'!CL$2,0))))</f>
        <v>#N/A</v>
      </c>
      <c r="CM37" t="e">
        <f>IF($B37=TRUE,CM36*(1+CM126),CM36*(1+(VLOOKUP($A37,'MoM Forecasts'!$2:$25,'Unchained Indices'!CM$2,0))))</f>
        <v>#N/A</v>
      </c>
      <c r="CN37" t="e">
        <f>IF($B37=TRUE,CN36*(1+CN126),CN36*(1+(VLOOKUP($A37,'MoM Forecasts'!$2:$25,'Unchained Indices'!CN$2,0))))</f>
        <v>#N/A</v>
      </c>
      <c r="CO37" t="e">
        <f>IF($B37=TRUE,CO36*(1+CO126),CO36*(1+(VLOOKUP($A37,'MoM Forecasts'!$2:$25,'Unchained Indices'!CO$2,0))))</f>
        <v>#N/A</v>
      </c>
      <c r="CP37" t="e">
        <f>IF($B37=TRUE,CP36*(1+CP126),CP36*(1+(VLOOKUP($A37,'MoM Forecasts'!$2:$25,'Unchained Indices'!CP$2,0))))</f>
        <v>#N/A</v>
      </c>
    </row>
    <row r="38" spans="1:94" x14ac:dyDescent="0.25">
      <c r="A38" s="6"/>
      <c r="B38" s="8"/>
      <c r="C38" s="7"/>
    </row>
    <row r="39" spans="1:94" x14ac:dyDescent="0.25">
      <c r="A39" s="6"/>
      <c r="B39" s="8"/>
      <c r="C39" s="7"/>
    </row>
    <row r="40" spans="1:94" x14ac:dyDescent="0.25">
      <c r="A40" s="6"/>
      <c r="B40" s="8"/>
      <c r="C40" s="7"/>
    </row>
    <row r="41" spans="1:94" x14ac:dyDescent="0.25">
      <c r="A41" s="5"/>
      <c r="B41" s="5"/>
      <c r="C41" s="7"/>
      <c r="D41" t="str">
        <f>D1</f>
        <v xml:space="preserve"> Bread</v>
      </c>
      <c r="E41" t="str">
        <f t="shared" ref="E41:BP41" si="7">E1</f>
        <v xml:space="preserve"> Cereals</v>
      </c>
      <c r="F41" t="str">
        <f t="shared" si="7"/>
        <v xml:space="preserve"> Biscuits and cakes</v>
      </c>
      <c r="G41" t="str">
        <f t="shared" si="7"/>
        <v xml:space="preserve"> Beef</v>
      </c>
      <c r="H41" t="str">
        <f t="shared" si="7"/>
        <v xml:space="preserve"> Lamb </v>
      </c>
      <c r="I41" t="str">
        <f t="shared" si="7"/>
        <v xml:space="preserve"> of which  home-killed lamb</v>
      </c>
      <c r="J41" t="str">
        <f t="shared" si="7"/>
        <v xml:space="preserve"> Pork</v>
      </c>
      <c r="K41" t="str">
        <f t="shared" si="7"/>
        <v xml:space="preserve"> Bacon</v>
      </c>
      <c r="L41" t="str">
        <f t="shared" si="7"/>
        <v xml:space="preserve"> Poultry</v>
      </c>
      <c r="M41" t="str">
        <f t="shared" si="7"/>
        <v xml:space="preserve"> Other meat</v>
      </c>
      <c r="N41" t="str">
        <f t="shared" si="7"/>
        <v xml:space="preserve"> Fish</v>
      </c>
      <c r="O41" t="str">
        <f t="shared" si="7"/>
        <v xml:space="preserve"> of which  fresh fish</v>
      </c>
      <c r="P41" t="str">
        <f t="shared" si="7"/>
        <v xml:space="preserve"> processed fish</v>
      </c>
      <c r="Q41" t="str">
        <f t="shared" si="7"/>
        <v xml:space="preserve"> Butter</v>
      </c>
      <c r="R41" t="str">
        <f t="shared" si="7"/>
        <v xml:space="preserve"> Oils and fats</v>
      </c>
      <c r="S41" t="str">
        <f t="shared" si="7"/>
        <v xml:space="preserve"> Cheese</v>
      </c>
      <c r="T41" t="str">
        <f t="shared" si="7"/>
        <v xml:space="preserve"> Eggs</v>
      </c>
      <c r="U41" t="str">
        <f t="shared" si="7"/>
        <v xml:space="preserve"> Milk, fresh</v>
      </c>
      <c r="V41" t="str">
        <f t="shared" si="7"/>
        <v xml:space="preserve"> Milk products</v>
      </c>
      <c r="W41" t="str">
        <f t="shared" si="7"/>
        <v xml:space="preserve"> Tea</v>
      </c>
      <c r="X41" t="str">
        <f t="shared" si="7"/>
        <v xml:space="preserve"> Coffee and other hot drinks</v>
      </c>
      <c r="Y41" t="str">
        <f t="shared" si="7"/>
        <v xml:space="preserve"> Soft drinks</v>
      </c>
      <c r="Z41" t="str">
        <f t="shared" si="7"/>
        <v xml:space="preserve"> Sugar and preserves</v>
      </c>
      <c r="AA41" t="str">
        <f t="shared" si="7"/>
        <v xml:space="preserve"> Sweets and chocolates</v>
      </c>
      <c r="AB41" t="str">
        <f t="shared" si="7"/>
        <v xml:space="preserve"> Potatoes</v>
      </c>
      <c r="AC41" t="str">
        <f t="shared" si="7"/>
        <v xml:space="preserve"> of which  unprocessed potatoes</v>
      </c>
      <c r="AD41" t="str">
        <f t="shared" si="7"/>
        <v xml:space="preserve"> potato products</v>
      </c>
      <c r="AE41" t="str">
        <f t="shared" si="7"/>
        <v xml:space="preserve"> Vegetables other than potatoes</v>
      </c>
      <c r="AF41" t="str">
        <f t="shared" si="7"/>
        <v xml:space="preserve"> of which  fresh vegetables</v>
      </c>
      <c r="AG41" t="str">
        <f t="shared" si="7"/>
        <v xml:space="preserve"> processed vegetables</v>
      </c>
      <c r="AH41" t="str">
        <f t="shared" si="7"/>
        <v xml:space="preserve"> Fruit</v>
      </c>
      <c r="AI41" t="str">
        <f t="shared" si="7"/>
        <v xml:space="preserve"> of which  fresh fruit</v>
      </c>
      <c r="AJ41" t="str">
        <f t="shared" si="7"/>
        <v xml:space="preserve"> processed fruit</v>
      </c>
      <c r="AK41" t="str">
        <f t="shared" si="7"/>
        <v xml:space="preserve"> Other foods</v>
      </c>
      <c r="AL41" t="str">
        <f t="shared" si="7"/>
        <v xml:space="preserve"> Restaurant meals</v>
      </c>
      <c r="AM41" t="str">
        <f t="shared" si="7"/>
        <v xml:space="preserve"> Canteen meals</v>
      </c>
      <c r="AN41" t="str">
        <f t="shared" si="7"/>
        <v xml:space="preserve"> Take-aways and snacks</v>
      </c>
      <c r="AO41" t="str">
        <f t="shared" si="7"/>
        <v xml:space="preserve"> Beer</v>
      </c>
      <c r="AP41" t="str">
        <f t="shared" si="7"/>
        <v xml:space="preserve"> Beer on sales</v>
      </c>
      <c r="AQ41" t="str">
        <f t="shared" si="7"/>
        <v xml:space="preserve"> Beer off sales</v>
      </c>
      <c r="AR41" t="str">
        <f t="shared" si="7"/>
        <v xml:space="preserve"> Wines and spirits</v>
      </c>
      <c r="AS41" t="str">
        <f t="shared" si="7"/>
        <v xml:space="preserve"> Wine on sales</v>
      </c>
      <c r="AT41" t="str">
        <f t="shared" si="7"/>
        <v xml:space="preserve"> Wine off sales</v>
      </c>
      <c r="AU41" t="str">
        <f t="shared" si="7"/>
        <v xml:space="preserve"> Cigarettes</v>
      </c>
      <c r="AV41" t="str">
        <f t="shared" si="7"/>
        <v xml:space="preserve"> Other tobacco</v>
      </c>
      <c r="AW41" t="str">
        <f t="shared" si="7"/>
        <v xml:space="preserve"> Rent</v>
      </c>
      <c r="AX41" t="str">
        <f t="shared" si="7"/>
        <v xml:space="preserve"> Mortgage interest payments</v>
      </c>
      <c r="AY41" t="str">
        <f t="shared" si="7"/>
        <v xml:space="preserve"> Depreciation (Jan 1995 = 100)</v>
      </c>
      <c r="AZ41" t="str">
        <f t="shared" si="7"/>
        <v xml:space="preserve"> Council tax and rates</v>
      </c>
      <c r="BA41" t="str">
        <f t="shared" si="7"/>
        <v xml:space="preserve"> Water and other charges</v>
      </c>
      <c r="BB41" t="str">
        <f t="shared" si="7"/>
        <v xml:space="preserve"> Repairs and maintenance charges</v>
      </c>
      <c r="BC41" t="str">
        <f t="shared" si="7"/>
        <v xml:space="preserve"> Do-it-yourself materials</v>
      </c>
      <c r="BD41" t="str">
        <f t="shared" si="7"/>
        <v xml:space="preserve"> Dwelling insurance and ground rent</v>
      </c>
      <c r="BE41" t="str">
        <f t="shared" si="7"/>
        <v xml:space="preserve"> Coal and solid fuels</v>
      </c>
      <c r="BF41" t="str">
        <f t="shared" si="7"/>
        <v xml:space="preserve"> Electricity</v>
      </c>
      <c r="BG41" t="str">
        <f t="shared" si="7"/>
        <v xml:space="preserve"> Gas</v>
      </c>
      <c r="BH41" t="str">
        <f t="shared" si="7"/>
        <v xml:space="preserve"> Oil and other fuels</v>
      </c>
      <c r="BI41" t="str">
        <f t="shared" si="7"/>
        <v xml:space="preserve"> Furniture</v>
      </c>
      <c r="BJ41" t="str">
        <f t="shared" si="7"/>
        <v xml:space="preserve"> Furnishings</v>
      </c>
      <c r="BK41" t="str">
        <f t="shared" si="7"/>
        <v xml:space="preserve"> Electrical appliances</v>
      </c>
      <c r="BL41" t="str">
        <f t="shared" si="7"/>
        <v xml:space="preserve"> Other household equipment</v>
      </c>
      <c r="BM41" t="str">
        <f t="shared" si="7"/>
        <v xml:space="preserve"> Household consumables</v>
      </c>
      <c r="BN41" t="str">
        <f t="shared" si="7"/>
        <v xml:space="preserve"> Pet care</v>
      </c>
      <c r="BO41" t="str">
        <f t="shared" si="7"/>
        <v xml:space="preserve"> Postage</v>
      </c>
      <c r="BP41" t="str">
        <f t="shared" si="7"/>
        <v xml:space="preserve"> Telephones, telemessages, etc</v>
      </c>
      <c r="BQ41" t="str">
        <f t="shared" ref="BQ41:BT41" si="8">BQ1</f>
        <v xml:space="preserve"> Domestic services</v>
      </c>
      <c r="BR41" t="str">
        <f t="shared" si="8"/>
        <v xml:space="preserve"> Fees and subscriptions</v>
      </c>
      <c r="BS41" t="str">
        <f t="shared" si="8"/>
        <v xml:space="preserve"> Men's outerwear</v>
      </c>
      <c r="BT41" t="str">
        <f t="shared" si="8"/>
        <v xml:space="preserve"> Women's outerwear</v>
      </c>
      <c r="BU41" t="str">
        <f t="shared" ref="BU41:CM41" si="9">BU1</f>
        <v xml:space="preserve"> Childrens' outerwear</v>
      </c>
      <c r="BV41" t="str">
        <f t="shared" si="9"/>
        <v xml:space="preserve"> Other clothing</v>
      </c>
      <c r="BW41" t="str">
        <f t="shared" si="9"/>
        <v xml:space="preserve"> Footwear</v>
      </c>
      <c r="BX41" t="str">
        <f t="shared" si="9"/>
        <v xml:space="preserve"> Personal articles</v>
      </c>
      <c r="BY41" t="str">
        <f t="shared" si="9"/>
        <v xml:space="preserve"> Chemists goods</v>
      </c>
      <c r="BZ41" t="str">
        <f t="shared" si="9"/>
        <v xml:space="preserve"> Personal services</v>
      </c>
      <c r="CA41" t="str">
        <f t="shared" si="9"/>
        <v xml:space="preserve"> Purchase of motor vehicles</v>
      </c>
      <c r="CB41" t="str">
        <f t="shared" si="9"/>
        <v xml:space="preserve"> Maintenance of motor vehicles</v>
      </c>
      <c r="CC41" t="str">
        <f t="shared" si="9"/>
        <v xml:space="preserve"> Petrol and oil</v>
      </c>
      <c r="CD41" t="str">
        <f t="shared" si="9"/>
        <v xml:space="preserve"> Vehicle tax and insurance</v>
      </c>
      <c r="CE41" t="str">
        <f t="shared" si="9"/>
        <v xml:space="preserve"> Rail fares</v>
      </c>
      <c r="CF41" t="str">
        <f t="shared" si="9"/>
        <v xml:space="preserve"> Bus and coach fares</v>
      </c>
      <c r="CG41" t="str">
        <f t="shared" si="9"/>
        <v xml:space="preserve"> Other travel costs</v>
      </c>
      <c r="CH41" t="str">
        <f t="shared" si="9"/>
        <v xml:space="preserve"> Audio-visual equipment</v>
      </c>
      <c r="CI41" t="str">
        <f t="shared" si="9"/>
        <v xml:space="preserve"> CDs and tapes</v>
      </c>
      <c r="CJ41" t="str">
        <f t="shared" si="9"/>
        <v xml:space="preserve"> Toys, photographic and sports goods</v>
      </c>
      <c r="CK41" t="str">
        <f t="shared" si="9"/>
        <v xml:space="preserve"> Books and newspapers</v>
      </c>
      <c r="CL41" t="str">
        <f t="shared" si="9"/>
        <v xml:space="preserve"> Gardening products</v>
      </c>
      <c r="CM41" t="str">
        <f t="shared" si="9"/>
        <v xml:space="preserve"> Television licences and rentals</v>
      </c>
      <c r="CN41" t="str">
        <f>CN1</f>
        <v xml:space="preserve"> Entertainment and other recreation</v>
      </c>
      <c r="CO41" t="str">
        <f>CO1</f>
        <v xml:space="preserve"> Foreign holidays (Jan 1993 = 100)</v>
      </c>
      <c r="CP41" t="str">
        <f>CP1</f>
        <v xml:space="preserve"> UK holidays (Jan 1994 = 100)</v>
      </c>
    </row>
    <row r="42" spans="1:94" x14ac:dyDescent="0.25">
      <c r="A42" s="5" t="s">
        <v>120</v>
      </c>
      <c r="B42" s="5"/>
      <c r="C42" s="6">
        <f>A3</f>
        <v>44562</v>
      </c>
    </row>
    <row r="43" spans="1:94" x14ac:dyDescent="0.25">
      <c r="A43" s="5"/>
      <c r="B43" s="5"/>
      <c r="C43" s="6">
        <f>A4</f>
        <v>44593</v>
      </c>
      <c r="D43">
        <f>VLOOKUP($C43,'Hist Data'!$A$2:$CN$428,'Unchained Indices'!D$2,0)/VLOOKUP($C42,'Hist Data'!$A$2:$CN$428,'Unchained Indices'!D$2,0)-1</f>
        <v>-9.385665529010323E-3</v>
      </c>
      <c r="E43">
        <f>VLOOKUP($C43,'Hist Data'!$A$2:$CN$428,'Unchained Indices'!E$2,0)/VLOOKUP($C42,'Hist Data'!$A$2:$CN$428,'Unchained Indices'!E$2,0)-1</f>
        <v>3.1102733270499616E-2</v>
      </c>
      <c r="F43">
        <f>VLOOKUP($C43,'Hist Data'!$A$2:$CN$428,'Unchained Indices'!F$2,0)/VLOOKUP($C42,'Hist Data'!$A$2:$CN$428,'Unchained Indices'!F$2,0)-1</f>
        <v>2.5218560860793549E-2</v>
      </c>
      <c r="G43">
        <f>VLOOKUP($C43,'Hist Data'!$A$2:$CN$428,'Unchained Indices'!G$2,0)/VLOOKUP($C42,'Hist Data'!$A$2:$CN$428,'Unchained Indices'!G$2,0)-1</f>
        <v>1.0189902732746559E-2</v>
      </c>
      <c r="H43">
        <f>VLOOKUP($C43,'Hist Data'!$A$2:$CN$428,'Unchained Indices'!H$2,0)/VLOOKUP($C42,'Hist Data'!$A$2:$CN$428,'Unchained Indices'!H$2,0)-1</f>
        <v>1.8815716657443415E-2</v>
      </c>
      <c r="I43">
        <f>VLOOKUP($C43,'Hist Data'!$A$2:$CN$428,'Unchained Indices'!I$2,0)/VLOOKUP($C42,'Hist Data'!$A$2:$CN$428,'Unchained Indices'!I$2,0)-1</f>
        <v>1.8934612471598111E-2</v>
      </c>
      <c r="J43">
        <f>VLOOKUP($C43,'Hist Data'!$A$2:$CN$428,'Unchained Indices'!J$2,0)/VLOOKUP($C42,'Hist Data'!$A$2:$CN$428,'Unchained Indices'!J$2,0)-1</f>
        <v>-2.8281975517095881E-2</v>
      </c>
      <c r="K43">
        <f>VLOOKUP($C43,'Hist Data'!$A$2:$CN$428,'Unchained Indices'!K$2,0)/VLOOKUP($C42,'Hist Data'!$A$2:$CN$428,'Unchained Indices'!K$2,0)-1</f>
        <v>7.4331020812685722E-3</v>
      </c>
      <c r="L43">
        <f>VLOOKUP($C43,'Hist Data'!$A$2:$CN$428,'Unchained Indices'!L$2,0)/VLOOKUP($C42,'Hist Data'!$A$2:$CN$428,'Unchained Indices'!L$2,0)-1</f>
        <v>1.5561015561015523E-2</v>
      </c>
      <c r="M43">
        <f>VLOOKUP($C43,'Hist Data'!$A$2:$CN$428,'Unchained Indices'!M$2,0)/VLOOKUP($C42,'Hist Data'!$A$2:$CN$428,'Unchained Indices'!M$2,0)-1</f>
        <v>1.5128593040847349E-3</v>
      </c>
      <c r="N43">
        <f>VLOOKUP($C43,'Hist Data'!$A$2:$CN$428,'Unchained Indices'!N$2,0)/VLOOKUP($C42,'Hist Data'!$A$2:$CN$428,'Unchained Indices'!N$2,0)-1</f>
        <v>2.4954128440366929E-2</v>
      </c>
      <c r="O43">
        <f>VLOOKUP($C43,'Hist Data'!$A$2:$CN$428,'Unchained Indices'!O$2,0)/VLOOKUP($C42,'Hist Data'!$A$2:$CN$428,'Unchained Indices'!O$2,0)-1</f>
        <v>2.8625235404896587E-2</v>
      </c>
      <c r="P43">
        <f>VLOOKUP($C43,'Hist Data'!$A$2:$CN$428,'Unchained Indices'!P$2,0)/VLOOKUP($C42,'Hist Data'!$A$2:$CN$428,'Unchained Indices'!P$2,0)-1</f>
        <v>2.1060275962236696E-2</v>
      </c>
      <c r="Q43">
        <f>VLOOKUP($C43,'Hist Data'!$A$2:$CN$428,'Unchained Indices'!Q$2,0)/VLOOKUP($C42,'Hist Data'!$A$2:$CN$428,'Unchained Indices'!Q$2,0)-1</f>
        <v>1.0033444816053505E-2</v>
      </c>
      <c r="R43">
        <f>VLOOKUP($C43,'Hist Data'!$A$2:$CN$428,'Unchained Indices'!R$2,0)/VLOOKUP($C42,'Hist Data'!$A$2:$CN$428,'Unchained Indices'!R$2,0)-1</f>
        <v>-3.8939519469759709E-2</v>
      </c>
      <c r="S43">
        <f>VLOOKUP($C43,'Hist Data'!$A$2:$CN$428,'Unchained Indices'!S$2,0)/VLOOKUP($C42,'Hist Data'!$A$2:$CN$428,'Unchained Indices'!S$2,0)-1</f>
        <v>2.5817555938037806E-2</v>
      </c>
      <c r="T43">
        <f>VLOOKUP($C43,'Hist Data'!$A$2:$CN$428,'Unchained Indices'!T$2,0)/VLOOKUP($C42,'Hist Data'!$A$2:$CN$428,'Unchained Indices'!T$2,0)-1</f>
        <v>6.0918462980317223E-3</v>
      </c>
      <c r="U43">
        <f>VLOOKUP($C43,'Hist Data'!$A$2:$CN$428,'Unchained Indices'!U$2,0)/VLOOKUP($C42,'Hist Data'!$A$2:$CN$428,'Unchained Indices'!U$2,0)-1</f>
        <v>3.6413469068128368E-2</v>
      </c>
      <c r="V43">
        <f>VLOOKUP($C43,'Hist Data'!$A$2:$CN$428,'Unchained Indices'!V$2,0)/VLOOKUP($C42,'Hist Data'!$A$2:$CN$428,'Unchained Indices'!V$2,0)-1</f>
        <v>3.5502958579881616E-2</v>
      </c>
      <c r="W43">
        <f>VLOOKUP($C43,'Hist Data'!$A$2:$CN$428,'Unchained Indices'!W$2,0)/VLOOKUP($C42,'Hist Data'!$A$2:$CN$428,'Unchained Indices'!W$2,0)-1</f>
        <v>2.1719858156028504E-2</v>
      </c>
      <c r="X43">
        <f>VLOOKUP($C43,'Hist Data'!$A$2:$CN$428,'Unchained Indices'!X$2,0)/VLOOKUP($C42,'Hist Data'!$A$2:$CN$428,'Unchained Indices'!X$2,0)-1</f>
        <v>2.7027027027026751E-3</v>
      </c>
      <c r="Y43">
        <f>VLOOKUP($C43,'Hist Data'!$A$2:$CN$428,'Unchained Indices'!Y$2,0)/VLOOKUP($C42,'Hist Data'!$A$2:$CN$428,'Unchained Indices'!Y$2,0)-1</f>
        <v>1.8665744901486203E-2</v>
      </c>
      <c r="Z43">
        <f>VLOOKUP($C43,'Hist Data'!$A$2:$CN$428,'Unchained Indices'!Z$2,0)/VLOOKUP($C42,'Hist Data'!$A$2:$CN$428,'Unchained Indices'!Z$2,0)-1</f>
        <v>1.1840157868771684E-2</v>
      </c>
      <c r="AA43">
        <f>VLOOKUP($C43,'Hist Data'!$A$2:$CN$428,'Unchained Indices'!AA$2,0)/VLOOKUP($C42,'Hist Data'!$A$2:$CN$428,'Unchained Indices'!AA$2,0)-1</f>
        <v>-1.7595307917888436E-2</v>
      </c>
      <c r="AB43">
        <f>VLOOKUP($C43,'Hist Data'!$A$2:$CN$428,'Unchained Indices'!AB$2,0)/VLOOKUP($C42,'Hist Data'!$A$2:$CN$428,'Unchained Indices'!AB$2,0)-1</f>
        <v>1.0382059800664534E-2</v>
      </c>
      <c r="AC43">
        <f>VLOOKUP($C43,'Hist Data'!$A$2:$CN$428,'Unchained Indices'!AC$2,0)/VLOOKUP($C42,'Hist Data'!$A$2:$CN$428,'Unchained Indices'!AC$2,0)-1</f>
        <v>6.1315496098104383E-3</v>
      </c>
      <c r="AD43">
        <f>VLOOKUP($C43,'Hist Data'!$A$2:$CN$428,'Unchained Indices'!AD$2,0)/VLOOKUP($C42,'Hist Data'!$A$2:$CN$428,'Unchained Indices'!AD$2,0)-1</f>
        <v>1.1688835147118048E-2</v>
      </c>
      <c r="AE43">
        <f>VLOOKUP($C43,'Hist Data'!$A$2:$CN$428,'Unchained Indices'!AE$2,0)/VLOOKUP($C42,'Hist Data'!$A$2:$CN$428,'Unchained Indices'!AE$2,0)-1</f>
        <v>-1.6384489350080855E-3</v>
      </c>
      <c r="AF43">
        <f>VLOOKUP($C43,'Hist Data'!$A$2:$CN$428,'Unchained Indices'!AF$2,0)/VLOOKUP($C42,'Hist Data'!$A$2:$CN$428,'Unchained Indices'!AF$2,0)-1</f>
        <v>-4.4614404079031944E-3</v>
      </c>
      <c r="AG43">
        <f>VLOOKUP($C43,'Hist Data'!$A$2:$CN$428,'Unchained Indices'!AG$2,0)/VLOOKUP($C42,'Hist Data'!$A$2:$CN$428,'Unchained Indices'!AG$2,0)-1</f>
        <v>8.5867620751340912E-3</v>
      </c>
      <c r="AH43">
        <f>VLOOKUP($C43,'Hist Data'!$A$2:$CN$428,'Unchained Indices'!AH$2,0)/VLOOKUP($C42,'Hist Data'!$A$2:$CN$428,'Unchained Indices'!AH$2,0)-1</f>
        <v>4.9240869922035913E-3</v>
      </c>
      <c r="AI43">
        <f>VLOOKUP($C43,'Hist Data'!$A$2:$CN$428,'Unchained Indices'!AI$2,0)/VLOOKUP($C42,'Hist Data'!$A$2:$CN$428,'Unchained Indices'!AI$2,0)-1</f>
        <v>4.3066322136089408E-3</v>
      </c>
      <c r="AJ43">
        <f>VLOOKUP($C43,'Hist Data'!$A$2:$CN$428,'Unchained Indices'!AJ$2,0)/VLOOKUP($C42,'Hist Data'!$A$2:$CN$428,'Unchained Indices'!AJ$2,0)-1</f>
        <v>6.8672334859383177E-3</v>
      </c>
      <c r="AK43">
        <f>VLOOKUP($C43,'Hist Data'!$A$2:$CN$428,'Unchained Indices'!AK$2,0)/VLOOKUP($C42,'Hist Data'!$A$2:$CN$428,'Unchained Indices'!AK$2,0)-1</f>
        <v>1.7762842054728667E-2</v>
      </c>
      <c r="AL43">
        <f>VLOOKUP($C43,'Hist Data'!$A$2:$CN$428,'Unchained Indices'!AL$2,0)/VLOOKUP($C42,'Hist Data'!$A$2:$CN$428,'Unchained Indices'!AL$2,0)-1</f>
        <v>2.1052631578948322E-3</v>
      </c>
      <c r="AM43">
        <f>VLOOKUP($C43,'Hist Data'!$A$2:$CN$428,'Unchained Indices'!AM$2,0)/VLOOKUP($C42,'Hist Data'!$A$2:$CN$428,'Unchained Indices'!AM$2,0)-1</f>
        <v>0</v>
      </c>
      <c r="AN43">
        <f>VLOOKUP($C43,'Hist Data'!$A$2:$CN$428,'Unchained Indices'!AN$2,0)/VLOOKUP($C42,'Hist Data'!$A$2:$CN$428,'Unchained Indices'!AN$2,0)-1</f>
        <v>3.9225941422593724E-3</v>
      </c>
      <c r="AO43">
        <f>VLOOKUP($C43,'Hist Data'!$A$2:$CN$428,'Unchained Indices'!AO$2,0)/VLOOKUP($C42,'Hist Data'!$A$2:$CN$428,'Unchained Indices'!AO$2,0)-1</f>
        <v>8.1775700934578754E-3</v>
      </c>
      <c r="AP43">
        <f>VLOOKUP($C43,'Hist Data'!$A$2:$CN$428,'Unchained Indices'!AP$2,0)/VLOOKUP($C42,'Hist Data'!$A$2:$CN$428,'Unchained Indices'!AP$2,0)-1</f>
        <v>2.2883295194506825E-3</v>
      </c>
      <c r="AQ43">
        <f>VLOOKUP($C43,'Hist Data'!$A$2:$CN$428,'Unchained Indices'!AQ$2,0)/VLOOKUP($C42,'Hist Data'!$A$2:$CN$428,'Unchained Indices'!AQ$2,0)-1</f>
        <v>1.3913043478260834E-2</v>
      </c>
      <c r="AR43">
        <f>VLOOKUP($C43,'Hist Data'!$A$2:$CN$428,'Unchained Indices'!AR$2,0)/VLOOKUP($C42,'Hist Data'!$A$2:$CN$428,'Unchained Indices'!AR$2,0)-1</f>
        <v>-8.1415929203539905E-3</v>
      </c>
      <c r="AS43">
        <f>VLOOKUP($C43,'Hist Data'!$A$2:$CN$428,'Unchained Indices'!AS$2,0)/VLOOKUP($C42,'Hist Data'!$A$2:$CN$428,'Unchained Indices'!AS$2,0)-1</f>
        <v>2.3225806451612208E-3</v>
      </c>
      <c r="AT43">
        <f>VLOOKUP($C43,'Hist Data'!$A$2:$CN$428,'Unchained Indices'!AT$2,0)/VLOOKUP($C42,'Hist Data'!$A$2:$CN$428,'Unchained Indices'!AT$2,0)-1</f>
        <v>-1.3365155131265016E-2</v>
      </c>
      <c r="AU43">
        <f>VLOOKUP($C43,'Hist Data'!$A$2:$CN$428,'Unchained Indices'!AU$2,0)/VLOOKUP($C42,'Hist Data'!$A$2:$CN$428,'Unchained Indices'!AU$2,0)-1</f>
        <v>4.0223463687150129E-3</v>
      </c>
      <c r="AV43">
        <f>VLOOKUP($C43,'Hist Data'!$A$2:$CN$428,'Unchained Indices'!AV$2,0)/VLOOKUP($C42,'Hist Data'!$A$2:$CN$428,'Unchained Indices'!AV$2,0)-1</f>
        <v>7.3713696004717999E-3</v>
      </c>
      <c r="AW43">
        <f>VLOOKUP($C43,'Hist Data'!$A$2:$CN$428,'Unchained Indices'!AW$2,0)/VLOOKUP($C42,'Hist Data'!$A$2:$CN$428,'Unchained Indices'!AW$2,0)-1</f>
        <v>1.7807173747137472E-3</v>
      </c>
      <c r="AX43">
        <f>VLOOKUP($C43,'Hist Data'!$A$2:$CN$428,'Unchained Indices'!AX$2,0)/VLOOKUP($C42,'Hist Data'!$A$2:$CN$428,'Unchained Indices'!AX$2,0)-1</f>
        <v>1.7504488330341017E-2</v>
      </c>
      <c r="AY43">
        <f>VLOOKUP($C43,'Hist Data'!$A$2:$CN$428,'Unchained Indices'!AY$2,0)/VLOOKUP($C42,'Hist Data'!$A$2:$CN$428,'Unchained Indices'!AY$2,0)-1</f>
        <v>4.0092846592107989E-3</v>
      </c>
      <c r="AZ43">
        <f>VLOOKUP($C43,'Hist Data'!$A$2:$CN$428,'Unchained Indices'!AZ$2,0)/VLOOKUP($C42,'Hist Data'!$A$2:$CN$428,'Unchained Indices'!AZ$2,0)-1</f>
        <v>0</v>
      </c>
      <c r="BA43">
        <f>VLOOKUP($C43,'Hist Data'!$A$2:$CN$428,'Unchained Indices'!BA$2,0)/VLOOKUP($C42,'Hist Data'!$A$2:$CN$428,'Unchained Indices'!BA$2,0)-1</f>
        <v>0</v>
      </c>
      <c r="BB43">
        <f>VLOOKUP($C43,'Hist Data'!$A$2:$CN$428,'Unchained Indices'!BB$2,0)/VLOOKUP($C42,'Hist Data'!$A$2:$CN$428,'Unchained Indices'!BB$2,0)-1</f>
        <v>1.5282730514518672E-3</v>
      </c>
      <c r="BC43">
        <f>VLOOKUP($C43,'Hist Data'!$A$2:$CN$428,'Unchained Indices'!BC$2,0)/VLOOKUP($C42,'Hist Data'!$A$2:$CN$428,'Unchained Indices'!BC$2,0)-1</f>
        <v>1.1653313911143437E-2</v>
      </c>
      <c r="BD43">
        <f>VLOOKUP($C43,'Hist Data'!$A$2:$CN$428,'Unchained Indices'!BD$2,0)/VLOOKUP($C42,'Hist Data'!$A$2:$CN$428,'Unchained Indices'!BD$2,0)-1</f>
        <v>1.5677890611081491E-2</v>
      </c>
      <c r="BE43">
        <f>VLOOKUP($C43,'Hist Data'!$A$2:$CN$428,'Unchained Indices'!BE$2,0)/VLOOKUP($C42,'Hist Data'!$A$2:$CN$428,'Unchained Indices'!BE$2,0)-1</f>
        <v>1.9994873109459022E-2</v>
      </c>
      <c r="BF43">
        <f>VLOOKUP($C43,'Hist Data'!$A$2:$CN$428,'Unchained Indices'!BF$2,0)/VLOOKUP($C42,'Hist Data'!$A$2:$CN$428,'Unchained Indices'!BF$2,0)-1</f>
        <v>0</v>
      </c>
      <c r="BG43">
        <f>VLOOKUP($C43,'Hist Data'!$A$2:$CN$428,'Unchained Indices'!BG$2,0)/VLOOKUP($C42,'Hist Data'!$A$2:$CN$428,'Unchained Indices'!BG$2,0)-1</f>
        <v>0</v>
      </c>
      <c r="BH43">
        <f>VLOOKUP($C43,'Hist Data'!$A$2:$CN$428,'Unchained Indices'!BH$2,0)/VLOOKUP($C42,'Hist Data'!$A$2:$CN$428,'Unchained Indices'!BH$2,0)-1</f>
        <v>8.9543726235741472E-2</v>
      </c>
      <c r="BI43">
        <f>VLOOKUP($C43,'Hist Data'!$A$2:$CN$428,'Unchained Indices'!BI$2,0)/VLOOKUP($C42,'Hist Data'!$A$2:$CN$428,'Unchained Indices'!BI$2,0)-1</f>
        <v>3.2640949554896048E-2</v>
      </c>
      <c r="BJ43">
        <f>VLOOKUP($C43,'Hist Data'!$A$2:$CN$428,'Unchained Indices'!BJ$2,0)/VLOOKUP($C42,'Hist Data'!$A$2:$CN$428,'Unchained Indices'!BJ$2,0)-1</f>
        <v>4.1149343738914546E-2</v>
      </c>
      <c r="BK43">
        <f>VLOOKUP($C43,'Hist Data'!$A$2:$CN$428,'Unchained Indices'!BK$2,0)/VLOOKUP($C42,'Hist Data'!$A$2:$CN$428,'Unchained Indices'!BK$2,0)-1</f>
        <v>2.5316455696202445E-2</v>
      </c>
      <c r="BL43">
        <f>VLOOKUP($C43,'Hist Data'!$A$2:$CN$428,'Unchained Indices'!BL$2,0)/VLOOKUP($C42,'Hist Data'!$A$2:$CN$428,'Unchained Indices'!BL$2,0)-1</f>
        <v>2.4712398806987723E-2</v>
      </c>
      <c r="BM43">
        <f>VLOOKUP($C43,'Hist Data'!$A$2:$CN$428,'Unchained Indices'!BM$2,0)/VLOOKUP($C42,'Hist Data'!$A$2:$CN$428,'Unchained Indices'!BM$2,0)-1</f>
        <v>1.8089053803339583E-2</v>
      </c>
      <c r="BN43">
        <f>VLOOKUP($C43,'Hist Data'!$A$2:$CN$428,'Unchained Indices'!BN$2,0)/VLOOKUP($C42,'Hist Data'!$A$2:$CN$428,'Unchained Indices'!BN$2,0)-1</f>
        <v>1.5879017013232577E-2</v>
      </c>
      <c r="BO43">
        <f>VLOOKUP($C43,'Hist Data'!$A$2:$CN$428,'Unchained Indices'!BO$2,0)/VLOOKUP($C42,'Hist Data'!$A$2:$CN$428,'Unchained Indices'!BO$2,0)-1</f>
        <v>0</v>
      </c>
      <c r="BP43">
        <f>VLOOKUP($C43,'Hist Data'!$A$2:$CN$428,'Unchained Indices'!BP$2,0)/VLOOKUP($C42,'Hist Data'!$A$2:$CN$428,'Unchained Indices'!BP$2,0)-1</f>
        <v>8.3263946711076287E-4</v>
      </c>
      <c r="BQ43">
        <f>VLOOKUP($C43,'Hist Data'!$A$2:$CN$428,'Unchained Indices'!BQ$2,0)/VLOOKUP($C42,'Hist Data'!$A$2:$CN$428,'Unchained Indices'!BQ$2,0)-1</f>
        <v>4.944110060189244E-3</v>
      </c>
      <c r="BR43">
        <f>VLOOKUP($C43,'Hist Data'!$A$2:$CN$428,'Unchained Indices'!BR$2,0)/VLOOKUP($C42,'Hist Data'!$A$2:$CN$428,'Unchained Indices'!BR$2,0)-1</f>
        <v>1.5932023366966863E-3</v>
      </c>
      <c r="BS43">
        <f>VLOOKUP($C43,'Hist Data'!$A$2:$CN$428,'Unchained Indices'!BS$2,0)/VLOOKUP($C42,'Hist Data'!$A$2:$CN$428,'Unchained Indices'!BS$2,0)-1</f>
        <v>2.4864376130198984E-2</v>
      </c>
      <c r="BT43">
        <f>VLOOKUP($C43,'Hist Data'!$A$2:$CN$428,'Unchained Indices'!BT$2,0)/VLOOKUP($C42,'Hist Data'!$A$2:$CN$428,'Unchained Indices'!BT$2,0)-1</f>
        <v>7.2727272727272751E-2</v>
      </c>
      <c r="BU43">
        <f>VLOOKUP($C43,'Hist Data'!$A$2:$CN$428,'Unchained Indices'!BU$2,0)/VLOOKUP($C42,'Hist Data'!$A$2:$CN$428,'Unchained Indices'!BU$2,0)-1</f>
        <v>2.0680147058823595E-2</v>
      </c>
      <c r="BV43">
        <f>VLOOKUP($C43,'Hist Data'!$A$2:$CN$428,'Unchained Indices'!BV$2,0)/VLOOKUP($C42,'Hist Data'!$A$2:$CN$428,'Unchained Indices'!BV$2,0)-1</f>
        <v>9.1603053435114212E-3</v>
      </c>
      <c r="BW43">
        <f>VLOOKUP($C43,'Hist Data'!$A$2:$CN$428,'Unchained Indices'!BW$2,0)/VLOOKUP($C42,'Hist Data'!$A$2:$CN$428,'Unchained Indices'!BW$2,0)-1</f>
        <v>1.3317892298783995E-2</v>
      </c>
      <c r="BX43">
        <f>VLOOKUP($C43,'Hist Data'!$A$2:$CN$428,'Unchained Indices'!BX$2,0)/VLOOKUP($C42,'Hist Data'!$A$2:$CN$428,'Unchained Indices'!BX$2,0)-1</f>
        <v>1.9116977696859383E-2</v>
      </c>
      <c r="BY43">
        <f>VLOOKUP($C43,'Hist Data'!$A$2:$CN$428,'Unchained Indices'!BY$2,0)/VLOOKUP($C42,'Hist Data'!$A$2:$CN$428,'Unchained Indices'!BY$2,0)-1</f>
        <v>5.1813471502590858E-3</v>
      </c>
      <c r="BZ43">
        <f>VLOOKUP($C43,'Hist Data'!$A$2:$CN$428,'Unchained Indices'!BZ$2,0)/VLOOKUP($C42,'Hist Data'!$A$2:$CN$428,'Unchained Indices'!BZ$2,0)-1</f>
        <v>3.1446540880502027E-3</v>
      </c>
      <c r="CA43">
        <f>VLOOKUP($C43,'Hist Data'!$A$2:$CN$428,'Unchained Indices'!CA$2,0)/VLOOKUP($C42,'Hist Data'!$A$2:$CN$428,'Unchained Indices'!CA$2,0)-1</f>
        <v>-8.474576271185752E-4</v>
      </c>
      <c r="CB43">
        <f>VLOOKUP($C43,'Hist Data'!$A$2:$CN$428,'Unchained Indices'!CB$2,0)/VLOOKUP($C42,'Hist Data'!$A$2:$CN$428,'Unchained Indices'!CB$2,0)-1</f>
        <v>1.2236710130391293E-2</v>
      </c>
      <c r="CC43">
        <f>VLOOKUP($C43,'Hist Data'!$A$2:$CN$428,'Unchained Indices'!CC$2,0)/VLOOKUP($C42,'Hist Data'!$A$2:$CN$428,'Unchained Indices'!CC$2,0)-1</f>
        <v>1.5330188679245182E-2</v>
      </c>
      <c r="CD43">
        <f>VLOOKUP($C43,'Hist Data'!$A$2:$CN$428,'Unchained Indices'!CD$2,0)/VLOOKUP($C42,'Hist Data'!$A$2:$CN$428,'Unchained Indices'!CD$2,0)-1</f>
        <v>-1.1140637775960749E-2</v>
      </c>
      <c r="CE43">
        <f>VLOOKUP($C43,'Hist Data'!$A$2:$CN$428,'Unchained Indices'!CE$2,0)/VLOOKUP($C42,'Hist Data'!$A$2:$CN$428,'Unchained Indices'!CE$2,0)-1</f>
        <v>2.1812457836743793E-2</v>
      </c>
      <c r="CF43">
        <f>VLOOKUP($C43,'Hist Data'!$A$2:$CN$428,'Unchained Indices'!CF$2,0)/VLOOKUP($C42,'Hist Data'!$A$2:$CN$428,'Unchained Indices'!CF$2,0)-1</f>
        <v>1.8770110833035369E-2</v>
      </c>
      <c r="CG43">
        <f>VLOOKUP($C43,'Hist Data'!$A$2:$CN$428,'Unchained Indices'!CG$2,0)/VLOOKUP($C42,'Hist Data'!$A$2:$CN$428,'Unchained Indices'!CG$2,0)-1</f>
        <v>3.8082901554404192E-2</v>
      </c>
      <c r="CH43">
        <f>VLOOKUP($C43,'Hist Data'!$A$2:$CN$428,'Unchained Indices'!CH$2,0)/VLOOKUP($C42,'Hist Data'!$A$2:$CN$428,'Unchained Indices'!CH$2,0)-1</f>
        <v>-1.4705882352941124E-2</v>
      </c>
      <c r="CI43">
        <f>VLOOKUP($C43,'Hist Data'!$A$2:$CN$428,'Unchained Indices'!CI$2,0)/VLOOKUP($C42,'Hist Data'!$A$2:$CN$428,'Unchained Indices'!CI$2,0)-1</f>
        <v>8.4824902723735551E-2</v>
      </c>
      <c r="CJ43">
        <f>VLOOKUP($C43,'Hist Data'!$A$2:$CN$428,'Unchained Indices'!CJ$2,0)/VLOOKUP($C42,'Hist Data'!$A$2:$CN$428,'Unchained Indices'!CJ$2,0)-1</f>
        <v>4.1951219512195159E-2</v>
      </c>
      <c r="CK43">
        <f>VLOOKUP($C43,'Hist Data'!$A$2:$CN$428,'Unchained Indices'!CK$2,0)/VLOOKUP($C42,'Hist Data'!$A$2:$CN$428,'Unchained Indices'!CK$2,0)-1</f>
        <v>5.2135436706425509E-2</v>
      </c>
      <c r="CL43">
        <f>VLOOKUP($C43,'Hist Data'!$A$2:$CN$428,'Unchained Indices'!CL$2,0)/VLOOKUP($C42,'Hist Data'!$A$2:$CN$428,'Unchained Indices'!CL$2,0)-1</f>
        <v>2.3308957952467901E-2</v>
      </c>
      <c r="CM43">
        <f>VLOOKUP($C43,'Hist Data'!$A$2:$CN$428,'Unchained Indices'!CM$2,0)/VLOOKUP($C42,'Hist Data'!$A$2:$CN$428,'Unchained Indices'!CM$2,0)-1</f>
        <v>0</v>
      </c>
      <c r="CN43">
        <f>VLOOKUP($C43,'Hist Data'!$A$2:$CN$428,'Unchained Indices'!CN$2,0)/VLOOKUP($C42,'Hist Data'!$A$2:$CN$428,'Unchained Indices'!CN$2,0)-1</f>
        <v>2.0290307476196201E-3</v>
      </c>
      <c r="CO43">
        <f>VLOOKUP($C43,'Hist Data'!$A$2:$CN$428,'Unchained Indices'!CO$2,0)/VLOOKUP($C42,'Hist Data'!$A$2:$CN$428,'Unchained Indices'!CO$2,0)-1</f>
        <v>-1.6611295681062677E-3</v>
      </c>
      <c r="CP43">
        <f>VLOOKUP($C43,'Hist Data'!$A$2:$CN$428,'Unchained Indices'!CP$2,0)/VLOOKUP($C42,'Hist Data'!$A$2:$CN$428,'Unchained Indices'!CP$2,0)-1</f>
        <v>1.9573575672841459E-2</v>
      </c>
    </row>
    <row r="44" spans="1:94" x14ac:dyDescent="0.25">
      <c r="A44" s="5"/>
      <c r="B44" s="5"/>
      <c r="C44" s="6">
        <f t="shared" ref="C44:C68" si="10">A5</f>
        <v>44621</v>
      </c>
      <c r="D44">
        <f>VLOOKUP($C44,'Hist Data'!$A$2:$CN$428,'Unchained Indices'!D$2,0)/VLOOKUP($C43,'Hist Data'!$A$2:$CN$428,'Unchained Indices'!D$2,0)-1</f>
        <v>2.3255813953488413E-2</v>
      </c>
      <c r="E44">
        <f>VLOOKUP($C44,'Hist Data'!$A$2:$CN$428,'Unchained Indices'!E$2,0)/VLOOKUP($C43,'Hist Data'!$A$2:$CN$428,'Unchained Indices'!E$2,0)-1</f>
        <v>1.3711151736746086E-3</v>
      </c>
      <c r="F44">
        <f>VLOOKUP($C44,'Hist Data'!$A$2:$CN$428,'Unchained Indices'!F$2,0)/VLOOKUP($C43,'Hist Data'!$A$2:$CN$428,'Unchained Indices'!F$2,0)-1</f>
        <v>-1.7382748442112073E-2</v>
      </c>
      <c r="G44">
        <f>VLOOKUP($C44,'Hist Data'!$A$2:$CN$428,'Unchained Indices'!G$2,0)/VLOOKUP($C43,'Hist Data'!$A$2:$CN$428,'Unchained Indices'!G$2,0)-1</f>
        <v>1.1462631820265967E-2</v>
      </c>
      <c r="H44">
        <f>VLOOKUP($C44,'Hist Data'!$A$2:$CN$428,'Unchained Indices'!H$2,0)/VLOOKUP($C43,'Hist Data'!$A$2:$CN$428,'Unchained Indices'!H$2,0)-1</f>
        <v>1.6567083107007052E-2</v>
      </c>
      <c r="I44">
        <f>VLOOKUP($C44,'Hist Data'!$A$2:$CN$428,'Unchained Indices'!I$2,0)/VLOOKUP($C43,'Hist Data'!$A$2:$CN$428,'Unchained Indices'!I$2,0)-1</f>
        <v>1.6352824578790726E-2</v>
      </c>
      <c r="J44">
        <f>VLOOKUP($C44,'Hist Data'!$A$2:$CN$428,'Unchained Indices'!J$2,0)/VLOOKUP($C43,'Hist Data'!$A$2:$CN$428,'Unchained Indices'!J$2,0)-1</f>
        <v>2.8670721112076469E-2</v>
      </c>
      <c r="K44">
        <f>VLOOKUP($C44,'Hist Data'!$A$2:$CN$428,'Unchained Indices'!K$2,0)/VLOOKUP($C43,'Hist Data'!$A$2:$CN$428,'Unchained Indices'!K$2,0)-1</f>
        <v>9.8376783079179297E-4</v>
      </c>
      <c r="L44">
        <f>VLOOKUP($C44,'Hist Data'!$A$2:$CN$428,'Unchained Indices'!L$2,0)/VLOOKUP($C43,'Hist Data'!$A$2:$CN$428,'Unchained Indices'!L$2,0)-1</f>
        <v>7.2580645161290924E-3</v>
      </c>
      <c r="M44">
        <f>VLOOKUP($C44,'Hist Data'!$A$2:$CN$428,'Unchained Indices'!M$2,0)/VLOOKUP($C43,'Hist Data'!$A$2:$CN$428,'Unchained Indices'!M$2,0)-1</f>
        <v>2.0140986908359082E-3</v>
      </c>
      <c r="N44">
        <f>VLOOKUP($C44,'Hist Data'!$A$2:$CN$428,'Unchained Indices'!N$2,0)/VLOOKUP($C43,'Hist Data'!$A$2:$CN$428,'Unchained Indices'!N$2,0)-1</f>
        <v>7.160759040458764E-4</v>
      </c>
      <c r="O44">
        <f>VLOOKUP($C44,'Hist Data'!$A$2:$CN$428,'Unchained Indices'!O$2,0)/VLOOKUP($C43,'Hist Data'!$A$2:$CN$428,'Unchained Indices'!O$2,0)-1</f>
        <v>1.5378982057854262E-2</v>
      </c>
      <c r="P44">
        <f>VLOOKUP($C44,'Hist Data'!$A$2:$CN$428,'Unchained Indices'!P$2,0)/VLOOKUP($C43,'Hist Data'!$A$2:$CN$428,'Unchained Indices'!P$2,0)-1</f>
        <v>-1.3513513513513598E-2</v>
      </c>
      <c r="Q44">
        <f>VLOOKUP($C44,'Hist Data'!$A$2:$CN$428,'Unchained Indices'!Q$2,0)/VLOOKUP($C43,'Hist Data'!$A$2:$CN$428,'Unchained Indices'!Q$2,0)-1</f>
        <v>5.0687722873153263E-2</v>
      </c>
      <c r="R44">
        <f>VLOOKUP($C44,'Hist Data'!$A$2:$CN$428,'Unchained Indices'!R$2,0)/VLOOKUP($C43,'Hist Data'!$A$2:$CN$428,'Unchained Indices'!R$2,0)-1</f>
        <v>7.025862068965516E-2</v>
      </c>
      <c r="S44">
        <f>VLOOKUP($C44,'Hist Data'!$A$2:$CN$428,'Unchained Indices'!S$2,0)/VLOOKUP($C43,'Hist Data'!$A$2:$CN$428,'Unchained Indices'!S$2,0)-1</f>
        <v>8.8087248322148426E-3</v>
      </c>
      <c r="T44">
        <f>VLOOKUP($C44,'Hist Data'!$A$2:$CN$428,'Unchained Indices'!T$2,0)/VLOOKUP($C43,'Hist Data'!$A$2:$CN$428,'Unchained Indices'!T$2,0)-1</f>
        <v>3.260363297624691E-3</v>
      </c>
      <c r="U44">
        <f>VLOOKUP($C44,'Hist Data'!$A$2:$CN$428,'Unchained Indices'!U$2,0)/VLOOKUP($C43,'Hist Data'!$A$2:$CN$428,'Unchained Indices'!U$2,0)-1</f>
        <v>1.7378163959199222E-2</v>
      </c>
      <c r="V44">
        <f>VLOOKUP($C44,'Hist Data'!$A$2:$CN$428,'Unchained Indices'!V$2,0)/VLOOKUP($C43,'Hist Data'!$A$2:$CN$428,'Unchained Indices'!V$2,0)-1</f>
        <v>-7.6190476190476364E-3</v>
      </c>
      <c r="W44">
        <f>VLOOKUP($C44,'Hist Data'!$A$2:$CN$428,'Unchained Indices'!W$2,0)/VLOOKUP($C43,'Hist Data'!$A$2:$CN$428,'Unchained Indices'!W$2,0)-1</f>
        <v>-5.6399132321042211E-3</v>
      </c>
      <c r="X44">
        <f>VLOOKUP($C44,'Hist Data'!$A$2:$CN$428,'Unchained Indices'!X$2,0)/VLOOKUP($C43,'Hist Data'!$A$2:$CN$428,'Unchained Indices'!X$2,0)-1</f>
        <v>0</v>
      </c>
      <c r="Y44">
        <f>VLOOKUP($C44,'Hist Data'!$A$2:$CN$428,'Unchained Indices'!Y$2,0)/VLOOKUP($C43,'Hist Data'!$A$2:$CN$428,'Unchained Indices'!Y$2,0)-1</f>
        <v>1.6627078384798155E-2</v>
      </c>
      <c r="Z44">
        <f>VLOOKUP($C44,'Hist Data'!$A$2:$CN$428,'Unchained Indices'!Z$2,0)/VLOOKUP($C43,'Hist Data'!$A$2:$CN$428,'Unchained Indices'!Z$2,0)-1</f>
        <v>5.3632374451486609E-3</v>
      </c>
      <c r="AA44">
        <f>VLOOKUP($C44,'Hist Data'!$A$2:$CN$428,'Unchained Indices'!AA$2,0)/VLOOKUP($C43,'Hist Data'!$A$2:$CN$428,'Unchained Indices'!AA$2,0)-1</f>
        <v>-3.9800995024875663E-3</v>
      </c>
      <c r="AB44">
        <f>VLOOKUP($C44,'Hist Data'!$A$2:$CN$428,'Unchained Indices'!AB$2,0)/VLOOKUP($C43,'Hist Data'!$A$2:$CN$428,'Unchained Indices'!AB$2,0)-1</f>
        <v>-1.3974517057131153E-2</v>
      </c>
      <c r="AC44">
        <f>VLOOKUP($C44,'Hist Data'!$A$2:$CN$428,'Unchained Indices'!AC$2,0)/VLOOKUP($C43,'Hist Data'!$A$2:$CN$428,'Unchained Indices'!AC$2,0)-1</f>
        <v>-1.440443213296394E-2</v>
      </c>
      <c r="AD44">
        <f>VLOOKUP($C44,'Hist Data'!$A$2:$CN$428,'Unchained Indices'!AD$2,0)/VLOOKUP($C43,'Hist Data'!$A$2:$CN$428,'Unchained Indices'!AD$2,0)-1</f>
        <v>-1.3944223107569709E-2</v>
      </c>
      <c r="AE44">
        <f>VLOOKUP($C44,'Hist Data'!$A$2:$CN$428,'Unchained Indices'!AE$2,0)/VLOOKUP($C43,'Hist Data'!$A$2:$CN$428,'Unchained Indices'!AE$2,0)-1</f>
        <v>-2.7352297592997399E-3</v>
      </c>
      <c r="AF44">
        <f>VLOOKUP($C44,'Hist Data'!$A$2:$CN$428,'Unchained Indices'!AF$2,0)/VLOOKUP($C43,'Hist Data'!$A$2:$CN$428,'Unchained Indices'!AF$2,0)-1</f>
        <v>-4.4814340588987811E-3</v>
      </c>
      <c r="AG44">
        <f>VLOOKUP($C44,'Hist Data'!$A$2:$CN$428,'Unchained Indices'!AG$2,0)/VLOOKUP($C43,'Hist Data'!$A$2:$CN$428,'Unchained Indices'!AG$2,0)-1</f>
        <v>3.5473572188720048E-3</v>
      </c>
      <c r="AH44">
        <f>VLOOKUP($C44,'Hist Data'!$A$2:$CN$428,'Unchained Indices'!AH$2,0)/VLOOKUP($C43,'Hist Data'!$A$2:$CN$428,'Unchained Indices'!AH$2,0)-1</f>
        <v>-1.3066557778685262E-2</v>
      </c>
      <c r="AI44">
        <f>VLOOKUP($C44,'Hist Data'!$A$2:$CN$428,'Unchained Indices'!AI$2,0)/VLOOKUP($C43,'Hist Data'!$A$2:$CN$428,'Unchained Indices'!AI$2,0)-1</f>
        <v>-1.9725557461406473E-2</v>
      </c>
      <c r="AJ44">
        <f>VLOOKUP($C44,'Hist Data'!$A$2:$CN$428,'Unchained Indices'!AJ$2,0)/VLOOKUP($C43,'Hist Data'!$A$2:$CN$428,'Unchained Indices'!AJ$2,0)-1</f>
        <v>1.3965573238064355E-2</v>
      </c>
      <c r="AK44">
        <f>VLOOKUP($C44,'Hist Data'!$A$2:$CN$428,'Unchained Indices'!AK$2,0)/VLOOKUP($C43,'Hist Data'!$A$2:$CN$428,'Unchained Indices'!AK$2,0)-1</f>
        <v>-4.2452830188679513E-3</v>
      </c>
      <c r="AL44">
        <f>VLOOKUP($C44,'Hist Data'!$A$2:$CN$428,'Unchained Indices'!AL$2,0)/VLOOKUP($C43,'Hist Data'!$A$2:$CN$428,'Unchained Indices'!AL$2,0)-1</f>
        <v>6.8277310924369505E-3</v>
      </c>
      <c r="AM44">
        <f>VLOOKUP($C44,'Hist Data'!$A$2:$CN$428,'Unchained Indices'!AM$2,0)/VLOOKUP($C43,'Hist Data'!$A$2:$CN$428,'Unchained Indices'!AM$2,0)-1</f>
        <v>4.2735042735042583E-3</v>
      </c>
      <c r="AN44">
        <f>VLOOKUP($C44,'Hist Data'!$A$2:$CN$428,'Unchained Indices'!AN$2,0)/VLOOKUP($C43,'Hist Data'!$A$2:$CN$428,'Unchained Indices'!AN$2,0)-1</f>
        <v>6.2516280281323944E-3</v>
      </c>
      <c r="AO44">
        <f>VLOOKUP($C44,'Hist Data'!$A$2:$CN$428,'Unchained Indices'!AO$2,0)/VLOOKUP($C43,'Hist Data'!$A$2:$CN$428,'Unchained Indices'!AO$2,0)-1</f>
        <v>7.2421784472769257E-3</v>
      </c>
      <c r="AP44">
        <f>VLOOKUP($C44,'Hist Data'!$A$2:$CN$428,'Unchained Indices'!AP$2,0)/VLOOKUP($C43,'Hist Data'!$A$2:$CN$428,'Unchained Indices'!AP$2,0)-1</f>
        <v>1.1161846778285245E-2</v>
      </c>
      <c r="AQ44">
        <f>VLOOKUP($C44,'Hist Data'!$A$2:$CN$428,'Unchained Indices'!AQ$2,0)/VLOOKUP($C43,'Hist Data'!$A$2:$CN$428,'Unchained Indices'!AQ$2,0)-1</f>
        <v>3.4305317324185847E-3</v>
      </c>
      <c r="AR44">
        <f>VLOOKUP($C44,'Hist Data'!$A$2:$CN$428,'Unchained Indices'!AR$2,0)/VLOOKUP($C43,'Hist Data'!$A$2:$CN$428,'Unchained Indices'!AR$2,0)-1</f>
        <v>1.7130620985010836E-2</v>
      </c>
      <c r="AS44">
        <f>VLOOKUP($C44,'Hist Data'!$A$2:$CN$428,'Unchained Indices'!AS$2,0)/VLOOKUP($C43,'Hist Data'!$A$2:$CN$428,'Unchained Indices'!AS$2,0)-1</f>
        <v>2.5489186405767361E-2</v>
      </c>
      <c r="AT44">
        <f>VLOOKUP($C44,'Hist Data'!$A$2:$CN$428,'Unchained Indices'!AT$2,0)/VLOOKUP($C43,'Hist Data'!$A$2:$CN$428,'Unchained Indices'!AT$2,0)-1</f>
        <v>1.3062409288824517E-2</v>
      </c>
      <c r="AU44">
        <f>VLOOKUP($C44,'Hist Data'!$A$2:$CN$428,'Unchained Indices'!AU$2,0)/VLOOKUP($C43,'Hist Data'!$A$2:$CN$428,'Unchained Indices'!AU$2,0)-1</f>
        <v>1.1239706209659417E-2</v>
      </c>
      <c r="AV44">
        <f>VLOOKUP($C44,'Hist Data'!$A$2:$CN$428,'Unchained Indices'!AV$2,0)/VLOOKUP($C43,'Hist Data'!$A$2:$CN$428,'Unchained Indices'!AV$2,0)-1</f>
        <v>2.1220547343772767E-2</v>
      </c>
      <c r="AW44">
        <f>VLOOKUP($C44,'Hist Data'!$A$2:$CN$428,'Unchained Indices'!AW$2,0)/VLOOKUP($C43,'Hist Data'!$A$2:$CN$428,'Unchained Indices'!AW$2,0)-1</f>
        <v>1.5236160487557271E-3</v>
      </c>
      <c r="AX44">
        <f>VLOOKUP($C44,'Hist Data'!$A$2:$CN$428,'Unchained Indices'!AX$2,0)/VLOOKUP($C43,'Hist Data'!$A$2:$CN$428,'Unchained Indices'!AX$2,0)-1</f>
        <v>1.4997794441993895E-2</v>
      </c>
      <c r="AY44">
        <f>VLOOKUP($C44,'Hist Data'!$A$2:$CN$428,'Unchained Indices'!AY$2,0)/VLOOKUP($C43,'Hist Data'!$A$2:$CN$428,'Unchained Indices'!AY$2,0)-1</f>
        <v>8.6170659941151584E-3</v>
      </c>
      <c r="AZ44">
        <f>VLOOKUP($C44,'Hist Data'!$A$2:$CN$428,'Unchained Indices'!AZ$2,0)/VLOOKUP($C43,'Hist Data'!$A$2:$CN$428,'Unchained Indices'!AZ$2,0)-1</f>
        <v>0</v>
      </c>
      <c r="BA44">
        <f>VLOOKUP($C44,'Hist Data'!$A$2:$CN$428,'Unchained Indices'!BA$2,0)/VLOOKUP($C43,'Hist Data'!$A$2:$CN$428,'Unchained Indices'!BA$2,0)-1</f>
        <v>0</v>
      </c>
      <c r="BB44">
        <f>VLOOKUP($C44,'Hist Data'!$A$2:$CN$428,'Unchained Indices'!BB$2,0)/VLOOKUP($C43,'Hist Data'!$A$2:$CN$428,'Unchained Indices'!BB$2,0)-1</f>
        <v>2.2889114954223189E-3</v>
      </c>
      <c r="BC44">
        <f>VLOOKUP($C44,'Hist Data'!$A$2:$CN$428,'Unchained Indices'!BC$2,0)/VLOOKUP($C43,'Hist Data'!$A$2:$CN$428,'Unchained Indices'!BC$2,0)-1</f>
        <v>1.7278617710583255E-2</v>
      </c>
      <c r="BD44">
        <f>VLOOKUP($C44,'Hist Data'!$A$2:$CN$428,'Unchained Indices'!BD$2,0)/VLOOKUP($C43,'Hist Data'!$A$2:$CN$428,'Unchained Indices'!BD$2,0)-1</f>
        <v>2.8065251710227557E-3</v>
      </c>
      <c r="BE44">
        <f>VLOOKUP($C44,'Hist Data'!$A$2:$CN$428,'Unchained Indices'!BE$2,0)/VLOOKUP($C43,'Hist Data'!$A$2:$CN$428,'Unchained Indices'!BE$2,0)-1</f>
        <v>3.5436039205830605E-2</v>
      </c>
      <c r="BF44">
        <f>VLOOKUP($C44,'Hist Data'!$A$2:$CN$428,'Unchained Indices'!BF$2,0)/VLOOKUP($C43,'Hist Data'!$A$2:$CN$428,'Unchained Indices'!BF$2,0)-1</f>
        <v>0</v>
      </c>
      <c r="BG44">
        <f>VLOOKUP($C44,'Hist Data'!$A$2:$CN$428,'Unchained Indices'!BG$2,0)/VLOOKUP($C43,'Hist Data'!$A$2:$CN$428,'Unchained Indices'!BG$2,0)-1</f>
        <v>0</v>
      </c>
      <c r="BH44">
        <f>VLOOKUP($C44,'Hist Data'!$A$2:$CN$428,'Unchained Indices'!BH$2,0)/VLOOKUP($C43,'Hist Data'!$A$2:$CN$428,'Unchained Indices'!BH$2,0)-1</f>
        <v>0.34793229802826731</v>
      </c>
      <c r="BI44">
        <f>VLOOKUP($C44,'Hist Data'!$A$2:$CN$428,'Unchained Indices'!BI$2,0)/VLOOKUP($C43,'Hist Data'!$A$2:$CN$428,'Unchained Indices'!BI$2,0)-1</f>
        <v>3.5057471264367868E-2</v>
      </c>
      <c r="BJ44">
        <f>VLOOKUP($C44,'Hist Data'!$A$2:$CN$428,'Unchained Indices'!BJ$2,0)/VLOOKUP($C43,'Hist Data'!$A$2:$CN$428,'Unchained Indices'!BJ$2,0)-1</f>
        <v>1.1925042589437718E-2</v>
      </c>
      <c r="BK44">
        <f>VLOOKUP($C44,'Hist Data'!$A$2:$CN$428,'Unchained Indices'!BK$2,0)/VLOOKUP($C43,'Hist Data'!$A$2:$CN$428,'Unchained Indices'!BK$2,0)-1</f>
        <v>7.8563411896745983E-3</v>
      </c>
      <c r="BL44">
        <f>VLOOKUP($C44,'Hist Data'!$A$2:$CN$428,'Unchained Indices'!BL$2,0)/VLOOKUP($C43,'Hist Data'!$A$2:$CN$428,'Unchained Indices'!BL$2,0)-1</f>
        <v>1.1226611226611283E-2</v>
      </c>
      <c r="BM44">
        <f>VLOOKUP($C44,'Hist Data'!$A$2:$CN$428,'Unchained Indices'!BM$2,0)/VLOOKUP($C43,'Hist Data'!$A$2:$CN$428,'Unchained Indices'!BM$2,0)-1</f>
        <v>5.9225512528473523E-3</v>
      </c>
      <c r="BN44">
        <f>VLOOKUP($C44,'Hist Data'!$A$2:$CN$428,'Unchained Indices'!BN$2,0)/VLOOKUP($C43,'Hist Data'!$A$2:$CN$428,'Unchained Indices'!BN$2,0)-1</f>
        <v>5.9545962039448952E-3</v>
      </c>
      <c r="BO44">
        <f>VLOOKUP($C44,'Hist Data'!$A$2:$CN$428,'Unchained Indices'!BO$2,0)/VLOOKUP($C43,'Hist Data'!$A$2:$CN$428,'Unchained Indices'!BO$2,0)-1</f>
        <v>0</v>
      </c>
      <c r="BP44">
        <f>VLOOKUP($C44,'Hist Data'!$A$2:$CN$428,'Unchained Indices'!BP$2,0)/VLOOKUP($C43,'Hist Data'!$A$2:$CN$428,'Unchained Indices'!BP$2,0)-1</f>
        <v>-1.6638935108153063E-3</v>
      </c>
      <c r="BQ44">
        <f>VLOOKUP($C44,'Hist Data'!$A$2:$CN$428,'Unchained Indices'!BQ$2,0)/VLOOKUP($C43,'Hist Data'!$A$2:$CN$428,'Unchained Indices'!BQ$2,0)-1</f>
        <v>2.9946524064170532E-3</v>
      </c>
      <c r="BR44">
        <f>VLOOKUP($C44,'Hist Data'!$A$2:$CN$428,'Unchained Indices'!BR$2,0)/VLOOKUP($C43,'Hist Data'!$A$2:$CN$428,'Unchained Indices'!BR$2,0)-1</f>
        <v>1.4139271827502409E-3</v>
      </c>
      <c r="BS44">
        <f>VLOOKUP($C44,'Hist Data'!$A$2:$CN$428,'Unchained Indices'!BS$2,0)/VLOOKUP($C43,'Hist Data'!$A$2:$CN$428,'Unchained Indices'!BS$2,0)-1</f>
        <v>6.1755624172915802E-2</v>
      </c>
      <c r="BT44">
        <f>VLOOKUP($C44,'Hist Data'!$A$2:$CN$428,'Unchained Indices'!BT$2,0)/VLOOKUP($C43,'Hist Data'!$A$2:$CN$428,'Unchained Indices'!BT$2,0)-1</f>
        <v>4.4865403788634017E-2</v>
      </c>
      <c r="BU44">
        <f>VLOOKUP($C44,'Hist Data'!$A$2:$CN$428,'Unchained Indices'!BU$2,0)/VLOOKUP($C43,'Hist Data'!$A$2:$CN$428,'Unchained Indices'!BU$2,0)-1</f>
        <v>4.4124268347591311E-2</v>
      </c>
      <c r="BV44">
        <f>VLOOKUP($C44,'Hist Data'!$A$2:$CN$428,'Unchained Indices'!BV$2,0)/VLOOKUP($C43,'Hist Data'!$A$2:$CN$428,'Unchained Indices'!BV$2,0)-1</f>
        <v>1.5506807866868533E-2</v>
      </c>
      <c r="BW44">
        <f>VLOOKUP($C44,'Hist Data'!$A$2:$CN$428,'Unchained Indices'!BW$2,0)/VLOOKUP($C43,'Hist Data'!$A$2:$CN$428,'Unchained Indices'!BW$2,0)-1</f>
        <v>1.371428571428579E-2</v>
      </c>
      <c r="BX44">
        <f>VLOOKUP($C44,'Hist Data'!$A$2:$CN$428,'Unchained Indices'!BX$2,0)/VLOOKUP($C43,'Hist Data'!$A$2:$CN$428,'Unchained Indices'!BX$2,0)-1</f>
        <v>1.5185350602947789E-2</v>
      </c>
      <c r="BY44">
        <f>VLOOKUP($C44,'Hist Data'!$A$2:$CN$428,'Unchained Indices'!BY$2,0)/VLOOKUP($C43,'Hist Data'!$A$2:$CN$428,'Unchained Indices'!BY$2,0)-1</f>
        <v>1.7182130584192379E-3</v>
      </c>
      <c r="BZ44">
        <f>VLOOKUP($C44,'Hist Data'!$A$2:$CN$428,'Unchained Indices'!BZ$2,0)/VLOOKUP($C43,'Hist Data'!$A$2:$CN$428,'Unchained Indices'!BZ$2,0)-1</f>
        <v>3.299785513941611E-3</v>
      </c>
      <c r="CA44">
        <f>VLOOKUP($C44,'Hist Data'!$A$2:$CN$428,'Unchained Indices'!CA$2,0)/VLOOKUP($C43,'Hist Data'!$A$2:$CN$428,'Unchained Indices'!CA$2,0)-1</f>
        <v>-8.4817642069556776E-4</v>
      </c>
      <c r="CB44">
        <f>VLOOKUP($C44,'Hist Data'!$A$2:$CN$428,'Unchained Indices'!CB$2,0)/VLOOKUP($C43,'Hist Data'!$A$2:$CN$428,'Unchained Indices'!CB$2,0)-1</f>
        <v>4.3598890210068131E-3</v>
      </c>
      <c r="CC44">
        <f>VLOOKUP($C44,'Hist Data'!$A$2:$CN$428,'Unchained Indices'!CC$2,0)/VLOOKUP($C43,'Hist Data'!$A$2:$CN$428,'Unchained Indices'!CC$2,0)-1</f>
        <v>0.10034843205574906</v>
      </c>
      <c r="CD44">
        <f>VLOOKUP($C44,'Hist Data'!$A$2:$CN$428,'Unchained Indices'!CD$2,0)/VLOOKUP($C43,'Hist Data'!$A$2:$CN$428,'Unchained Indices'!CD$2,0)-1</f>
        <v>1.2919896640826822E-2</v>
      </c>
      <c r="CE44">
        <f>VLOOKUP($C44,'Hist Data'!$A$2:$CN$428,'Unchained Indices'!CE$2,0)/VLOOKUP($C43,'Hist Data'!$A$2:$CN$428,'Unchained Indices'!CE$2,0)-1</f>
        <v>3.653169014084523E-2</v>
      </c>
      <c r="CF44">
        <f>VLOOKUP($C44,'Hist Data'!$A$2:$CN$428,'Unchained Indices'!CF$2,0)/VLOOKUP($C43,'Hist Data'!$A$2:$CN$428,'Unchained Indices'!CF$2,0)-1</f>
        <v>-7.0187752237227397E-4</v>
      </c>
      <c r="CG44">
        <f>VLOOKUP($C44,'Hist Data'!$A$2:$CN$428,'Unchained Indices'!CG$2,0)/VLOOKUP($C43,'Hist Data'!$A$2:$CN$428,'Unchained Indices'!CG$2,0)-1</f>
        <v>8.2355877214874695E-3</v>
      </c>
      <c r="CH44">
        <f>VLOOKUP($C44,'Hist Data'!$A$2:$CN$428,'Unchained Indices'!CH$2,0)/VLOOKUP($C43,'Hist Data'!$A$2:$CN$428,'Unchained Indices'!CH$2,0)-1</f>
        <v>0</v>
      </c>
      <c r="CI44">
        <f>VLOOKUP($C44,'Hist Data'!$A$2:$CN$428,'Unchained Indices'!CI$2,0)/VLOOKUP($C43,'Hist Data'!$A$2:$CN$428,'Unchained Indices'!CI$2,0)-1</f>
        <v>1.1477761836441891E-2</v>
      </c>
      <c r="CJ44">
        <f>VLOOKUP($C44,'Hist Data'!$A$2:$CN$428,'Unchained Indices'!CJ$2,0)/VLOOKUP($C43,'Hist Data'!$A$2:$CN$428,'Unchained Indices'!CJ$2,0)-1</f>
        <v>9.3632958801515009E-4</v>
      </c>
      <c r="CK44">
        <f>VLOOKUP($C44,'Hist Data'!$A$2:$CN$428,'Unchained Indices'!CK$2,0)/VLOOKUP($C43,'Hist Data'!$A$2:$CN$428,'Unchained Indices'!CK$2,0)-1</f>
        <v>-1.9747668678003261E-2</v>
      </c>
      <c r="CL44">
        <f>VLOOKUP($C44,'Hist Data'!$A$2:$CN$428,'Unchained Indices'!CL$2,0)/VLOOKUP($C43,'Hist Data'!$A$2:$CN$428,'Unchained Indices'!CL$2,0)-1</f>
        <v>1.0272443054935243E-2</v>
      </c>
      <c r="CM44">
        <f>VLOOKUP($C44,'Hist Data'!$A$2:$CN$428,'Unchained Indices'!CM$2,0)/VLOOKUP($C43,'Hist Data'!$A$2:$CN$428,'Unchained Indices'!CM$2,0)-1</f>
        <v>0</v>
      </c>
      <c r="CN44">
        <f>VLOOKUP($C44,'Hist Data'!$A$2:$CN$428,'Unchained Indices'!CN$2,0)/VLOOKUP($C43,'Hist Data'!$A$2:$CN$428,'Unchained Indices'!CN$2,0)-1</f>
        <v>7.1651090342679247E-3</v>
      </c>
      <c r="CO44">
        <f>VLOOKUP($C44,'Hist Data'!$A$2:$CN$428,'Unchained Indices'!CO$2,0)/VLOOKUP($C43,'Hist Data'!$A$2:$CN$428,'Unchained Indices'!CO$2,0)-1</f>
        <v>9.983361064891394E-4</v>
      </c>
      <c r="CP44">
        <f>VLOOKUP($C44,'Hist Data'!$A$2:$CN$428,'Unchained Indices'!CP$2,0)/VLOOKUP($C43,'Hist Data'!$A$2:$CN$428,'Unchained Indices'!CP$2,0)-1</f>
        <v>2.3311621528968152E-2</v>
      </c>
    </row>
    <row r="45" spans="1:94" x14ac:dyDescent="0.25">
      <c r="C45" s="6">
        <f t="shared" si="10"/>
        <v>44652</v>
      </c>
      <c r="D45">
        <f>VLOOKUP($C45,'Hist Data'!$A$2:$CN$428,'Unchained Indices'!D$2,0)/VLOOKUP($C44,'Hist Data'!$A$2:$CN$428,'Unchained Indices'!D$2,0)-1</f>
        <v>4.6296296296295392E-3</v>
      </c>
      <c r="E45">
        <f>VLOOKUP($C45,'Hist Data'!$A$2:$CN$428,'Unchained Indices'!E$2,0)/VLOOKUP($C44,'Hist Data'!$A$2:$CN$428,'Unchained Indices'!E$2,0)-1</f>
        <v>5.4769511638521617E-3</v>
      </c>
      <c r="F45">
        <f>VLOOKUP($C45,'Hist Data'!$A$2:$CN$428,'Unchained Indices'!F$2,0)/VLOOKUP($C44,'Hist Data'!$A$2:$CN$428,'Unchained Indices'!F$2,0)-1</f>
        <v>5.8411214953270951E-2</v>
      </c>
      <c r="G45">
        <f>VLOOKUP($C45,'Hist Data'!$A$2:$CN$428,'Unchained Indices'!G$2,0)/VLOOKUP($C44,'Hist Data'!$A$2:$CN$428,'Unchained Indices'!G$2,0)-1</f>
        <v>6.7996373526744147E-3</v>
      </c>
      <c r="H45">
        <f>VLOOKUP($C45,'Hist Data'!$A$2:$CN$428,'Unchained Indices'!H$2,0)/VLOOKUP($C44,'Hist Data'!$A$2:$CN$428,'Unchained Indices'!H$2,0)-1</f>
        <v>1.1488111140796287E-2</v>
      </c>
      <c r="I45">
        <f>VLOOKUP($C45,'Hist Data'!$A$2:$CN$428,'Unchained Indices'!I$2,0)/VLOOKUP($C44,'Hist Data'!$A$2:$CN$428,'Unchained Indices'!I$2,0)-1</f>
        <v>1.1701608971233624E-2</v>
      </c>
      <c r="J45">
        <f>VLOOKUP($C45,'Hist Data'!$A$2:$CN$428,'Unchained Indices'!J$2,0)/VLOOKUP($C44,'Hist Data'!$A$2:$CN$428,'Unchained Indices'!J$2,0)-1</f>
        <v>9.2905405405405705E-3</v>
      </c>
      <c r="K45">
        <f>VLOOKUP($C45,'Hist Data'!$A$2:$CN$428,'Unchained Indices'!K$2,0)/VLOOKUP($C44,'Hist Data'!$A$2:$CN$428,'Unchained Indices'!K$2,0)-1</f>
        <v>8.3538083538083896E-3</v>
      </c>
      <c r="L45">
        <f>VLOOKUP($C45,'Hist Data'!$A$2:$CN$428,'Unchained Indices'!L$2,0)/VLOOKUP($C44,'Hist Data'!$A$2:$CN$428,'Unchained Indices'!L$2,0)-1</f>
        <v>2.6421136909527521E-2</v>
      </c>
      <c r="M45">
        <f>VLOOKUP($C45,'Hist Data'!$A$2:$CN$428,'Unchained Indices'!M$2,0)/VLOOKUP($C44,'Hist Data'!$A$2:$CN$428,'Unchained Indices'!M$2,0)-1</f>
        <v>2.864321608040199E-2</v>
      </c>
      <c r="N45">
        <f>VLOOKUP($C45,'Hist Data'!$A$2:$CN$428,'Unchained Indices'!N$2,0)/VLOOKUP($C44,'Hist Data'!$A$2:$CN$428,'Unchained Indices'!N$2,0)-1</f>
        <v>1.9320214669051872E-2</v>
      </c>
      <c r="O45">
        <f>VLOOKUP($C45,'Hist Data'!$A$2:$CN$428,'Unchained Indices'!O$2,0)/VLOOKUP($C44,'Hist Data'!$A$2:$CN$428,'Unchained Indices'!O$2,0)-1</f>
        <v>1.0818608005769281E-3</v>
      </c>
      <c r="P45">
        <f>VLOOKUP($C45,'Hist Data'!$A$2:$CN$428,'Unchained Indices'!P$2,0)/VLOOKUP($C44,'Hist Data'!$A$2:$CN$428,'Unchained Indices'!P$2,0)-1</f>
        <v>3.7851478010093809E-2</v>
      </c>
      <c r="Q45">
        <f>VLOOKUP($C45,'Hist Data'!$A$2:$CN$428,'Unchained Indices'!Q$2,0)/VLOOKUP($C44,'Hist Data'!$A$2:$CN$428,'Unchained Indices'!Q$2,0)-1</f>
        <v>-1.1636363636363667E-2</v>
      </c>
      <c r="R45">
        <f>VLOOKUP($C45,'Hist Data'!$A$2:$CN$428,'Unchained Indices'!R$2,0)/VLOOKUP($C44,'Hist Data'!$A$2:$CN$428,'Unchained Indices'!R$2,0)-1</f>
        <v>-6.0410793395087037E-3</v>
      </c>
      <c r="S45">
        <f>VLOOKUP($C45,'Hist Data'!$A$2:$CN$428,'Unchained Indices'!S$2,0)/VLOOKUP($C44,'Hist Data'!$A$2:$CN$428,'Unchained Indices'!S$2,0)-1</f>
        <v>2.1621621621621623E-2</v>
      </c>
      <c r="T45">
        <f>VLOOKUP($C45,'Hist Data'!$A$2:$CN$428,'Unchained Indices'!T$2,0)/VLOOKUP($C44,'Hist Data'!$A$2:$CN$428,'Unchained Indices'!T$2,0)-1</f>
        <v>-1.5320334261838542E-2</v>
      </c>
      <c r="U45">
        <f>VLOOKUP($C45,'Hist Data'!$A$2:$CN$428,'Unchained Indices'!U$2,0)/VLOOKUP($C44,'Hist Data'!$A$2:$CN$428,'Unchained Indices'!U$2,0)-1</f>
        <v>5.9413293724470684E-3</v>
      </c>
      <c r="V45">
        <f>VLOOKUP($C45,'Hist Data'!$A$2:$CN$428,'Unchained Indices'!V$2,0)/VLOOKUP($C44,'Hist Data'!$A$2:$CN$428,'Unchained Indices'!V$2,0)-1</f>
        <v>2.5431861804222633E-2</v>
      </c>
      <c r="W45">
        <f>VLOOKUP($C45,'Hist Data'!$A$2:$CN$428,'Unchained Indices'!W$2,0)/VLOOKUP($C44,'Hist Data'!$A$2:$CN$428,'Unchained Indices'!W$2,0)-1</f>
        <v>-2.6178010471203939E-3</v>
      </c>
      <c r="X45">
        <f>VLOOKUP($C45,'Hist Data'!$A$2:$CN$428,'Unchained Indices'!X$2,0)/VLOOKUP($C44,'Hist Data'!$A$2:$CN$428,'Unchained Indices'!X$2,0)-1</f>
        <v>2.1563342318059231E-2</v>
      </c>
      <c r="Y45">
        <f>VLOOKUP($C45,'Hist Data'!$A$2:$CN$428,'Unchained Indices'!Y$2,0)/VLOOKUP($C44,'Hist Data'!$A$2:$CN$428,'Unchained Indices'!Y$2,0)-1</f>
        <v>-3.0040053404540856E-3</v>
      </c>
      <c r="Z45">
        <f>VLOOKUP($C45,'Hist Data'!$A$2:$CN$428,'Unchained Indices'!Z$2,0)/VLOOKUP($C44,'Hist Data'!$A$2:$CN$428,'Unchained Indices'!Z$2,0)-1</f>
        <v>2.1823472356935048E-2</v>
      </c>
      <c r="AA45">
        <f>VLOOKUP($C45,'Hist Data'!$A$2:$CN$428,'Unchained Indices'!AA$2,0)/VLOOKUP($C44,'Hist Data'!$A$2:$CN$428,'Unchained Indices'!AA$2,0)-1</f>
        <v>1.6983016983016963E-2</v>
      </c>
      <c r="AB45">
        <f>VLOOKUP($C45,'Hist Data'!$A$2:$CN$428,'Unchained Indices'!AB$2,0)/VLOOKUP($C44,'Hist Data'!$A$2:$CN$428,'Unchained Indices'!AB$2,0)-1</f>
        <v>2.2926219258024183E-2</v>
      </c>
      <c r="AC45">
        <f>VLOOKUP($C45,'Hist Data'!$A$2:$CN$428,'Unchained Indices'!AC$2,0)/VLOOKUP($C44,'Hist Data'!$A$2:$CN$428,'Unchained Indices'!AC$2,0)-1</f>
        <v>5.6211354693647131E-3</v>
      </c>
      <c r="AD45">
        <f>VLOOKUP($C45,'Hist Data'!$A$2:$CN$428,'Unchained Indices'!AD$2,0)/VLOOKUP($C44,'Hist Data'!$A$2:$CN$428,'Unchained Indices'!AD$2,0)-1</f>
        <v>2.7070707070707023E-2</v>
      </c>
      <c r="AE45">
        <f>VLOOKUP($C45,'Hist Data'!$A$2:$CN$428,'Unchained Indices'!AE$2,0)/VLOOKUP($C44,'Hist Data'!$A$2:$CN$428,'Unchained Indices'!AE$2,0)-1</f>
        <v>5.4854635216676773E-3</v>
      </c>
      <c r="AF45">
        <f>VLOOKUP($C45,'Hist Data'!$A$2:$CN$428,'Unchained Indices'!AF$2,0)/VLOOKUP($C44,'Hist Data'!$A$2:$CN$428,'Unchained Indices'!AF$2,0)-1</f>
        <v>9.6463022508037621E-3</v>
      </c>
      <c r="AG45">
        <f>VLOOKUP($C45,'Hist Data'!$A$2:$CN$428,'Unchained Indices'!AG$2,0)/VLOOKUP($C44,'Hist Data'!$A$2:$CN$428,'Unchained Indices'!AG$2,0)-1</f>
        <v>-9.1905266878754555E-3</v>
      </c>
      <c r="AH45">
        <f>VLOOKUP($C45,'Hist Data'!$A$2:$CN$428,'Unchained Indices'!AH$2,0)/VLOOKUP($C44,'Hist Data'!$A$2:$CN$428,'Unchained Indices'!AH$2,0)-1</f>
        <v>-1.2412081092262328E-3</v>
      </c>
      <c r="AI45">
        <f>VLOOKUP($C45,'Hist Data'!$A$2:$CN$428,'Unchained Indices'!AI$2,0)/VLOOKUP($C44,'Hist Data'!$A$2:$CN$428,'Unchained Indices'!AI$2,0)-1</f>
        <v>-1.7497812773403787E-3</v>
      </c>
      <c r="AJ45">
        <f>VLOOKUP($C45,'Hist Data'!$A$2:$CN$428,'Unchained Indices'!AJ$2,0)/VLOOKUP($C44,'Hist Data'!$A$2:$CN$428,'Unchained Indices'!AJ$2,0)-1</f>
        <v>9.6092248558621307E-4</v>
      </c>
      <c r="AK45">
        <f>VLOOKUP($C45,'Hist Data'!$A$2:$CN$428,'Unchained Indices'!AK$2,0)/VLOOKUP($C44,'Hist Data'!$A$2:$CN$428,'Unchained Indices'!AK$2,0)-1</f>
        <v>2.0843202273803874E-2</v>
      </c>
      <c r="AL45">
        <f>VLOOKUP($C45,'Hist Data'!$A$2:$CN$428,'Unchained Indices'!AL$2,0)/VLOOKUP($C44,'Hist Data'!$A$2:$CN$428,'Unchained Indices'!AL$2,0)-1</f>
        <v>2.3735002608242128E-2</v>
      </c>
      <c r="AM45">
        <f>VLOOKUP($C45,'Hist Data'!$A$2:$CN$428,'Unchained Indices'!AM$2,0)/VLOOKUP($C44,'Hist Data'!$A$2:$CN$428,'Unchained Indices'!AM$2,0)-1</f>
        <v>1.0874704491725895E-2</v>
      </c>
      <c r="AN45">
        <f>VLOOKUP($C45,'Hist Data'!$A$2:$CN$428,'Unchained Indices'!AN$2,0)/VLOOKUP($C44,'Hist Data'!$A$2:$CN$428,'Unchained Indices'!AN$2,0)-1</f>
        <v>1.8897230132021825E-2</v>
      </c>
      <c r="AO45">
        <f>VLOOKUP($C45,'Hist Data'!$A$2:$CN$428,'Unchained Indices'!AO$2,0)/VLOOKUP($C44,'Hist Data'!$A$2:$CN$428,'Unchained Indices'!AO$2,0)-1</f>
        <v>2.0132297958008749E-3</v>
      </c>
      <c r="AP45">
        <f>VLOOKUP($C45,'Hist Data'!$A$2:$CN$428,'Unchained Indices'!AP$2,0)/VLOOKUP($C44,'Hist Data'!$A$2:$CN$428,'Unchained Indices'!AP$2,0)-1</f>
        <v>1.5554440541896586E-2</v>
      </c>
      <c r="AQ45">
        <f>VLOOKUP($C45,'Hist Data'!$A$2:$CN$428,'Unchained Indices'!AQ$2,0)/VLOOKUP($C44,'Hist Data'!$A$2:$CN$428,'Unchained Indices'!AQ$2,0)-1</f>
        <v>-9.6866096866096152E-3</v>
      </c>
      <c r="AR45">
        <f>VLOOKUP($C45,'Hist Data'!$A$2:$CN$428,'Unchained Indices'!AR$2,0)/VLOOKUP($C44,'Hist Data'!$A$2:$CN$428,'Unchained Indices'!AR$2,0)-1</f>
        <v>3.1578947368420263E-3</v>
      </c>
      <c r="AS45">
        <f>VLOOKUP($C45,'Hist Data'!$A$2:$CN$428,'Unchained Indices'!AS$2,0)/VLOOKUP($C44,'Hist Data'!$A$2:$CN$428,'Unchained Indices'!AS$2,0)-1</f>
        <v>1.6068290233492322E-2</v>
      </c>
      <c r="AT45">
        <f>VLOOKUP($C45,'Hist Data'!$A$2:$CN$428,'Unchained Indices'!AT$2,0)/VLOOKUP($C44,'Hist Data'!$A$2:$CN$428,'Unchained Indices'!AT$2,0)-1</f>
        <v>-4.2979942693409656E-3</v>
      </c>
      <c r="AU45">
        <f>VLOOKUP($C45,'Hist Data'!$A$2:$CN$428,'Unchained Indices'!AU$2,0)/VLOOKUP($C44,'Hist Data'!$A$2:$CN$428,'Unchained Indices'!AU$2,0)-1</f>
        <v>7.5932651039947174E-3</v>
      </c>
      <c r="AV45">
        <f>VLOOKUP($C45,'Hist Data'!$A$2:$CN$428,'Unchained Indices'!AV$2,0)/VLOOKUP($C44,'Hist Data'!$A$2:$CN$428,'Unchained Indices'!AV$2,0)-1</f>
        <v>1.3900831183720319E-2</v>
      </c>
      <c r="AW45">
        <f>VLOOKUP($C45,'Hist Data'!$A$2:$CN$428,'Unchained Indices'!AW$2,0)/VLOOKUP($C44,'Hist Data'!$A$2:$CN$428,'Unchained Indices'!AW$2,0)-1</f>
        <v>7.0993914807302438E-3</v>
      </c>
      <c r="AX45">
        <f>VLOOKUP($C45,'Hist Data'!$A$2:$CN$428,'Unchained Indices'!AX$2,0)/VLOOKUP($C44,'Hist Data'!$A$2:$CN$428,'Unchained Indices'!AX$2,0)-1</f>
        <v>1.6949152542372836E-2</v>
      </c>
      <c r="AY45">
        <f>VLOOKUP($C45,'Hist Data'!$A$2:$CN$428,'Unchained Indices'!AY$2,0)/VLOOKUP($C44,'Hist Data'!$A$2:$CN$428,'Unchained Indices'!AY$2,0)-1</f>
        <v>7.7099395707440621E-3</v>
      </c>
      <c r="AZ45">
        <f>VLOOKUP($C45,'Hist Data'!$A$2:$CN$428,'Unchained Indices'!AZ$2,0)/VLOOKUP($C44,'Hist Data'!$A$2:$CN$428,'Unchained Indices'!AZ$2,0)-1</f>
        <v>3.4200385356454754E-2</v>
      </c>
      <c r="BA45">
        <f>VLOOKUP($C45,'Hist Data'!$A$2:$CN$428,'Unchained Indices'!BA$2,0)/VLOOKUP($C44,'Hist Data'!$A$2:$CN$428,'Unchained Indices'!BA$2,0)-1</f>
        <v>3.8157894736841946E-2</v>
      </c>
      <c r="BB45">
        <f>VLOOKUP($C45,'Hist Data'!$A$2:$CN$428,'Unchained Indices'!BB$2,0)/VLOOKUP($C44,'Hist Data'!$A$2:$CN$428,'Unchained Indices'!BB$2,0)-1</f>
        <v>5.5823395077392313E-3</v>
      </c>
      <c r="BC45">
        <f>VLOOKUP($C45,'Hist Data'!$A$2:$CN$428,'Unchained Indices'!BC$2,0)/VLOOKUP($C44,'Hist Data'!$A$2:$CN$428,'Unchained Indices'!BC$2,0)-1</f>
        <v>8.4925690021231404E-3</v>
      </c>
      <c r="BD45">
        <f>VLOOKUP($C45,'Hist Data'!$A$2:$CN$428,'Unchained Indices'!BD$2,0)/VLOOKUP($C44,'Hist Data'!$A$2:$CN$428,'Unchained Indices'!BD$2,0)-1</f>
        <v>1.2768934755990724E-2</v>
      </c>
      <c r="BE45">
        <f>VLOOKUP($C45,'Hist Data'!$A$2:$CN$428,'Unchained Indices'!BE$2,0)/VLOOKUP($C44,'Hist Data'!$A$2:$CN$428,'Unchained Indices'!BE$2,0)-1</f>
        <v>2.0873786407767048E-2</v>
      </c>
      <c r="BF45">
        <f>VLOOKUP($C45,'Hist Data'!$A$2:$CN$428,'Unchained Indices'!BF$2,0)/VLOOKUP($C44,'Hist Data'!$A$2:$CN$428,'Unchained Indices'!BF$2,0)-1</f>
        <v>0.40531257155942302</v>
      </c>
      <c r="BG45">
        <f>VLOOKUP($C45,'Hist Data'!$A$2:$CN$428,'Unchained Indices'!BG$2,0)/VLOOKUP($C44,'Hist Data'!$A$2:$CN$428,'Unchained Indices'!BG$2,0)-1</f>
        <v>0.68808317781924822</v>
      </c>
      <c r="BH45">
        <f>VLOOKUP($C45,'Hist Data'!$A$2:$CN$428,'Unchained Indices'!BH$2,0)/VLOOKUP($C44,'Hist Data'!$A$2:$CN$428,'Unchained Indices'!BH$2,0)-1</f>
        <v>-3.7799352750809145E-2</v>
      </c>
      <c r="BI45">
        <f>VLOOKUP($C45,'Hist Data'!$A$2:$CN$428,'Unchained Indices'!BI$2,0)/VLOOKUP($C44,'Hist Data'!$A$2:$CN$428,'Unchained Indices'!BI$2,0)-1</f>
        <v>4.1643531371460263E-3</v>
      </c>
      <c r="BJ45">
        <f>VLOOKUP($C45,'Hist Data'!$A$2:$CN$428,'Unchained Indices'!BJ$2,0)/VLOOKUP($C44,'Hist Data'!$A$2:$CN$428,'Unchained Indices'!BJ$2,0)-1</f>
        <v>-1.4141414141414121E-2</v>
      </c>
      <c r="BK45">
        <f>VLOOKUP($C45,'Hist Data'!$A$2:$CN$428,'Unchained Indices'!BK$2,0)/VLOOKUP($C44,'Hist Data'!$A$2:$CN$428,'Unchained Indices'!BK$2,0)-1</f>
        <v>-3.3407572383072903E-3</v>
      </c>
      <c r="BL45">
        <f>VLOOKUP($C45,'Hist Data'!$A$2:$CN$428,'Unchained Indices'!BL$2,0)/VLOOKUP($C44,'Hist Data'!$A$2:$CN$428,'Unchained Indices'!BL$2,0)-1</f>
        <v>8.2236842105265495E-4</v>
      </c>
      <c r="BM45">
        <f>VLOOKUP($C45,'Hist Data'!$A$2:$CN$428,'Unchained Indices'!BM$2,0)/VLOOKUP($C44,'Hist Data'!$A$2:$CN$428,'Unchained Indices'!BM$2,0)-1</f>
        <v>3.1702898550724612E-2</v>
      </c>
      <c r="BN45">
        <f>VLOOKUP($C45,'Hist Data'!$A$2:$CN$428,'Unchained Indices'!BN$2,0)/VLOOKUP($C44,'Hist Data'!$A$2:$CN$428,'Unchained Indices'!BN$2,0)-1</f>
        <v>2.9596744358120208E-3</v>
      </c>
      <c r="BO45">
        <f>VLOOKUP($C45,'Hist Data'!$A$2:$CN$428,'Unchained Indices'!BO$2,0)/VLOOKUP($C44,'Hist Data'!$A$2:$CN$428,'Unchained Indices'!BO$2,0)-1</f>
        <v>5.4623567921440186E-2</v>
      </c>
      <c r="BP45">
        <f>VLOOKUP($C45,'Hist Data'!$A$2:$CN$428,'Unchained Indices'!BP$2,0)/VLOOKUP($C44,'Hist Data'!$A$2:$CN$428,'Unchained Indices'!BP$2,0)-1</f>
        <v>3.499999999999992E-2</v>
      </c>
      <c r="BQ45">
        <f>VLOOKUP($C45,'Hist Data'!$A$2:$CN$428,'Unchained Indices'!BQ$2,0)/VLOOKUP($C44,'Hist Data'!$A$2:$CN$428,'Unchained Indices'!BQ$2,0)-1</f>
        <v>7.251013009170526E-3</v>
      </c>
      <c r="BR45">
        <f>VLOOKUP($C45,'Hist Data'!$A$2:$CN$428,'Unchained Indices'!BR$2,0)/VLOOKUP($C44,'Hist Data'!$A$2:$CN$428,'Unchained Indices'!BR$2,0)-1</f>
        <v>1.0589481115425237E-2</v>
      </c>
      <c r="BS45">
        <f>VLOOKUP($C45,'Hist Data'!$A$2:$CN$428,'Unchained Indices'!BS$2,0)/VLOOKUP($C44,'Hist Data'!$A$2:$CN$428,'Unchained Indices'!BS$2,0)-1</f>
        <v>2.451184046530952E-2</v>
      </c>
      <c r="BT45">
        <f>VLOOKUP($C45,'Hist Data'!$A$2:$CN$428,'Unchained Indices'!BT$2,0)/VLOOKUP($C44,'Hist Data'!$A$2:$CN$428,'Unchained Indices'!BT$2,0)-1</f>
        <v>2.0992366412213803E-2</v>
      </c>
      <c r="BU45">
        <f>VLOOKUP($C45,'Hist Data'!$A$2:$CN$428,'Unchained Indices'!BU$2,0)/VLOOKUP($C44,'Hist Data'!$A$2:$CN$428,'Unchained Indices'!BU$2,0)-1</f>
        <v>-7.3307460112117528E-3</v>
      </c>
      <c r="BV45">
        <f>VLOOKUP($C45,'Hist Data'!$A$2:$CN$428,'Unchained Indices'!BV$2,0)/VLOOKUP($C44,'Hist Data'!$A$2:$CN$428,'Unchained Indices'!BV$2,0)-1</f>
        <v>9.3109869646181842E-3</v>
      </c>
      <c r="BW45">
        <f>VLOOKUP($C45,'Hist Data'!$A$2:$CN$428,'Unchained Indices'!BW$2,0)/VLOOKUP($C44,'Hist Data'!$A$2:$CN$428,'Unchained Indices'!BW$2,0)-1</f>
        <v>2.9312288613303261E-2</v>
      </c>
      <c r="BX45">
        <f>VLOOKUP($C45,'Hist Data'!$A$2:$CN$428,'Unchained Indices'!BX$2,0)/VLOOKUP($C44,'Hist Data'!$A$2:$CN$428,'Unchained Indices'!BX$2,0)-1</f>
        <v>1.7597888253408911E-3</v>
      </c>
      <c r="BY45">
        <f>VLOOKUP($C45,'Hist Data'!$A$2:$CN$428,'Unchained Indices'!BY$2,0)/VLOOKUP($C44,'Hist Data'!$A$2:$CN$428,'Unchained Indices'!BY$2,0)-1</f>
        <v>1.4579759862778818E-2</v>
      </c>
      <c r="BZ45">
        <f>VLOOKUP($C45,'Hist Data'!$A$2:$CN$428,'Unchained Indices'!BZ$2,0)/VLOOKUP($C44,'Hist Data'!$A$2:$CN$428,'Unchained Indices'!BZ$2,0)-1</f>
        <v>1.3320177602368144E-2</v>
      </c>
      <c r="CA45">
        <f>VLOOKUP($C45,'Hist Data'!$A$2:$CN$428,'Unchained Indices'!CA$2,0)/VLOOKUP($C44,'Hist Data'!$A$2:$CN$428,'Unchained Indices'!CA$2,0)-1</f>
        <v>-8.4889643463497144E-3</v>
      </c>
      <c r="CB45">
        <f>VLOOKUP($C45,'Hist Data'!$A$2:$CN$428,'Unchained Indices'!CB$2,0)/VLOOKUP($C44,'Hist Data'!$A$2:$CN$428,'Unchained Indices'!CB$2,0)-1</f>
        <v>-2.9597474348855846E-3</v>
      </c>
      <c r="CC45">
        <f>VLOOKUP($C45,'Hist Data'!$A$2:$CN$428,'Unchained Indices'!CC$2,0)/VLOOKUP($C44,'Hist Data'!$A$2:$CN$428,'Unchained Indices'!CC$2,0)-1</f>
        <v>2.2588135951023824E-2</v>
      </c>
      <c r="CD45">
        <f>VLOOKUP($C45,'Hist Data'!$A$2:$CN$428,'Unchained Indices'!CD$2,0)/VLOOKUP($C44,'Hist Data'!$A$2:$CN$428,'Unchained Indices'!CD$2,0)-1</f>
        <v>2.4897959183673546E-2</v>
      </c>
      <c r="CE45">
        <f>VLOOKUP($C45,'Hist Data'!$A$2:$CN$428,'Unchained Indices'!CE$2,0)/VLOOKUP($C44,'Hist Data'!$A$2:$CN$428,'Unchained Indices'!CE$2,0)-1</f>
        <v>1.3800424628450214E-2</v>
      </c>
      <c r="CF45">
        <f>VLOOKUP($C45,'Hist Data'!$A$2:$CN$428,'Unchained Indices'!CF$2,0)/VLOOKUP($C44,'Hist Data'!$A$2:$CN$428,'Unchained Indices'!CF$2,0)-1</f>
        <v>6.2159789288849909E-2</v>
      </c>
      <c r="CG45">
        <f>VLOOKUP($C45,'Hist Data'!$A$2:$CN$428,'Unchained Indices'!CG$2,0)/VLOOKUP($C44,'Hist Data'!$A$2:$CN$428,'Unchained Indices'!CG$2,0)-1</f>
        <v>7.3762376237623828E-2</v>
      </c>
      <c r="CH45">
        <f>VLOOKUP($C45,'Hist Data'!$A$2:$CN$428,'Unchained Indices'!CH$2,0)/VLOOKUP($C44,'Hist Data'!$A$2:$CN$428,'Unchained Indices'!CH$2,0)-1</f>
        <v>-2.9850746268656692E-2</v>
      </c>
      <c r="CI45">
        <f>VLOOKUP($C45,'Hist Data'!$A$2:$CN$428,'Unchained Indices'!CI$2,0)/VLOOKUP($C44,'Hist Data'!$A$2:$CN$428,'Unchained Indices'!CI$2,0)-1</f>
        <v>-2.3404255319149025E-2</v>
      </c>
      <c r="CJ45">
        <f>VLOOKUP($C45,'Hist Data'!$A$2:$CN$428,'Unchained Indices'!CJ$2,0)/VLOOKUP($C44,'Hist Data'!$A$2:$CN$428,'Unchained Indices'!CJ$2,0)-1</f>
        <v>-9.3545369504209885E-3</v>
      </c>
      <c r="CK45">
        <f>VLOOKUP($C45,'Hist Data'!$A$2:$CN$428,'Unchained Indices'!CK$2,0)/VLOOKUP($C44,'Hist Data'!$A$2:$CN$428,'Unchained Indices'!CK$2,0)-1</f>
        <v>-1.2870733072188001E-2</v>
      </c>
      <c r="CL45">
        <f>VLOOKUP($C45,'Hist Data'!$A$2:$CN$428,'Unchained Indices'!CL$2,0)/VLOOKUP($C44,'Hist Data'!$A$2:$CN$428,'Unchained Indices'!CL$2,0)-1</f>
        <v>-6.6312997347479641E-3</v>
      </c>
      <c r="CM45">
        <f>VLOOKUP($C45,'Hist Data'!$A$2:$CN$428,'Unchained Indices'!CM$2,0)/VLOOKUP($C44,'Hist Data'!$A$2:$CN$428,'Unchained Indices'!CM$2,0)-1</f>
        <v>1.0217113665389466E-2</v>
      </c>
      <c r="CN45">
        <f>VLOOKUP($C45,'Hist Data'!$A$2:$CN$428,'Unchained Indices'!CN$2,0)/VLOOKUP($C44,'Hist Data'!$A$2:$CN$428,'Unchained Indices'!CN$2,0)-1</f>
        <v>2.1961026909990577E-2</v>
      </c>
      <c r="CO45">
        <f>VLOOKUP($C45,'Hist Data'!$A$2:$CN$428,'Unchained Indices'!CO$2,0)/VLOOKUP($C44,'Hist Data'!$A$2:$CN$428,'Unchained Indices'!CO$2,0)-1</f>
        <v>7.3138297872339386E-3</v>
      </c>
      <c r="CP45">
        <f>VLOOKUP($C45,'Hist Data'!$A$2:$CN$428,'Unchained Indices'!CP$2,0)/VLOOKUP($C44,'Hist Data'!$A$2:$CN$428,'Unchained Indices'!CP$2,0)-1</f>
        <v>6.3651591289781706E-3</v>
      </c>
    </row>
    <row r="46" spans="1:94" x14ac:dyDescent="0.25">
      <c r="C46" s="6">
        <f t="shared" si="10"/>
        <v>44682</v>
      </c>
      <c r="D46">
        <f>VLOOKUP($C46,'Hist Data'!$A$2:$CN$428,'Unchained Indices'!D$2,0)/VLOOKUP($C45,'Hist Data'!$A$2:$CN$428,'Unchained Indices'!D$2,0)-1</f>
        <v>1.5081692501047517E-2</v>
      </c>
      <c r="E46">
        <f>VLOOKUP($C46,'Hist Data'!$A$2:$CN$428,'Unchained Indices'!E$2,0)/VLOOKUP($C45,'Hist Data'!$A$2:$CN$428,'Unchained Indices'!E$2,0)-1</f>
        <v>2.042669087607818E-2</v>
      </c>
      <c r="F46">
        <f>VLOOKUP($C46,'Hist Data'!$A$2:$CN$428,'Unchained Indices'!F$2,0)/VLOOKUP($C45,'Hist Data'!$A$2:$CN$428,'Unchained Indices'!F$2,0)-1</f>
        <v>8.5146641438031967E-3</v>
      </c>
      <c r="G46">
        <f>VLOOKUP($C46,'Hist Data'!$A$2:$CN$428,'Unchained Indices'!G$2,0)/VLOOKUP($C45,'Hist Data'!$A$2:$CN$428,'Unchained Indices'!G$2,0)-1</f>
        <v>1.3507429085997336E-2</v>
      </c>
      <c r="H46">
        <f>VLOOKUP($C46,'Hist Data'!$A$2:$CN$428,'Unchained Indices'!H$2,0)/VLOOKUP($C45,'Hist Data'!$A$2:$CN$428,'Unchained Indices'!H$2,0)-1</f>
        <v>-1.5847860538827918E-3</v>
      </c>
      <c r="I46">
        <f>VLOOKUP($C46,'Hist Data'!$A$2:$CN$428,'Unchained Indices'!I$2,0)/VLOOKUP($C45,'Hist Data'!$A$2:$CN$428,'Unchained Indices'!I$2,0)-1</f>
        <v>-1.6867469879517927E-3</v>
      </c>
      <c r="J46">
        <f>VLOOKUP($C46,'Hist Data'!$A$2:$CN$428,'Unchained Indices'!J$2,0)/VLOOKUP($C45,'Hist Data'!$A$2:$CN$428,'Unchained Indices'!J$2,0)-1</f>
        <v>2.2175732217573296E-2</v>
      </c>
      <c r="K46">
        <f>VLOOKUP($C46,'Hist Data'!$A$2:$CN$428,'Unchained Indices'!K$2,0)/VLOOKUP($C45,'Hist Data'!$A$2:$CN$428,'Unchained Indices'!K$2,0)-1</f>
        <v>1.949317738791434E-2</v>
      </c>
      <c r="L46">
        <f>VLOOKUP($C46,'Hist Data'!$A$2:$CN$428,'Unchained Indices'!L$2,0)/VLOOKUP($C45,'Hist Data'!$A$2:$CN$428,'Unchained Indices'!L$2,0)-1</f>
        <v>2.8081123244930062E-2</v>
      </c>
      <c r="M46">
        <f>VLOOKUP($C46,'Hist Data'!$A$2:$CN$428,'Unchained Indices'!M$2,0)/VLOOKUP($C45,'Hist Data'!$A$2:$CN$428,'Unchained Indices'!M$2,0)-1</f>
        <v>9.7703957010260023E-3</v>
      </c>
      <c r="N46">
        <f>VLOOKUP($C46,'Hist Data'!$A$2:$CN$428,'Unchained Indices'!N$2,0)/VLOOKUP($C45,'Hist Data'!$A$2:$CN$428,'Unchained Indices'!N$2,0)-1</f>
        <v>-6.3180063180061641E-3</v>
      </c>
      <c r="O46">
        <f>VLOOKUP($C46,'Hist Data'!$A$2:$CN$428,'Unchained Indices'!O$2,0)/VLOOKUP($C45,'Hist Data'!$A$2:$CN$428,'Unchained Indices'!O$2,0)-1</f>
        <v>7.9250720461094826E-3</v>
      </c>
      <c r="P46">
        <f>VLOOKUP($C46,'Hist Data'!$A$2:$CN$428,'Unchained Indices'!P$2,0)/VLOOKUP($C45,'Hist Data'!$A$2:$CN$428,'Unchained Indices'!P$2,0)-1</f>
        <v>-2.0145883987495505E-2</v>
      </c>
      <c r="Q46">
        <f>VLOOKUP($C46,'Hist Data'!$A$2:$CN$428,'Unchained Indices'!Q$2,0)/VLOOKUP($C45,'Hist Data'!$A$2:$CN$428,'Unchained Indices'!Q$2,0)-1</f>
        <v>4.1942604856512133E-2</v>
      </c>
      <c r="R46">
        <f>VLOOKUP($C46,'Hist Data'!$A$2:$CN$428,'Unchained Indices'!R$2,0)/VLOOKUP($C45,'Hist Data'!$A$2:$CN$428,'Unchained Indices'!R$2,0)-1</f>
        <v>3.6871961102106887E-2</v>
      </c>
      <c r="S46">
        <f>VLOOKUP($C46,'Hist Data'!$A$2:$CN$428,'Unchained Indices'!S$2,0)/VLOOKUP($C45,'Hist Data'!$A$2:$CN$428,'Unchained Indices'!S$2,0)-1</f>
        <v>1.6280016280016962E-3</v>
      </c>
      <c r="T46">
        <f>VLOOKUP($C46,'Hist Data'!$A$2:$CN$428,'Unchained Indices'!T$2,0)/VLOOKUP($C45,'Hist Data'!$A$2:$CN$428,'Unchained Indices'!T$2,0)-1</f>
        <v>5.6577086280056532E-2</v>
      </c>
      <c r="U46">
        <f>VLOOKUP($C46,'Hist Data'!$A$2:$CN$428,'Unchained Indices'!U$2,0)/VLOOKUP($C45,'Hist Data'!$A$2:$CN$428,'Unchained Indices'!U$2,0)-1</f>
        <v>2.7685492801771794E-2</v>
      </c>
      <c r="V46">
        <f>VLOOKUP($C46,'Hist Data'!$A$2:$CN$428,'Unchained Indices'!V$2,0)/VLOOKUP($C45,'Hist Data'!$A$2:$CN$428,'Unchained Indices'!V$2,0)-1</f>
        <v>1.3102480112306969E-2</v>
      </c>
      <c r="W46">
        <f>VLOOKUP($C46,'Hist Data'!$A$2:$CN$428,'Unchained Indices'!W$2,0)/VLOOKUP($C45,'Hist Data'!$A$2:$CN$428,'Unchained Indices'!W$2,0)-1</f>
        <v>1.8372703412073532E-2</v>
      </c>
      <c r="X46">
        <f>VLOOKUP($C46,'Hist Data'!$A$2:$CN$428,'Unchained Indices'!X$2,0)/VLOOKUP($C45,'Hist Data'!$A$2:$CN$428,'Unchained Indices'!X$2,0)-1</f>
        <v>3.7994722955145166E-2</v>
      </c>
      <c r="Y46">
        <f>VLOOKUP($C46,'Hist Data'!$A$2:$CN$428,'Unchained Indices'!Y$2,0)/VLOOKUP($C45,'Hist Data'!$A$2:$CN$428,'Unchained Indices'!Y$2,0)-1</f>
        <v>2.1426180113826687E-2</v>
      </c>
      <c r="Z46">
        <f>VLOOKUP($C46,'Hist Data'!$A$2:$CN$428,'Unchained Indices'!Z$2,0)/VLOOKUP($C45,'Hist Data'!$A$2:$CN$428,'Unchained Indices'!Z$2,0)-1</f>
        <v>-1.4712861888941609E-2</v>
      </c>
      <c r="AA46">
        <f>VLOOKUP($C46,'Hist Data'!$A$2:$CN$428,'Unchained Indices'!AA$2,0)/VLOOKUP($C45,'Hist Data'!$A$2:$CN$428,'Unchained Indices'!AA$2,0)-1</f>
        <v>1.3752455795677854E-2</v>
      </c>
      <c r="AB46">
        <f>VLOOKUP($C46,'Hist Data'!$A$2:$CN$428,'Unchained Indices'!AB$2,0)/VLOOKUP($C45,'Hist Data'!$A$2:$CN$428,'Unchained Indices'!AB$2,0)-1</f>
        <v>2.1189894050529734E-2</v>
      </c>
      <c r="AC46">
        <f>VLOOKUP($C46,'Hist Data'!$A$2:$CN$428,'Unchained Indices'!AC$2,0)/VLOOKUP($C45,'Hist Data'!$A$2:$CN$428,'Unchained Indices'!AC$2,0)-1</f>
        <v>1.7887087758524212E-2</v>
      </c>
      <c r="AD46">
        <f>VLOOKUP($C46,'Hist Data'!$A$2:$CN$428,'Unchained Indices'!AD$2,0)/VLOOKUP($C45,'Hist Data'!$A$2:$CN$428,'Unchained Indices'!AD$2,0)-1</f>
        <v>2.2423288749016557E-2</v>
      </c>
      <c r="AE46">
        <f>VLOOKUP($C46,'Hist Data'!$A$2:$CN$428,'Unchained Indices'!AE$2,0)/VLOOKUP($C45,'Hist Data'!$A$2:$CN$428,'Unchained Indices'!AE$2,0)-1</f>
        <v>1.7457719585379117E-2</v>
      </c>
      <c r="AF46">
        <f>VLOOKUP($C46,'Hist Data'!$A$2:$CN$428,'Unchained Indices'!AF$2,0)/VLOOKUP($C45,'Hist Data'!$A$2:$CN$428,'Unchained Indices'!AF$2,0)-1</f>
        <v>2.0382165605095537E-2</v>
      </c>
      <c r="AG46">
        <f>VLOOKUP($C46,'Hist Data'!$A$2:$CN$428,'Unchained Indices'!AG$2,0)/VLOOKUP($C45,'Hist Data'!$A$2:$CN$428,'Unchained Indices'!AG$2,0)-1</f>
        <v>8.2054941134499515E-3</v>
      </c>
      <c r="AH46">
        <f>VLOOKUP($C46,'Hist Data'!$A$2:$CN$428,'Unchained Indices'!AH$2,0)/VLOOKUP($C45,'Hist Data'!$A$2:$CN$428,'Unchained Indices'!AH$2,0)-1</f>
        <v>8.2850041425008847E-4</v>
      </c>
      <c r="AI46">
        <f>VLOOKUP($C46,'Hist Data'!$A$2:$CN$428,'Unchained Indices'!AI$2,0)/VLOOKUP($C45,'Hist Data'!$A$2:$CN$428,'Unchained Indices'!AI$2,0)-1</f>
        <v>4.382120946538226E-3</v>
      </c>
      <c r="AJ46">
        <f>VLOOKUP($C46,'Hist Data'!$A$2:$CN$428,'Unchained Indices'!AJ$2,0)/VLOOKUP($C45,'Hist Data'!$A$2:$CN$428,'Unchained Indices'!AJ$2,0)-1</f>
        <v>-1.3440000000000007E-2</v>
      </c>
      <c r="AK46">
        <f>VLOOKUP($C46,'Hist Data'!$A$2:$CN$428,'Unchained Indices'!AK$2,0)/VLOOKUP($C45,'Hist Data'!$A$2:$CN$428,'Unchained Indices'!AK$2,0)-1</f>
        <v>1.948955916473305E-2</v>
      </c>
      <c r="AL46">
        <f>VLOOKUP($C46,'Hist Data'!$A$2:$CN$428,'Unchained Indices'!AL$2,0)/VLOOKUP($C45,'Hist Data'!$A$2:$CN$428,'Unchained Indices'!AL$2,0)-1</f>
        <v>9.4267515923567302E-3</v>
      </c>
      <c r="AM46">
        <f>VLOOKUP($C46,'Hist Data'!$A$2:$CN$428,'Unchained Indices'!AM$2,0)/VLOOKUP($C45,'Hist Data'!$A$2:$CN$428,'Unchained Indices'!AM$2,0)-1</f>
        <v>8.8868101028998225E-3</v>
      </c>
      <c r="AN46">
        <f>VLOOKUP($C46,'Hist Data'!$A$2:$CN$428,'Unchained Indices'!AN$2,0)/VLOOKUP($C45,'Hist Data'!$A$2:$CN$428,'Unchained Indices'!AN$2,0)-1</f>
        <v>1.3973577235772305E-2</v>
      </c>
      <c r="AO46">
        <f>VLOOKUP($C46,'Hist Data'!$A$2:$CN$428,'Unchained Indices'!AO$2,0)/VLOOKUP($C45,'Hist Data'!$A$2:$CN$428,'Unchained Indices'!AO$2,0)-1</f>
        <v>4.0183696900115695E-3</v>
      </c>
      <c r="AP46">
        <f>VLOOKUP($C46,'Hist Data'!$A$2:$CN$428,'Unchained Indices'!AP$2,0)/VLOOKUP($C45,'Hist Data'!$A$2:$CN$428,'Unchained Indices'!AP$2,0)-1</f>
        <v>2.4703557312253377E-3</v>
      </c>
      <c r="AQ46">
        <f>VLOOKUP($C46,'Hist Data'!$A$2:$CN$428,'Unchained Indices'!AQ$2,0)/VLOOKUP($C45,'Hist Data'!$A$2:$CN$428,'Unchained Indices'!AQ$2,0)-1</f>
        <v>5.1783659378594749E-3</v>
      </c>
      <c r="AR46">
        <f>VLOOKUP($C46,'Hist Data'!$A$2:$CN$428,'Unchained Indices'!AR$2,0)/VLOOKUP($C45,'Hist Data'!$A$2:$CN$428,'Unchained Indices'!AR$2,0)-1</f>
        <v>6.6456803078001059E-3</v>
      </c>
      <c r="AS46">
        <f>VLOOKUP($C46,'Hist Data'!$A$2:$CN$428,'Unchained Indices'!AS$2,0)/VLOOKUP($C45,'Hist Data'!$A$2:$CN$428,'Unchained Indices'!AS$2,0)-1</f>
        <v>3.7064492216456468E-3</v>
      </c>
      <c r="AT46">
        <f>VLOOKUP($C46,'Hist Data'!$A$2:$CN$428,'Unchained Indices'!AT$2,0)/VLOOKUP($C45,'Hist Data'!$A$2:$CN$428,'Unchained Indices'!AT$2,0)-1</f>
        <v>8.6330935251799357E-3</v>
      </c>
      <c r="AU46">
        <f>VLOOKUP($C46,'Hist Data'!$A$2:$CN$428,'Unchained Indices'!AU$2,0)/VLOOKUP($C45,'Hist Data'!$A$2:$CN$428,'Unchained Indices'!AU$2,0)-1</f>
        <v>1.7474879860202019E-3</v>
      </c>
      <c r="AV46">
        <f>VLOOKUP($C46,'Hist Data'!$A$2:$CN$428,'Unchained Indices'!AV$2,0)/VLOOKUP($C45,'Hist Data'!$A$2:$CN$428,'Unchained Indices'!AV$2,0)-1</f>
        <v>3.2508833922260116E-3</v>
      </c>
      <c r="AW46">
        <f>VLOOKUP($C46,'Hist Data'!$A$2:$CN$428,'Unchained Indices'!AW$2,0)/VLOOKUP($C45,'Hist Data'!$A$2:$CN$428,'Unchained Indices'!AW$2,0)-1</f>
        <v>2.7693856998993738E-3</v>
      </c>
      <c r="AX46">
        <f>VLOOKUP($C46,'Hist Data'!$A$2:$CN$428,'Unchained Indices'!AX$2,0)/VLOOKUP($C45,'Hist Data'!$A$2:$CN$428,'Unchained Indices'!AX$2,0)-1</f>
        <v>1.1538461538461497E-2</v>
      </c>
      <c r="AY46">
        <f>VLOOKUP($C46,'Hist Data'!$A$2:$CN$428,'Unchained Indices'!AY$2,0)/VLOOKUP($C45,'Hist Data'!$A$2:$CN$428,'Unchained Indices'!AY$2,0)-1</f>
        <v>9.305210918114204E-3</v>
      </c>
      <c r="AZ46">
        <f>VLOOKUP($C46,'Hist Data'!$A$2:$CN$428,'Unchained Indices'!AZ$2,0)/VLOOKUP($C45,'Hist Data'!$A$2:$CN$428,'Unchained Indices'!AZ$2,0)-1</f>
        <v>0</v>
      </c>
      <c r="BA46">
        <f>VLOOKUP($C46,'Hist Data'!$A$2:$CN$428,'Unchained Indices'!BA$2,0)/VLOOKUP($C45,'Hist Data'!$A$2:$CN$428,'Unchained Indices'!BA$2,0)-1</f>
        <v>0</v>
      </c>
      <c r="BB46">
        <f>VLOOKUP($C46,'Hist Data'!$A$2:$CN$428,'Unchained Indices'!BB$2,0)/VLOOKUP($C45,'Hist Data'!$A$2:$CN$428,'Unchained Indices'!BB$2,0)-1</f>
        <v>1.0093363613423723E-3</v>
      </c>
      <c r="BC46">
        <f>VLOOKUP($C46,'Hist Data'!$A$2:$CN$428,'Unchained Indices'!BC$2,0)/VLOOKUP($C45,'Hist Data'!$A$2:$CN$428,'Unchained Indices'!BC$2,0)-1</f>
        <v>9.8245614035088469E-3</v>
      </c>
      <c r="BD46">
        <f>VLOOKUP($C46,'Hist Data'!$A$2:$CN$428,'Unchained Indices'!BD$2,0)/VLOOKUP($C45,'Hist Data'!$A$2:$CN$428,'Unchained Indices'!BD$2,0)-1</f>
        <v>5.1813471502590858E-3</v>
      </c>
      <c r="BE46">
        <f>VLOOKUP($C46,'Hist Data'!$A$2:$CN$428,'Unchained Indices'!BE$2,0)/VLOOKUP($C45,'Hist Data'!$A$2:$CN$428,'Unchained Indices'!BE$2,0)-1</f>
        <v>2.6866381359961888E-2</v>
      </c>
      <c r="BF46">
        <f>VLOOKUP($C46,'Hist Data'!$A$2:$CN$428,'Unchained Indices'!BF$2,0)/VLOOKUP($C45,'Hist Data'!$A$2:$CN$428,'Unchained Indices'!BF$2,0)-1</f>
        <v>0</v>
      </c>
      <c r="BG46">
        <f>VLOOKUP($C46,'Hist Data'!$A$2:$CN$428,'Unchained Indices'!BG$2,0)/VLOOKUP($C45,'Hist Data'!$A$2:$CN$428,'Unchained Indices'!BG$2,0)-1</f>
        <v>0</v>
      </c>
      <c r="BH46">
        <f>VLOOKUP($C46,'Hist Data'!$A$2:$CN$428,'Unchained Indices'!BH$2,0)/VLOOKUP($C45,'Hist Data'!$A$2:$CN$428,'Unchained Indices'!BH$2,0)-1</f>
        <v>7.2783532893851755E-2</v>
      </c>
      <c r="BI46">
        <f>VLOOKUP($C46,'Hist Data'!$A$2:$CN$428,'Unchained Indices'!BI$2,0)/VLOOKUP($C45,'Hist Data'!$A$2:$CN$428,'Unchained Indices'!BI$2,0)-1</f>
        <v>1.1611833010782391E-2</v>
      </c>
      <c r="BJ46">
        <f>VLOOKUP($C46,'Hist Data'!$A$2:$CN$428,'Unchained Indices'!BJ$2,0)/VLOOKUP($C45,'Hist Data'!$A$2:$CN$428,'Unchained Indices'!BJ$2,0)-1</f>
        <v>1.4685792349726778E-2</v>
      </c>
      <c r="BK46">
        <f>VLOOKUP($C46,'Hist Data'!$A$2:$CN$428,'Unchained Indices'!BK$2,0)/VLOOKUP($C45,'Hist Data'!$A$2:$CN$428,'Unchained Indices'!BK$2,0)-1</f>
        <v>3.3519553072625108E-3</v>
      </c>
      <c r="BL46">
        <f>VLOOKUP($C46,'Hist Data'!$A$2:$CN$428,'Unchained Indices'!BL$2,0)/VLOOKUP($C45,'Hist Data'!$A$2:$CN$428,'Unchained Indices'!BL$2,0)-1</f>
        <v>1.5612161051766549E-2</v>
      </c>
      <c r="BM46">
        <f>VLOOKUP($C46,'Hist Data'!$A$2:$CN$428,'Unchained Indices'!BM$2,0)/VLOOKUP($C45,'Hist Data'!$A$2:$CN$428,'Unchained Indices'!BM$2,0)-1</f>
        <v>1.1413520632133523E-2</v>
      </c>
      <c r="BN46">
        <f>VLOOKUP($C46,'Hist Data'!$A$2:$CN$428,'Unchained Indices'!BN$2,0)/VLOOKUP($C45,'Hist Data'!$A$2:$CN$428,'Unchained Indices'!BN$2,0)-1</f>
        <v>1.4385835485060783E-2</v>
      </c>
      <c r="BO46">
        <f>VLOOKUP($C46,'Hist Data'!$A$2:$CN$428,'Unchained Indices'!BO$2,0)/VLOOKUP($C45,'Hist Data'!$A$2:$CN$428,'Unchained Indices'!BO$2,0)-1</f>
        <v>0</v>
      </c>
      <c r="BP46">
        <f>VLOOKUP($C46,'Hist Data'!$A$2:$CN$428,'Unchained Indices'!BP$2,0)/VLOOKUP($C45,'Hist Data'!$A$2:$CN$428,'Unchained Indices'!BP$2,0)-1</f>
        <v>8.0515297906602612E-4</v>
      </c>
      <c r="BQ46">
        <f>VLOOKUP($C46,'Hist Data'!$A$2:$CN$428,'Unchained Indices'!BQ$2,0)/VLOOKUP($C45,'Hist Data'!$A$2:$CN$428,'Unchained Indices'!BQ$2,0)-1</f>
        <v>5.9284353165360848E-3</v>
      </c>
      <c r="BR46">
        <f>VLOOKUP($C46,'Hist Data'!$A$2:$CN$428,'Unchained Indices'!BR$2,0)/VLOOKUP($C45,'Hist Data'!$A$2:$CN$428,'Unchained Indices'!BR$2,0)-1</f>
        <v>5.239259517988426E-4</v>
      </c>
      <c r="BS46">
        <f>VLOOKUP($C46,'Hist Data'!$A$2:$CN$428,'Unchained Indices'!BS$2,0)/VLOOKUP($C45,'Hist Data'!$A$2:$CN$428,'Unchained Indices'!BS$2,0)-1</f>
        <v>1.2976480129764933E-2</v>
      </c>
      <c r="BT46">
        <f>VLOOKUP($C46,'Hist Data'!$A$2:$CN$428,'Unchained Indices'!BT$2,0)/VLOOKUP($C45,'Hist Data'!$A$2:$CN$428,'Unchained Indices'!BT$2,0)-1</f>
        <v>1.8224299065420668E-2</v>
      </c>
      <c r="BU46">
        <f>VLOOKUP($C46,'Hist Data'!$A$2:$CN$428,'Unchained Indices'!BU$2,0)/VLOOKUP($C45,'Hist Data'!$A$2:$CN$428,'Unchained Indices'!BU$2,0)-1</f>
        <v>1.0860121633362363E-2</v>
      </c>
      <c r="BV46">
        <f>VLOOKUP($C46,'Hist Data'!$A$2:$CN$428,'Unchained Indices'!BV$2,0)/VLOOKUP($C45,'Hist Data'!$A$2:$CN$428,'Unchained Indices'!BV$2,0)-1</f>
        <v>6.2730627306273323E-3</v>
      </c>
      <c r="BW46">
        <f>VLOOKUP($C46,'Hist Data'!$A$2:$CN$428,'Unchained Indices'!BW$2,0)/VLOOKUP($C45,'Hist Data'!$A$2:$CN$428,'Unchained Indices'!BW$2,0)-1</f>
        <v>1.0952902519167917E-3</v>
      </c>
      <c r="BX46">
        <f>VLOOKUP($C46,'Hist Data'!$A$2:$CN$428,'Unchained Indices'!BX$2,0)/VLOOKUP($C45,'Hist Data'!$A$2:$CN$428,'Unchained Indices'!BX$2,0)-1</f>
        <v>1.0979358805445871E-2</v>
      </c>
      <c r="BY46">
        <f>VLOOKUP($C46,'Hist Data'!$A$2:$CN$428,'Unchained Indices'!BY$2,0)/VLOOKUP($C45,'Hist Data'!$A$2:$CN$428,'Unchained Indices'!BY$2,0)-1</f>
        <v>-8.4530853761621838E-4</v>
      </c>
      <c r="BZ46">
        <f>VLOOKUP($C46,'Hist Data'!$A$2:$CN$428,'Unchained Indices'!BZ$2,0)/VLOOKUP($C45,'Hist Data'!$A$2:$CN$428,'Unchained Indices'!BZ$2,0)-1</f>
        <v>3.4079844206424958E-3</v>
      </c>
      <c r="CA46">
        <f>VLOOKUP($C46,'Hist Data'!$A$2:$CN$428,'Unchained Indices'!CA$2,0)/VLOOKUP($C45,'Hist Data'!$A$2:$CN$428,'Unchained Indices'!CA$2,0)-1</f>
        <v>-3.424657534246478E-3</v>
      </c>
      <c r="CB46">
        <f>VLOOKUP($C46,'Hist Data'!$A$2:$CN$428,'Unchained Indices'!CB$2,0)/VLOOKUP($C45,'Hist Data'!$A$2:$CN$428,'Unchained Indices'!CB$2,0)-1</f>
        <v>1.4446863249554687E-2</v>
      </c>
      <c r="CC46">
        <f>VLOOKUP($C46,'Hist Data'!$A$2:$CN$428,'Unchained Indices'!CC$2,0)/VLOOKUP($C45,'Hist Data'!$A$2:$CN$428,'Unchained Indices'!CC$2,0)-1</f>
        <v>2.0024772914946309E-2</v>
      </c>
      <c r="CD46">
        <f>VLOOKUP($C46,'Hist Data'!$A$2:$CN$428,'Unchained Indices'!CD$2,0)/VLOOKUP($C45,'Hist Data'!$A$2:$CN$428,'Unchained Indices'!CD$2,0)-1</f>
        <v>2.2899243329350893E-2</v>
      </c>
      <c r="CE46">
        <f>VLOOKUP($C46,'Hist Data'!$A$2:$CN$428,'Unchained Indices'!CE$2,0)/VLOOKUP($C45,'Hist Data'!$A$2:$CN$428,'Unchained Indices'!CE$2,0)-1</f>
        <v>-2.6387434554973832E-2</v>
      </c>
      <c r="CF46">
        <f>VLOOKUP($C46,'Hist Data'!$A$2:$CN$428,'Unchained Indices'!CF$2,0)/VLOOKUP($C45,'Hist Data'!$A$2:$CN$428,'Unchained Indices'!CF$2,0)-1</f>
        <v>-3.4055215738138522E-2</v>
      </c>
      <c r="CG46">
        <f>VLOOKUP($C46,'Hist Data'!$A$2:$CN$428,'Unchained Indices'!CG$2,0)/VLOOKUP($C45,'Hist Data'!$A$2:$CN$428,'Unchained Indices'!CG$2,0)-1</f>
        <v>2.0977408944213849E-2</v>
      </c>
      <c r="CH46">
        <f>VLOOKUP($C46,'Hist Data'!$A$2:$CN$428,'Unchained Indices'!CH$2,0)/VLOOKUP($C45,'Hist Data'!$A$2:$CN$428,'Unchained Indices'!CH$2,0)-1</f>
        <v>0</v>
      </c>
      <c r="CI46">
        <f>VLOOKUP($C46,'Hist Data'!$A$2:$CN$428,'Unchained Indices'!CI$2,0)/VLOOKUP($C45,'Hist Data'!$A$2:$CN$428,'Unchained Indices'!CI$2,0)-1</f>
        <v>2.1060275962236696E-2</v>
      </c>
      <c r="CJ46">
        <f>VLOOKUP($C46,'Hist Data'!$A$2:$CN$428,'Unchained Indices'!CJ$2,0)/VLOOKUP($C45,'Hist Data'!$A$2:$CN$428,'Unchained Indices'!CJ$2,0)-1</f>
        <v>-3.7771482530689626E-3</v>
      </c>
      <c r="CK46">
        <f>VLOOKUP($C46,'Hist Data'!$A$2:$CN$428,'Unchained Indices'!CK$2,0)/VLOOKUP($C45,'Hist Data'!$A$2:$CN$428,'Unchained Indices'!CK$2,0)-1</f>
        <v>8.3144368858654172E-3</v>
      </c>
      <c r="CL46">
        <f>VLOOKUP($C46,'Hist Data'!$A$2:$CN$428,'Unchained Indices'!CL$2,0)/VLOOKUP($C45,'Hist Data'!$A$2:$CN$428,'Unchained Indices'!CL$2,0)-1</f>
        <v>1.7801513128615998E-2</v>
      </c>
      <c r="CM46">
        <f>VLOOKUP($C46,'Hist Data'!$A$2:$CN$428,'Unchained Indices'!CM$2,0)/VLOOKUP($C45,'Hist Data'!$A$2:$CN$428,'Unchained Indices'!CM$2,0)-1</f>
        <v>0</v>
      </c>
      <c r="CN46">
        <f>VLOOKUP($C46,'Hist Data'!$A$2:$CN$428,'Unchained Indices'!CN$2,0)/VLOOKUP($C45,'Hist Data'!$A$2:$CN$428,'Unchained Indices'!CN$2,0)-1</f>
        <v>-1.0593220338982468E-3</v>
      </c>
      <c r="CO46">
        <f>VLOOKUP($C46,'Hist Data'!$A$2:$CN$428,'Unchained Indices'!CO$2,0)/VLOOKUP($C45,'Hist Data'!$A$2:$CN$428,'Unchained Indices'!CO$2,0)-1</f>
        <v>5.6105610561054675E-3</v>
      </c>
      <c r="CP46">
        <f>VLOOKUP($C46,'Hist Data'!$A$2:$CN$428,'Unchained Indices'!CP$2,0)/VLOOKUP($C45,'Hist Data'!$A$2:$CN$428,'Unchained Indices'!CP$2,0)-1</f>
        <v>1.5645805592543471E-2</v>
      </c>
    </row>
    <row r="47" spans="1:94" x14ac:dyDescent="0.25">
      <c r="C47" s="6">
        <f t="shared" si="10"/>
        <v>44713</v>
      </c>
      <c r="D47">
        <f>VLOOKUP($C47,'Hist Data'!$A$2:$CN$428,'Unchained Indices'!D$2,0)/VLOOKUP($C46,'Hist Data'!$A$2:$CN$428,'Unchained Indices'!D$2,0)-1</f>
        <v>1.9397441188609088E-2</v>
      </c>
      <c r="E47">
        <f>VLOOKUP($C47,'Hist Data'!$A$2:$CN$428,'Unchained Indices'!E$2,0)/VLOOKUP($C46,'Hist Data'!$A$2:$CN$428,'Unchained Indices'!E$2,0)-1</f>
        <v>-6.2277580071175009E-3</v>
      </c>
      <c r="F47">
        <f>VLOOKUP($C47,'Hist Data'!$A$2:$CN$428,'Unchained Indices'!F$2,0)/VLOOKUP($C46,'Hist Data'!$A$2:$CN$428,'Unchained Indices'!F$2,0)-1</f>
        <v>3.3771106941838713E-2</v>
      </c>
      <c r="G47">
        <f>VLOOKUP($C47,'Hist Data'!$A$2:$CN$428,'Unchained Indices'!G$2,0)/VLOOKUP($C46,'Hist Data'!$A$2:$CN$428,'Unchained Indices'!G$2,0)-1</f>
        <v>7.107952021323749E-3</v>
      </c>
      <c r="H47">
        <f>VLOOKUP($C47,'Hist Data'!$A$2:$CN$428,'Unchained Indices'!H$2,0)/VLOOKUP($C46,'Hist Data'!$A$2:$CN$428,'Unchained Indices'!H$2,0)-1</f>
        <v>2.3809523809523725E-2</v>
      </c>
      <c r="I47">
        <f>VLOOKUP($C47,'Hist Data'!$A$2:$CN$428,'Unchained Indices'!I$2,0)/VLOOKUP($C46,'Hist Data'!$A$2:$CN$428,'Unchained Indices'!I$2,0)-1</f>
        <v>2.3895727733526329E-2</v>
      </c>
      <c r="J47">
        <f>VLOOKUP($C47,'Hist Data'!$A$2:$CN$428,'Unchained Indices'!J$2,0)/VLOOKUP($C46,'Hist Data'!$A$2:$CN$428,'Unchained Indices'!J$2,0)-1</f>
        <v>2.6197298403602076E-2</v>
      </c>
      <c r="K47">
        <f>VLOOKUP($C47,'Hist Data'!$A$2:$CN$428,'Unchained Indices'!K$2,0)/VLOOKUP($C46,'Hist Data'!$A$2:$CN$428,'Unchained Indices'!K$2,0)-1</f>
        <v>4.8279158699808811E-2</v>
      </c>
      <c r="L47">
        <f>VLOOKUP($C47,'Hist Data'!$A$2:$CN$428,'Unchained Indices'!L$2,0)/VLOOKUP($C46,'Hist Data'!$A$2:$CN$428,'Unchained Indices'!L$2,0)-1</f>
        <v>2.1244309559939278E-2</v>
      </c>
      <c r="M47">
        <f>VLOOKUP($C47,'Hist Data'!$A$2:$CN$428,'Unchained Indices'!M$2,0)/VLOOKUP($C46,'Hist Data'!$A$2:$CN$428,'Unchained Indices'!M$2,0)-1</f>
        <v>2.4189646831156209E-2</v>
      </c>
      <c r="N47">
        <f>VLOOKUP($C47,'Hist Data'!$A$2:$CN$428,'Unchained Indices'!N$2,0)/VLOOKUP($C46,'Hist Data'!$A$2:$CN$428,'Unchained Indices'!N$2,0)-1</f>
        <v>3.7795831861533014E-2</v>
      </c>
      <c r="O47">
        <f>VLOOKUP($C47,'Hist Data'!$A$2:$CN$428,'Unchained Indices'!O$2,0)/VLOOKUP($C46,'Hist Data'!$A$2:$CN$428,'Unchained Indices'!O$2,0)-1</f>
        <v>2.7162258756254332E-2</v>
      </c>
      <c r="P47">
        <f>VLOOKUP($C47,'Hist Data'!$A$2:$CN$428,'Unchained Indices'!P$2,0)/VLOOKUP($C46,'Hist Data'!$A$2:$CN$428,'Unchained Indices'!P$2,0)-1</f>
        <v>4.8209854661467544E-2</v>
      </c>
      <c r="Q47">
        <f>VLOOKUP($C47,'Hist Data'!$A$2:$CN$428,'Unchained Indices'!Q$2,0)/VLOOKUP($C46,'Hist Data'!$A$2:$CN$428,'Unchained Indices'!Q$2,0)-1</f>
        <v>7.0386064030131701E-2</v>
      </c>
      <c r="R47">
        <f>VLOOKUP($C47,'Hist Data'!$A$2:$CN$428,'Unchained Indices'!R$2,0)/VLOOKUP($C46,'Hist Data'!$A$2:$CN$428,'Unchained Indices'!R$2,0)-1</f>
        <v>-1.8366549433372459E-2</v>
      </c>
      <c r="S47">
        <f>VLOOKUP($C47,'Hist Data'!$A$2:$CN$428,'Unchained Indices'!S$2,0)/VLOOKUP($C46,'Hist Data'!$A$2:$CN$428,'Unchained Indices'!S$2,0)-1</f>
        <v>5.5262088581877311E-2</v>
      </c>
      <c r="T47">
        <f>VLOOKUP($C47,'Hist Data'!$A$2:$CN$428,'Unchained Indices'!T$2,0)/VLOOKUP($C46,'Hist Data'!$A$2:$CN$428,'Unchained Indices'!T$2,0)-1</f>
        <v>7.5858991521642327E-3</v>
      </c>
      <c r="U47">
        <f>VLOOKUP($C47,'Hist Data'!$A$2:$CN$428,'Unchained Indices'!U$2,0)/VLOOKUP($C46,'Hist Data'!$A$2:$CN$428,'Unchained Indices'!U$2,0)-1</f>
        <v>4.382183908045989E-2</v>
      </c>
      <c r="V47">
        <f>VLOOKUP($C47,'Hist Data'!$A$2:$CN$428,'Unchained Indices'!V$2,0)/VLOOKUP($C46,'Hist Data'!$A$2:$CN$428,'Unchained Indices'!V$2,0)-1</f>
        <v>6.9284064665127154E-3</v>
      </c>
      <c r="W47">
        <f>VLOOKUP($C47,'Hist Data'!$A$2:$CN$428,'Unchained Indices'!W$2,0)/VLOOKUP($C46,'Hist Data'!$A$2:$CN$428,'Unchained Indices'!W$2,0)-1</f>
        <v>1.7182130584192379E-2</v>
      </c>
      <c r="X47">
        <f>VLOOKUP($C47,'Hist Data'!$A$2:$CN$428,'Unchained Indices'!X$2,0)/VLOOKUP($C46,'Hist Data'!$A$2:$CN$428,'Unchained Indices'!X$2,0)-1</f>
        <v>-1.5760040671072617E-2</v>
      </c>
      <c r="Y47">
        <f>VLOOKUP($C47,'Hist Data'!$A$2:$CN$428,'Unchained Indices'!Y$2,0)/VLOOKUP($C46,'Hist Data'!$A$2:$CN$428,'Unchained Indices'!Y$2,0)-1</f>
        <v>-1.3765978367748399E-2</v>
      </c>
      <c r="Z47">
        <f>VLOOKUP($C47,'Hist Data'!$A$2:$CN$428,'Unchained Indices'!Z$2,0)/VLOOKUP($C46,'Hist Data'!$A$2:$CN$428,'Unchained Indices'!Z$2,0)-1</f>
        <v>1.0597302504816941E-2</v>
      </c>
      <c r="AA47">
        <f>VLOOKUP($C47,'Hist Data'!$A$2:$CN$428,'Unchained Indices'!AA$2,0)/VLOOKUP($C46,'Hist Data'!$A$2:$CN$428,'Unchained Indices'!AA$2,0)-1</f>
        <v>-1.8410852713178438E-2</v>
      </c>
      <c r="AB47">
        <f>VLOOKUP($C47,'Hist Data'!$A$2:$CN$428,'Unchained Indices'!AB$2,0)/VLOOKUP($C46,'Hist Data'!$A$2:$CN$428,'Unchained Indices'!AB$2,0)-1</f>
        <v>6.384676775738285E-3</v>
      </c>
      <c r="AC47">
        <f>VLOOKUP($C47,'Hist Data'!$A$2:$CN$428,'Unchained Indices'!AC$2,0)/VLOOKUP($C46,'Hist Data'!$A$2:$CN$428,'Unchained Indices'!AC$2,0)-1</f>
        <v>3.349807797913229E-2</v>
      </c>
      <c r="AD47">
        <f>VLOOKUP($C47,'Hist Data'!$A$2:$CN$428,'Unchained Indices'!AD$2,0)/VLOOKUP($C46,'Hist Data'!$A$2:$CN$428,'Unchained Indices'!AD$2,0)-1</f>
        <v>-7.6952674105423835E-4</v>
      </c>
      <c r="AE47">
        <f>VLOOKUP($C47,'Hist Data'!$A$2:$CN$428,'Unchained Indices'!AE$2,0)/VLOOKUP($C46,'Hist Data'!$A$2:$CN$428,'Unchained Indices'!AE$2,0)-1</f>
        <v>1.8230563002680888E-2</v>
      </c>
      <c r="AF47">
        <f>VLOOKUP($C47,'Hist Data'!$A$2:$CN$428,'Unchained Indices'!AF$2,0)/VLOOKUP($C46,'Hist Data'!$A$2:$CN$428,'Unchained Indices'!AF$2,0)-1</f>
        <v>1.1235955056179803E-2</v>
      </c>
      <c r="AG47">
        <f>VLOOKUP($C47,'Hist Data'!$A$2:$CN$428,'Unchained Indices'!AG$2,0)/VLOOKUP($C46,'Hist Data'!$A$2:$CN$428,'Unchained Indices'!AG$2,0)-1</f>
        <v>4.0693559801840085E-2</v>
      </c>
      <c r="AH47">
        <f>VLOOKUP($C47,'Hist Data'!$A$2:$CN$428,'Unchained Indices'!AH$2,0)/VLOOKUP($C46,'Hist Data'!$A$2:$CN$428,'Unchained Indices'!AH$2,0)-1</f>
        <v>7.0364238410596247E-3</v>
      </c>
      <c r="AI47">
        <f>VLOOKUP($C47,'Hist Data'!$A$2:$CN$428,'Unchained Indices'!AI$2,0)/VLOOKUP($C46,'Hist Data'!$A$2:$CN$428,'Unchained Indices'!AI$2,0)-1</f>
        <v>8.7260034904013128E-3</v>
      </c>
      <c r="AJ47">
        <f>VLOOKUP($C47,'Hist Data'!$A$2:$CN$428,'Unchained Indices'!AJ$2,0)/VLOOKUP($C46,'Hist Data'!$A$2:$CN$428,'Unchained Indices'!AJ$2,0)-1</f>
        <v>3.2435939020425408E-4</v>
      </c>
      <c r="AK47">
        <f>VLOOKUP($C47,'Hist Data'!$A$2:$CN$428,'Unchained Indices'!AK$2,0)/VLOOKUP($C46,'Hist Data'!$A$2:$CN$428,'Unchained Indices'!AK$2,0)-1</f>
        <v>1.8661811561220043E-2</v>
      </c>
      <c r="AL47">
        <f>VLOOKUP($C47,'Hist Data'!$A$2:$CN$428,'Unchained Indices'!AL$2,0)/VLOOKUP($C46,'Hist Data'!$A$2:$CN$428,'Unchained Indices'!AL$2,0)-1</f>
        <v>5.8051489146895285E-3</v>
      </c>
      <c r="AM47">
        <f>VLOOKUP($C47,'Hist Data'!$A$2:$CN$428,'Unchained Indices'!AM$2,0)/VLOOKUP($C46,'Hist Data'!$A$2:$CN$428,'Unchained Indices'!AM$2,0)-1</f>
        <v>-1.3908205841445254E-3</v>
      </c>
      <c r="AN47">
        <f>VLOOKUP($C47,'Hist Data'!$A$2:$CN$428,'Unchained Indices'!AN$2,0)/VLOOKUP($C46,'Hist Data'!$A$2:$CN$428,'Unchained Indices'!AN$2,0)-1</f>
        <v>1.4532698571786407E-2</v>
      </c>
      <c r="AO47">
        <f>VLOOKUP($C47,'Hist Data'!$A$2:$CN$428,'Unchained Indices'!AO$2,0)/VLOOKUP($C46,'Hist Data'!$A$2:$CN$428,'Unchained Indices'!AO$2,0)-1</f>
        <v>4.2881646655230643E-3</v>
      </c>
      <c r="AP47">
        <f>VLOOKUP($C47,'Hist Data'!$A$2:$CN$428,'Unchained Indices'!AP$2,0)/VLOOKUP($C46,'Hist Data'!$A$2:$CN$428,'Unchained Indices'!AP$2,0)-1</f>
        <v>4.9285362247419862E-4</v>
      </c>
      <c r="AQ47">
        <f>VLOOKUP($C47,'Hist Data'!$A$2:$CN$428,'Unchained Indices'!AQ$2,0)/VLOOKUP($C46,'Hist Data'!$A$2:$CN$428,'Unchained Indices'!AQ$2,0)-1</f>
        <v>7.4413279908414065E-3</v>
      </c>
      <c r="AR47">
        <f>VLOOKUP($C47,'Hist Data'!$A$2:$CN$428,'Unchained Indices'!AR$2,0)/VLOOKUP($C46,'Hist Data'!$A$2:$CN$428,'Unchained Indices'!AR$2,0)-1</f>
        <v>6.9492703266149647E-4</v>
      </c>
      <c r="AS47">
        <f>VLOOKUP($C47,'Hist Data'!$A$2:$CN$428,'Unchained Indices'!AS$2,0)/VLOOKUP($C46,'Hist Data'!$A$2:$CN$428,'Unchained Indices'!AS$2,0)-1</f>
        <v>4.6774987690794134E-3</v>
      </c>
      <c r="AT47">
        <f>VLOOKUP($C47,'Hist Data'!$A$2:$CN$428,'Unchained Indices'!AT$2,0)/VLOOKUP($C46,'Hist Data'!$A$2:$CN$428,'Unchained Indices'!AT$2,0)-1</f>
        <v>-1.4265335235378318E-3</v>
      </c>
      <c r="AU47">
        <f>VLOOKUP($C47,'Hist Data'!$A$2:$CN$428,'Unchained Indices'!AU$2,0)/VLOOKUP($C46,'Hist Data'!$A$2:$CN$428,'Unchained Indices'!AU$2,0)-1</f>
        <v>0</v>
      </c>
      <c r="AV47">
        <f>VLOOKUP($C47,'Hist Data'!$A$2:$CN$428,'Unchained Indices'!AV$2,0)/VLOOKUP($C46,'Hist Data'!$A$2:$CN$428,'Unchained Indices'!AV$2,0)-1</f>
        <v>2.8176951253875426E-3</v>
      </c>
      <c r="AW47">
        <f>VLOOKUP($C47,'Hist Data'!$A$2:$CN$428,'Unchained Indices'!AW$2,0)/VLOOKUP($C46,'Hist Data'!$A$2:$CN$428,'Unchained Indices'!AW$2,0)-1</f>
        <v>2.5106703489832238E-3</v>
      </c>
      <c r="AX47">
        <f>VLOOKUP($C47,'Hist Data'!$A$2:$CN$428,'Unchained Indices'!AX$2,0)/VLOOKUP($C46,'Hist Data'!$A$2:$CN$428,'Unchained Indices'!AX$2,0)-1</f>
        <v>2.3236163920574482E-2</v>
      </c>
      <c r="AY47">
        <f>VLOOKUP($C47,'Hist Data'!$A$2:$CN$428,'Unchained Indices'!AY$2,0)/VLOOKUP($C46,'Hist Data'!$A$2:$CN$428,'Unchained Indices'!AY$2,0)-1</f>
        <v>5.3267772997336316E-3</v>
      </c>
      <c r="AZ47">
        <f>VLOOKUP($C47,'Hist Data'!$A$2:$CN$428,'Unchained Indices'!AZ$2,0)/VLOOKUP($C46,'Hist Data'!$A$2:$CN$428,'Unchained Indices'!AZ$2,0)-1</f>
        <v>0</v>
      </c>
      <c r="BA47">
        <f>VLOOKUP($C47,'Hist Data'!$A$2:$CN$428,'Unchained Indices'!BA$2,0)/VLOOKUP($C46,'Hist Data'!$A$2:$CN$428,'Unchained Indices'!BA$2,0)-1</f>
        <v>0</v>
      </c>
      <c r="BB47">
        <f>VLOOKUP($C47,'Hist Data'!$A$2:$CN$428,'Unchained Indices'!BB$2,0)/VLOOKUP($C46,'Hist Data'!$A$2:$CN$428,'Unchained Indices'!BB$2,0)-1</f>
        <v>2.0166372573733327E-3</v>
      </c>
      <c r="BC47">
        <f>VLOOKUP($C47,'Hist Data'!$A$2:$CN$428,'Unchained Indices'!BC$2,0)/VLOOKUP($C46,'Hist Data'!$A$2:$CN$428,'Unchained Indices'!BC$2,0)-1</f>
        <v>1.7373175816539632E-3</v>
      </c>
      <c r="BD47">
        <f>VLOOKUP($C47,'Hist Data'!$A$2:$CN$428,'Unchained Indices'!BD$2,0)/VLOOKUP($C46,'Hist Data'!$A$2:$CN$428,'Unchained Indices'!BD$2,0)-1</f>
        <v>1.4261168384879674E-2</v>
      </c>
      <c r="BE47">
        <f>VLOOKUP($C47,'Hist Data'!$A$2:$CN$428,'Unchained Indices'!BE$2,0)/VLOOKUP($C46,'Hist Data'!$A$2:$CN$428,'Unchained Indices'!BE$2,0)-1</f>
        <v>5.1632322296828015E-2</v>
      </c>
      <c r="BF47">
        <f>VLOOKUP($C47,'Hist Data'!$A$2:$CN$428,'Unchained Indices'!BF$2,0)/VLOOKUP($C46,'Hist Data'!$A$2:$CN$428,'Unchained Indices'!BF$2,0)-1</f>
        <v>0</v>
      </c>
      <c r="BG47">
        <f>VLOOKUP($C47,'Hist Data'!$A$2:$CN$428,'Unchained Indices'!BG$2,0)/VLOOKUP($C46,'Hist Data'!$A$2:$CN$428,'Unchained Indices'!BG$2,0)-1</f>
        <v>0</v>
      </c>
      <c r="BH47">
        <f>VLOOKUP($C47,'Hist Data'!$A$2:$CN$428,'Unchained Indices'!BH$2,0)/VLOOKUP($C46,'Hist Data'!$A$2:$CN$428,'Unchained Indices'!BH$2,0)-1</f>
        <v>4.9912214697767743E-2</v>
      </c>
      <c r="BI47">
        <f>VLOOKUP($C47,'Hist Data'!$A$2:$CN$428,'Unchained Indices'!BI$2,0)/VLOOKUP($C46,'Hist Data'!$A$2:$CN$428,'Unchained Indices'!BI$2,0)-1</f>
        <v>2.8149767696091788E-2</v>
      </c>
      <c r="BJ47">
        <f>VLOOKUP($C47,'Hist Data'!$A$2:$CN$428,'Unchained Indices'!BJ$2,0)/VLOOKUP($C46,'Hist Data'!$A$2:$CN$428,'Unchained Indices'!BJ$2,0)-1</f>
        <v>8.0780881857960285E-3</v>
      </c>
      <c r="BK47">
        <f>VLOOKUP($C47,'Hist Data'!$A$2:$CN$428,'Unchained Indices'!BK$2,0)/VLOOKUP($C46,'Hist Data'!$A$2:$CN$428,'Unchained Indices'!BK$2,0)-1</f>
        <v>-2.2271714922049712E-3</v>
      </c>
      <c r="BL47">
        <f>VLOOKUP($C47,'Hist Data'!$A$2:$CN$428,'Unchained Indices'!BL$2,0)/VLOOKUP($C46,'Hist Data'!$A$2:$CN$428,'Unchained Indices'!BL$2,0)-1</f>
        <v>3.2362459546926292E-3</v>
      </c>
      <c r="BM47">
        <f>VLOOKUP($C47,'Hist Data'!$A$2:$CN$428,'Unchained Indices'!BM$2,0)/VLOOKUP($C46,'Hist Data'!$A$2:$CN$428,'Unchained Indices'!BM$2,0)-1</f>
        <v>4.3402777777776791E-3</v>
      </c>
      <c r="BN47">
        <f>VLOOKUP($C47,'Hist Data'!$A$2:$CN$428,'Unchained Indices'!BN$2,0)/VLOOKUP($C46,'Hist Data'!$A$2:$CN$428,'Unchained Indices'!BN$2,0)-1</f>
        <v>5.0909090909090349E-3</v>
      </c>
      <c r="BO47">
        <f>VLOOKUP($C47,'Hist Data'!$A$2:$CN$428,'Unchained Indices'!BO$2,0)/VLOOKUP($C46,'Hist Data'!$A$2:$CN$428,'Unchained Indices'!BO$2,0)-1</f>
        <v>0</v>
      </c>
      <c r="BP47">
        <f>VLOOKUP($C47,'Hist Data'!$A$2:$CN$428,'Unchained Indices'!BP$2,0)/VLOOKUP($C46,'Hist Data'!$A$2:$CN$428,'Unchained Indices'!BP$2,0)-1</f>
        <v>1.0458567980691891E-2</v>
      </c>
      <c r="BQ47">
        <f>VLOOKUP($C47,'Hist Data'!$A$2:$CN$428,'Unchained Indices'!BQ$2,0)/VLOOKUP($C46,'Hist Data'!$A$2:$CN$428,'Unchained Indices'!BQ$2,0)-1</f>
        <v>6.3144601136602141E-3</v>
      </c>
      <c r="BR47">
        <f>VLOOKUP($C47,'Hist Data'!$A$2:$CN$428,'Unchained Indices'!BR$2,0)/VLOOKUP($C46,'Hist Data'!$A$2:$CN$428,'Unchained Indices'!BR$2,0)-1</f>
        <v>-3.4910106475816161E-4</v>
      </c>
      <c r="BS47">
        <f>VLOOKUP($C47,'Hist Data'!$A$2:$CN$428,'Unchained Indices'!BS$2,0)/VLOOKUP($C46,'Hist Data'!$A$2:$CN$428,'Unchained Indices'!BS$2,0)-1</f>
        <v>8.0064051240991141E-4</v>
      </c>
      <c r="BT47">
        <f>VLOOKUP($C47,'Hist Data'!$A$2:$CN$428,'Unchained Indices'!BT$2,0)/VLOOKUP($C46,'Hist Data'!$A$2:$CN$428,'Unchained Indices'!BT$2,0)-1</f>
        <v>-4.5892611289581886E-3</v>
      </c>
      <c r="BU47">
        <f>VLOOKUP($C47,'Hist Data'!$A$2:$CN$428,'Unchained Indices'!BU$2,0)/VLOOKUP($C46,'Hist Data'!$A$2:$CN$428,'Unchained Indices'!BU$2,0)-1</f>
        <v>2.0627417275461912E-2</v>
      </c>
      <c r="BV47">
        <f>VLOOKUP($C47,'Hist Data'!$A$2:$CN$428,'Unchained Indices'!BV$2,0)/VLOOKUP($C46,'Hist Data'!$A$2:$CN$428,'Unchained Indices'!BV$2,0)-1</f>
        <v>7.700770077007757E-3</v>
      </c>
      <c r="BW47">
        <f>VLOOKUP($C47,'Hist Data'!$A$2:$CN$428,'Unchained Indices'!BW$2,0)/VLOOKUP($C46,'Hist Data'!$A$2:$CN$428,'Unchained Indices'!BW$2,0)-1</f>
        <v>-5.47045951860059E-4</v>
      </c>
      <c r="BX47">
        <f>VLOOKUP($C47,'Hist Data'!$A$2:$CN$428,'Unchained Indices'!BX$2,0)/VLOOKUP($C46,'Hist Data'!$A$2:$CN$428,'Unchained Indices'!BX$2,0)-1</f>
        <v>-4.7784535186793375E-3</v>
      </c>
      <c r="BY47">
        <f>VLOOKUP($C47,'Hist Data'!$A$2:$CN$428,'Unchained Indices'!BY$2,0)/VLOOKUP($C46,'Hist Data'!$A$2:$CN$428,'Unchained Indices'!BY$2,0)-1</f>
        <v>1.2267343485617532E-2</v>
      </c>
      <c r="BZ47">
        <f>VLOOKUP($C47,'Hist Data'!$A$2:$CN$428,'Unchained Indices'!BZ$2,0)/VLOOKUP($C46,'Hist Data'!$A$2:$CN$428,'Unchained Indices'!BZ$2,0)-1</f>
        <v>2.1025392204432336E-3</v>
      </c>
      <c r="CA47">
        <f>VLOOKUP($C47,'Hist Data'!$A$2:$CN$428,'Unchained Indices'!CA$2,0)/VLOOKUP($C46,'Hist Data'!$A$2:$CN$428,'Unchained Indices'!CA$2,0)-1</f>
        <v>-1.2027491408934776E-2</v>
      </c>
      <c r="CB47">
        <f>VLOOKUP($C47,'Hist Data'!$A$2:$CN$428,'Unchained Indices'!CB$2,0)/VLOOKUP($C46,'Hist Data'!$A$2:$CN$428,'Unchained Indices'!CB$2,0)-1</f>
        <v>6.0476004682012974E-3</v>
      </c>
      <c r="CC47">
        <f>VLOOKUP($C47,'Hist Data'!$A$2:$CN$428,'Unchained Indices'!CC$2,0)/VLOOKUP($C46,'Hist Data'!$A$2:$CN$428,'Unchained Indices'!CC$2,0)-1</f>
        <v>8.6622141266949892E-2</v>
      </c>
      <c r="CD47">
        <f>VLOOKUP($C47,'Hist Data'!$A$2:$CN$428,'Unchained Indices'!CD$2,0)/VLOOKUP($C46,'Hist Data'!$A$2:$CN$428,'Unchained Indices'!CD$2,0)-1</f>
        <v>2.384660307572517E-2</v>
      </c>
      <c r="CE47">
        <f>VLOOKUP($C47,'Hist Data'!$A$2:$CN$428,'Unchained Indices'!CE$2,0)/VLOOKUP($C46,'Hist Data'!$A$2:$CN$428,'Unchained Indices'!CE$2,0)-1</f>
        <v>1.441170144117021E-2</v>
      </c>
      <c r="CF47">
        <f>VLOOKUP($C47,'Hist Data'!$A$2:$CN$428,'Unchained Indices'!CF$2,0)/VLOOKUP($C46,'Hist Data'!$A$2:$CN$428,'Unchained Indices'!CF$2,0)-1</f>
        <v>2.105083005305497E-2</v>
      </c>
      <c r="CG47">
        <f>VLOOKUP($C47,'Hist Data'!$A$2:$CN$428,'Unchained Indices'!CG$2,0)/VLOOKUP($C46,'Hist Data'!$A$2:$CN$428,'Unchained Indices'!CG$2,0)-1</f>
        <v>3.7254459245879445E-2</v>
      </c>
      <c r="CH47">
        <f>VLOOKUP($C47,'Hist Data'!$A$2:$CN$428,'Unchained Indices'!CH$2,0)/VLOOKUP($C46,'Hist Data'!$A$2:$CN$428,'Unchained Indices'!CH$2,0)-1</f>
        <v>1.538461538461533E-2</v>
      </c>
      <c r="CI47">
        <f>VLOOKUP($C47,'Hist Data'!$A$2:$CN$428,'Unchained Indices'!CI$2,0)/VLOOKUP($C46,'Hist Data'!$A$2:$CN$428,'Unchained Indices'!CI$2,0)-1</f>
        <v>-2.4182076813655806E-2</v>
      </c>
      <c r="CJ47">
        <f>VLOOKUP($C47,'Hist Data'!$A$2:$CN$428,'Unchained Indices'!CJ$2,0)/VLOOKUP($C46,'Hist Data'!$A$2:$CN$428,'Unchained Indices'!CJ$2,0)-1</f>
        <v>-7.5829383886255597E-3</v>
      </c>
      <c r="CK47">
        <f>VLOOKUP($C47,'Hist Data'!$A$2:$CN$428,'Unchained Indices'!CK$2,0)/VLOOKUP($C46,'Hist Data'!$A$2:$CN$428,'Unchained Indices'!CK$2,0)-1</f>
        <v>4.2728635682158789E-2</v>
      </c>
      <c r="CL47">
        <f>VLOOKUP($C47,'Hist Data'!$A$2:$CN$428,'Unchained Indices'!CL$2,0)/VLOOKUP($C46,'Hist Data'!$A$2:$CN$428,'Unchained Indices'!CL$2,0)-1</f>
        <v>7.87057280279857E-3</v>
      </c>
      <c r="CM47">
        <f>VLOOKUP($C47,'Hist Data'!$A$2:$CN$428,'Unchained Indices'!CM$2,0)/VLOOKUP($C46,'Hist Data'!$A$2:$CN$428,'Unchained Indices'!CM$2,0)-1</f>
        <v>0</v>
      </c>
      <c r="CN47">
        <f>VLOOKUP($C47,'Hist Data'!$A$2:$CN$428,'Unchained Indices'!CN$2,0)/VLOOKUP($C46,'Hist Data'!$A$2:$CN$428,'Unchained Indices'!CN$2,0)-1</f>
        <v>5.908195727919896E-3</v>
      </c>
      <c r="CO47">
        <f>VLOOKUP($C47,'Hist Data'!$A$2:$CN$428,'Unchained Indices'!CO$2,0)/VLOOKUP($C46,'Hist Data'!$A$2:$CN$428,'Unchained Indices'!CO$2,0)-1</f>
        <v>7.2202166064980755E-3</v>
      </c>
      <c r="CP47">
        <f>VLOOKUP($C47,'Hist Data'!$A$2:$CN$428,'Unchained Indices'!CP$2,0)/VLOOKUP($C46,'Hist Data'!$A$2:$CN$428,'Unchained Indices'!CP$2,0)-1</f>
        <v>3.5070468698787272E-2</v>
      </c>
    </row>
    <row r="48" spans="1:94" x14ac:dyDescent="0.25">
      <c r="C48" s="6">
        <f t="shared" si="10"/>
        <v>44743</v>
      </c>
      <c r="D48">
        <f>VLOOKUP($C48,'Hist Data'!$A$2:$CN$428,'Unchained Indices'!D$2,0)/VLOOKUP($C47,'Hist Data'!$A$2:$CN$428,'Unchained Indices'!D$2,0)-1</f>
        <v>1.6194331983805599E-2</v>
      </c>
      <c r="E48">
        <f>VLOOKUP($C48,'Hist Data'!$A$2:$CN$428,'Unchained Indices'!E$2,0)/VLOOKUP($C47,'Hist Data'!$A$2:$CN$428,'Unchained Indices'!E$2,0)-1</f>
        <v>2.4171888988361756E-2</v>
      </c>
      <c r="F48">
        <f>VLOOKUP($C48,'Hist Data'!$A$2:$CN$428,'Unchained Indices'!F$2,0)/VLOOKUP($C47,'Hist Data'!$A$2:$CN$428,'Unchained Indices'!F$2,0)-1</f>
        <v>1.3611615245008979E-2</v>
      </c>
      <c r="G48">
        <f>VLOOKUP($C48,'Hist Data'!$A$2:$CN$428,'Unchained Indices'!G$2,0)/VLOOKUP($C47,'Hist Data'!$A$2:$CN$428,'Unchained Indices'!G$2,0)-1</f>
        <v>1.4997794441993895E-2</v>
      </c>
      <c r="H48">
        <f>VLOOKUP($C48,'Hist Data'!$A$2:$CN$428,'Unchained Indices'!H$2,0)/VLOOKUP($C47,'Hist Data'!$A$2:$CN$428,'Unchained Indices'!H$2,0)-1</f>
        <v>7.2351421188630027E-3</v>
      </c>
      <c r="I48">
        <f>VLOOKUP($C48,'Hist Data'!$A$2:$CN$428,'Unchained Indices'!I$2,0)/VLOOKUP($C47,'Hist Data'!$A$2:$CN$428,'Unchained Indices'!I$2,0)-1</f>
        <v>7.3078736445073567E-3</v>
      </c>
      <c r="J48">
        <f>VLOOKUP($C48,'Hist Data'!$A$2:$CN$428,'Unchained Indices'!J$2,0)/VLOOKUP($C47,'Hist Data'!$A$2:$CN$428,'Unchained Indices'!J$2,0)-1</f>
        <v>4.3877143996808865E-2</v>
      </c>
      <c r="K48">
        <f>VLOOKUP($C48,'Hist Data'!$A$2:$CN$428,'Unchained Indices'!K$2,0)/VLOOKUP($C47,'Hist Data'!$A$2:$CN$428,'Unchained Indices'!K$2,0)-1</f>
        <v>3.0551755585955354E-2</v>
      </c>
      <c r="L48">
        <f>VLOOKUP($C48,'Hist Data'!$A$2:$CN$428,'Unchained Indices'!L$2,0)/VLOOKUP($C47,'Hist Data'!$A$2:$CN$428,'Unchained Indices'!L$2,0)-1</f>
        <v>1.5601783060921193E-2</v>
      </c>
      <c r="M48">
        <f>VLOOKUP($C48,'Hist Data'!$A$2:$CN$428,'Unchained Indices'!M$2,0)/VLOOKUP($C47,'Hist Data'!$A$2:$CN$428,'Unchained Indices'!M$2,0)-1</f>
        <v>1.8894662257912032E-2</v>
      </c>
      <c r="N48">
        <f>VLOOKUP($C48,'Hist Data'!$A$2:$CN$428,'Unchained Indices'!N$2,0)/VLOOKUP($C47,'Hist Data'!$A$2:$CN$428,'Unchained Indices'!N$2,0)-1</f>
        <v>1.6337644656228667E-2</v>
      </c>
      <c r="O48">
        <f>VLOOKUP($C48,'Hist Data'!$A$2:$CN$428,'Unchained Indices'!O$2,0)/VLOOKUP($C47,'Hist Data'!$A$2:$CN$428,'Unchained Indices'!O$2,0)-1</f>
        <v>1.6701461377870652E-2</v>
      </c>
      <c r="P48">
        <f>VLOOKUP($C48,'Hist Data'!$A$2:$CN$428,'Unchained Indices'!P$2,0)/VLOOKUP($C47,'Hist Data'!$A$2:$CN$428,'Unchained Indices'!P$2,0)-1</f>
        <v>1.6232668244842818E-2</v>
      </c>
      <c r="Q48">
        <f>VLOOKUP($C48,'Hist Data'!$A$2:$CN$428,'Unchained Indices'!Q$2,0)/VLOOKUP($C47,'Hist Data'!$A$2:$CN$428,'Unchained Indices'!Q$2,0)-1</f>
        <v>4.0906091928744281E-2</v>
      </c>
      <c r="R48">
        <f>VLOOKUP($C48,'Hist Data'!$A$2:$CN$428,'Unchained Indices'!R$2,0)/VLOOKUP($C47,'Hist Data'!$A$2:$CN$428,'Unchained Indices'!R$2,0)-1</f>
        <v>7.3646496815286566E-2</v>
      </c>
      <c r="S48">
        <f>VLOOKUP($C48,'Hist Data'!$A$2:$CN$428,'Unchained Indices'!S$2,0)/VLOOKUP($C47,'Hist Data'!$A$2:$CN$428,'Unchained Indices'!S$2,0)-1</f>
        <v>1.9638043896804014E-2</v>
      </c>
      <c r="T48">
        <f>VLOOKUP($C48,'Hist Data'!$A$2:$CN$428,'Unchained Indices'!T$2,0)/VLOOKUP($C47,'Hist Data'!$A$2:$CN$428,'Unchained Indices'!T$2,0)-1</f>
        <v>2.0814880425154891E-2</v>
      </c>
      <c r="U48">
        <f>VLOOKUP($C48,'Hist Data'!$A$2:$CN$428,'Unchained Indices'!U$2,0)/VLOOKUP($C47,'Hist Data'!$A$2:$CN$428,'Unchained Indices'!U$2,0)-1</f>
        <v>5.161734342739166E-2</v>
      </c>
      <c r="V48">
        <f>VLOOKUP($C48,'Hist Data'!$A$2:$CN$428,'Unchained Indices'!V$2,0)/VLOOKUP($C47,'Hist Data'!$A$2:$CN$428,'Unchained Indices'!V$2,0)-1</f>
        <v>1.5596330275229331E-2</v>
      </c>
      <c r="W48">
        <f>VLOOKUP($C48,'Hist Data'!$A$2:$CN$428,'Unchained Indices'!W$2,0)/VLOOKUP($C47,'Hist Data'!$A$2:$CN$428,'Unchained Indices'!W$2,0)-1</f>
        <v>9.7128378378377178E-3</v>
      </c>
      <c r="X48">
        <f>VLOOKUP($C48,'Hist Data'!$A$2:$CN$428,'Unchained Indices'!X$2,0)/VLOOKUP($C47,'Hist Data'!$A$2:$CN$428,'Unchained Indices'!X$2,0)-1</f>
        <v>3.4607438016529102E-2</v>
      </c>
      <c r="Y48">
        <f>VLOOKUP($C48,'Hist Data'!$A$2:$CN$428,'Unchained Indices'!Y$2,0)/VLOOKUP($C47,'Hist Data'!$A$2:$CN$428,'Unchained Indices'!Y$2,0)-1</f>
        <v>1.5952143569292199E-2</v>
      </c>
      <c r="Z48">
        <f>VLOOKUP($C48,'Hist Data'!$A$2:$CN$428,'Unchained Indices'!Z$2,0)/VLOOKUP($C47,'Hist Data'!$A$2:$CN$428,'Unchained Indices'!Z$2,0)-1</f>
        <v>1.9542421353670125E-2</v>
      </c>
      <c r="AA48">
        <f>VLOOKUP($C48,'Hist Data'!$A$2:$CN$428,'Unchained Indices'!AA$2,0)/VLOOKUP($C47,'Hist Data'!$A$2:$CN$428,'Unchained Indices'!AA$2,0)-1</f>
        <v>2.0072392234287584E-2</v>
      </c>
      <c r="AB48">
        <f>VLOOKUP($C48,'Hist Data'!$A$2:$CN$428,'Unchained Indices'!AB$2,0)/VLOOKUP($C47,'Hist Data'!$A$2:$CN$428,'Unchained Indices'!AB$2,0)-1</f>
        <v>4.2426645519428874E-2</v>
      </c>
      <c r="AC48">
        <f>VLOOKUP($C48,'Hist Data'!$A$2:$CN$428,'Unchained Indices'!AC$2,0)/VLOOKUP($C47,'Hist Data'!$A$2:$CN$428,'Unchained Indices'!AC$2,0)-1</f>
        <v>4.1445270988310412E-2</v>
      </c>
      <c r="AD48">
        <f>VLOOKUP($C48,'Hist Data'!$A$2:$CN$428,'Unchained Indices'!AD$2,0)/VLOOKUP($C47,'Hist Data'!$A$2:$CN$428,'Unchained Indices'!AD$2,0)-1</f>
        <v>4.3126684636118462E-2</v>
      </c>
      <c r="AE48">
        <f>VLOOKUP($C48,'Hist Data'!$A$2:$CN$428,'Unchained Indices'!AE$2,0)/VLOOKUP($C47,'Hist Data'!$A$2:$CN$428,'Unchained Indices'!AE$2,0)-1</f>
        <v>1.5271195365982093E-2</v>
      </c>
      <c r="AF48">
        <f>VLOOKUP($C48,'Hist Data'!$A$2:$CN$428,'Unchained Indices'!AF$2,0)/VLOOKUP($C47,'Hist Data'!$A$2:$CN$428,'Unchained Indices'!AF$2,0)-1</f>
        <v>9.2592592592593004E-3</v>
      </c>
      <c r="AG48">
        <f>VLOOKUP($C48,'Hist Data'!$A$2:$CN$428,'Unchained Indices'!AG$2,0)/VLOOKUP($C47,'Hist Data'!$A$2:$CN$428,'Unchained Indices'!AG$2,0)-1</f>
        <v>3.7402244134647988E-2</v>
      </c>
      <c r="AH48">
        <f>VLOOKUP($C48,'Hist Data'!$A$2:$CN$428,'Unchained Indices'!AH$2,0)/VLOOKUP($C47,'Hist Data'!$A$2:$CN$428,'Unchained Indices'!AH$2,0)-1</f>
        <v>9.8643649815042256E-3</v>
      </c>
      <c r="AI48">
        <f>VLOOKUP($C48,'Hist Data'!$A$2:$CN$428,'Unchained Indices'!AI$2,0)/VLOOKUP($C47,'Hist Data'!$A$2:$CN$428,'Unchained Indices'!AI$2,0)-1</f>
        <v>9.5155709342560346E-3</v>
      </c>
      <c r="AJ48">
        <f>VLOOKUP($C48,'Hist Data'!$A$2:$CN$428,'Unchained Indices'!AJ$2,0)/VLOOKUP($C47,'Hist Data'!$A$2:$CN$428,'Unchained Indices'!AJ$2,0)-1</f>
        <v>9.7276264591439343E-3</v>
      </c>
      <c r="AK48">
        <f>VLOOKUP($C48,'Hist Data'!$A$2:$CN$428,'Unchained Indices'!AK$2,0)/VLOOKUP($C47,'Hist Data'!$A$2:$CN$428,'Unchained Indices'!AK$2,0)-1</f>
        <v>3.5299374441465581E-2</v>
      </c>
      <c r="AL48">
        <f>VLOOKUP($C48,'Hist Data'!$A$2:$CN$428,'Unchained Indices'!AL$2,0)/VLOOKUP($C47,'Hist Data'!$A$2:$CN$428,'Unchained Indices'!AL$2,0)-1</f>
        <v>6.0225846925971993E-3</v>
      </c>
      <c r="AM48">
        <f>VLOOKUP($C48,'Hist Data'!$A$2:$CN$428,'Unchained Indices'!AM$2,0)/VLOOKUP($C47,'Hist Data'!$A$2:$CN$428,'Unchained Indices'!AM$2,0)-1</f>
        <v>-2.7855153203342198E-3</v>
      </c>
      <c r="AN48">
        <f>VLOOKUP($C48,'Hist Data'!$A$2:$CN$428,'Unchained Indices'!AN$2,0)/VLOOKUP($C47,'Hist Data'!$A$2:$CN$428,'Unchained Indices'!AN$2,0)-1</f>
        <v>9.3850333415659293E-3</v>
      </c>
      <c r="AO48">
        <f>VLOOKUP($C48,'Hist Data'!$A$2:$CN$428,'Unchained Indices'!AO$2,0)/VLOOKUP($C47,'Hist Data'!$A$2:$CN$428,'Unchained Indices'!AO$2,0)-1</f>
        <v>2.8465698832902397E-4</v>
      </c>
      <c r="AP48">
        <f>VLOOKUP($C48,'Hist Data'!$A$2:$CN$428,'Unchained Indices'!AP$2,0)/VLOOKUP($C47,'Hist Data'!$A$2:$CN$428,'Unchained Indices'!AP$2,0)-1</f>
        <v>1.7241379310344307E-3</v>
      </c>
      <c r="AQ48">
        <f>VLOOKUP($C48,'Hist Data'!$A$2:$CN$428,'Unchained Indices'!AQ$2,0)/VLOOKUP($C47,'Hist Data'!$A$2:$CN$428,'Unchained Indices'!AQ$2,0)-1</f>
        <v>-5.6818181818174551E-4</v>
      </c>
      <c r="AR48">
        <f>VLOOKUP($C48,'Hist Data'!$A$2:$CN$428,'Unchained Indices'!AR$2,0)/VLOOKUP($C47,'Hist Data'!$A$2:$CN$428,'Unchained Indices'!AR$2,0)-1</f>
        <v>4.1666666666666519E-3</v>
      </c>
      <c r="AS48">
        <f>VLOOKUP($C48,'Hist Data'!$A$2:$CN$428,'Unchained Indices'!AS$2,0)/VLOOKUP($C47,'Hist Data'!$A$2:$CN$428,'Unchained Indices'!AS$2,0)-1</f>
        <v>4.4106836559665297E-3</v>
      </c>
      <c r="AT48">
        <f>VLOOKUP($C48,'Hist Data'!$A$2:$CN$428,'Unchained Indices'!AT$2,0)/VLOOKUP($C47,'Hist Data'!$A$2:$CN$428,'Unchained Indices'!AT$2,0)-1</f>
        <v>4.2857142857142261E-3</v>
      </c>
      <c r="AU48">
        <f>VLOOKUP($C48,'Hist Data'!$A$2:$CN$428,'Unchained Indices'!AU$2,0)/VLOOKUP($C47,'Hist Data'!$A$2:$CN$428,'Unchained Indices'!AU$2,0)-1</f>
        <v>1.9624945486262924E-3</v>
      </c>
      <c r="AV48">
        <f>VLOOKUP($C48,'Hist Data'!$A$2:$CN$428,'Unchained Indices'!AV$2,0)/VLOOKUP($C47,'Hist Data'!$A$2:$CN$428,'Unchained Indices'!AV$2,0)-1</f>
        <v>1.4048890137674519E-4</v>
      </c>
      <c r="AW48">
        <f>VLOOKUP($C48,'Hist Data'!$A$2:$CN$428,'Unchained Indices'!AW$2,0)/VLOOKUP($C47,'Hist Data'!$A$2:$CN$428,'Unchained Indices'!AW$2,0)-1</f>
        <v>8.0140245429500823E-3</v>
      </c>
      <c r="AX48">
        <f>VLOOKUP($C48,'Hist Data'!$A$2:$CN$428,'Unchained Indices'!AX$2,0)/VLOOKUP($C47,'Hist Data'!$A$2:$CN$428,'Unchained Indices'!AX$2,0)-1</f>
        <v>4.8307184145334414E-2</v>
      </c>
      <c r="AY48">
        <f>VLOOKUP($C48,'Hist Data'!$A$2:$CN$428,'Unchained Indices'!AY$2,0)/VLOOKUP($C47,'Hist Data'!$A$2:$CN$428,'Unchained Indices'!AY$2,0)-1</f>
        <v>5.2985530874261055E-3</v>
      </c>
      <c r="AZ48">
        <f>VLOOKUP($C48,'Hist Data'!$A$2:$CN$428,'Unchained Indices'!AZ$2,0)/VLOOKUP($C47,'Hist Data'!$A$2:$CN$428,'Unchained Indices'!AZ$2,0)-1</f>
        <v>0</v>
      </c>
      <c r="BA48">
        <f>VLOOKUP($C48,'Hist Data'!$A$2:$CN$428,'Unchained Indices'!BA$2,0)/VLOOKUP($C47,'Hist Data'!$A$2:$CN$428,'Unchained Indices'!BA$2,0)-1</f>
        <v>0</v>
      </c>
      <c r="BB48">
        <f>VLOOKUP($C48,'Hist Data'!$A$2:$CN$428,'Unchained Indices'!BB$2,0)/VLOOKUP($C47,'Hist Data'!$A$2:$CN$428,'Unchained Indices'!BB$2,0)-1</f>
        <v>5.0314465408796138E-4</v>
      </c>
      <c r="BC48">
        <f>VLOOKUP($C48,'Hist Data'!$A$2:$CN$428,'Unchained Indices'!BC$2,0)/VLOOKUP($C47,'Hist Data'!$A$2:$CN$428,'Unchained Indices'!BC$2,0)-1</f>
        <v>5.20291363163361E-3</v>
      </c>
      <c r="BD48">
        <f>VLOOKUP($C48,'Hist Data'!$A$2:$CN$428,'Unchained Indices'!BD$2,0)/VLOOKUP($C47,'Hist Data'!$A$2:$CN$428,'Unchained Indices'!BD$2,0)-1</f>
        <v>1.3044214806031018E-2</v>
      </c>
      <c r="BE48">
        <f>VLOOKUP($C48,'Hist Data'!$A$2:$CN$428,'Unchained Indices'!BE$2,0)/VLOOKUP($C47,'Hist Data'!$A$2:$CN$428,'Unchained Indices'!BE$2,0)-1</f>
        <v>3.9189784236019376E-2</v>
      </c>
      <c r="BF48">
        <f>VLOOKUP($C48,'Hist Data'!$A$2:$CN$428,'Unchained Indices'!BF$2,0)/VLOOKUP($C47,'Hist Data'!$A$2:$CN$428,'Unchained Indices'!BF$2,0)-1</f>
        <v>4.5624898158709293E-3</v>
      </c>
      <c r="BG48">
        <f>VLOOKUP($C48,'Hist Data'!$A$2:$CN$428,'Unchained Indices'!BG$2,0)/VLOOKUP($C47,'Hist Data'!$A$2:$CN$428,'Unchained Indices'!BG$2,0)-1</f>
        <v>0</v>
      </c>
      <c r="BH48">
        <f>VLOOKUP($C48,'Hist Data'!$A$2:$CN$428,'Unchained Indices'!BH$2,0)/VLOOKUP($C47,'Hist Data'!$A$2:$CN$428,'Unchained Indices'!BH$2,0)-1</f>
        <v>-3.9655996177735409E-2</v>
      </c>
      <c r="BI48">
        <f>VLOOKUP($C48,'Hist Data'!$A$2:$CN$428,'Unchained Indices'!BI$2,0)/VLOOKUP($C47,'Hist Data'!$A$2:$CN$428,'Unchained Indices'!BI$2,0)-1</f>
        <v>-3.2429558745348142E-2</v>
      </c>
      <c r="BJ48">
        <f>VLOOKUP($C48,'Hist Data'!$A$2:$CN$428,'Unchained Indices'!BJ$2,0)/VLOOKUP($C47,'Hist Data'!$A$2:$CN$428,'Unchained Indices'!BJ$2,0)-1</f>
        <v>-7.0116861435727262E-3</v>
      </c>
      <c r="BK48">
        <f>VLOOKUP($C48,'Hist Data'!$A$2:$CN$428,'Unchained Indices'!BK$2,0)/VLOOKUP($C47,'Hist Data'!$A$2:$CN$428,'Unchained Indices'!BK$2,0)-1</f>
        <v>-2.2321428571426827E-3</v>
      </c>
      <c r="BL48">
        <f>VLOOKUP($C48,'Hist Data'!$A$2:$CN$428,'Unchained Indices'!BL$2,0)/VLOOKUP($C47,'Hist Data'!$A$2:$CN$428,'Unchained Indices'!BL$2,0)-1</f>
        <v>7.2580645161290924E-3</v>
      </c>
      <c r="BM48">
        <f>VLOOKUP($C48,'Hist Data'!$A$2:$CN$428,'Unchained Indices'!BM$2,0)/VLOOKUP($C47,'Hist Data'!$A$2:$CN$428,'Unchained Indices'!BM$2,0)-1</f>
        <v>1.9878997407087207E-2</v>
      </c>
      <c r="BN48">
        <f>VLOOKUP($C48,'Hist Data'!$A$2:$CN$428,'Unchained Indices'!BN$2,0)/VLOOKUP($C47,'Hist Data'!$A$2:$CN$428,'Unchained Indices'!BN$2,0)-1</f>
        <v>2.4240231548480651E-2</v>
      </c>
      <c r="BO48">
        <f>VLOOKUP($C48,'Hist Data'!$A$2:$CN$428,'Unchained Indices'!BO$2,0)/VLOOKUP($C47,'Hist Data'!$A$2:$CN$428,'Unchained Indices'!BO$2,0)-1</f>
        <v>0</v>
      </c>
      <c r="BP48">
        <f>VLOOKUP($C48,'Hist Data'!$A$2:$CN$428,'Unchained Indices'!BP$2,0)/VLOOKUP($C47,'Hist Data'!$A$2:$CN$428,'Unchained Indices'!BP$2,0)-1</f>
        <v>3.1847133757962887E-3</v>
      </c>
      <c r="BQ48">
        <f>VLOOKUP($C48,'Hist Data'!$A$2:$CN$428,'Unchained Indices'!BQ$2,0)/VLOOKUP($C47,'Hist Data'!$A$2:$CN$428,'Unchained Indices'!BQ$2,0)-1</f>
        <v>7.1114829533569512E-3</v>
      </c>
      <c r="BR48">
        <f>VLOOKUP($C48,'Hist Data'!$A$2:$CN$428,'Unchained Indices'!BR$2,0)/VLOOKUP($C47,'Hist Data'!$A$2:$CN$428,'Unchained Indices'!BR$2,0)-1</f>
        <v>5.2383446830801539E-3</v>
      </c>
      <c r="BS48">
        <f>VLOOKUP($C48,'Hist Data'!$A$2:$CN$428,'Unchained Indices'!BS$2,0)/VLOOKUP($C47,'Hist Data'!$A$2:$CN$428,'Unchained Indices'!BS$2,0)-1</f>
        <v>-5.2000000000000934E-3</v>
      </c>
      <c r="BT48">
        <f>VLOOKUP($C48,'Hist Data'!$A$2:$CN$428,'Unchained Indices'!BT$2,0)/VLOOKUP($C47,'Hist Data'!$A$2:$CN$428,'Unchained Indices'!BT$2,0)-1</f>
        <v>-1.7058552328261922E-2</v>
      </c>
      <c r="BU48">
        <f>VLOOKUP($C48,'Hist Data'!$A$2:$CN$428,'Unchained Indices'!BU$2,0)/VLOOKUP($C47,'Hist Data'!$A$2:$CN$428,'Unchained Indices'!BU$2,0)-1</f>
        <v>-1.684210526315788E-2</v>
      </c>
      <c r="BV48">
        <f>VLOOKUP($C48,'Hist Data'!$A$2:$CN$428,'Unchained Indices'!BV$2,0)/VLOOKUP($C47,'Hist Data'!$A$2:$CN$428,'Unchained Indices'!BV$2,0)-1</f>
        <v>-1.8195050946142599E-3</v>
      </c>
      <c r="BW48">
        <f>VLOOKUP($C48,'Hist Data'!$A$2:$CN$428,'Unchained Indices'!BW$2,0)/VLOOKUP($C47,'Hist Data'!$A$2:$CN$428,'Unchained Indices'!BW$2,0)-1</f>
        <v>-3.8314176245209941E-3</v>
      </c>
      <c r="BX48">
        <f>VLOOKUP($C48,'Hist Data'!$A$2:$CN$428,'Unchained Indices'!BX$2,0)/VLOOKUP($C47,'Hist Data'!$A$2:$CN$428,'Unchained Indices'!BX$2,0)-1</f>
        <v>-4.8013967699693794E-3</v>
      </c>
      <c r="BY48">
        <f>VLOOKUP($C48,'Hist Data'!$A$2:$CN$428,'Unchained Indices'!BY$2,0)/VLOOKUP($C47,'Hist Data'!$A$2:$CN$428,'Unchained Indices'!BY$2,0)-1</f>
        <v>2.0894274968659143E-3</v>
      </c>
      <c r="BZ48">
        <f>VLOOKUP($C48,'Hist Data'!$A$2:$CN$428,'Unchained Indices'!BZ$2,0)/VLOOKUP($C47,'Hist Data'!$A$2:$CN$428,'Unchained Indices'!BZ$2,0)-1</f>
        <v>1.129761136216878E-3</v>
      </c>
      <c r="CA48">
        <f>VLOOKUP($C48,'Hist Data'!$A$2:$CN$428,'Unchained Indices'!CA$2,0)/VLOOKUP($C47,'Hist Data'!$A$2:$CN$428,'Unchained Indices'!CA$2,0)-1</f>
        <v>6.9565217391303058E-3</v>
      </c>
      <c r="CB48">
        <f>VLOOKUP($C48,'Hist Data'!$A$2:$CN$428,'Unchained Indices'!CB$2,0)/VLOOKUP($C47,'Hist Data'!$A$2:$CN$428,'Unchained Indices'!CB$2,0)-1</f>
        <v>1.3573783207290191E-3</v>
      </c>
      <c r="CC48">
        <f>VLOOKUP($C48,'Hist Data'!$A$2:$CN$428,'Unchained Indices'!CC$2,0)/VLOOKUP($C47,'Hist Data'!$A$2:$CN$428,'Unchained Indices'!CC$2,0)-1</f>
        <v>4.3769789532501324E-2</v>
      </c>
      <c r="CD48">
        <f>VLOOKUP($C48,'Hist Data'!$A$2:$CN$428,'Unchained Indices'!CD$2,0)/VLOOKUP($C47,'Hist Data'!$A$2:$CN$428,'Unchained Indices'!CD$2,0)-1</f>
        <v>3.8977089076908555E-2</v>
      </c>
      <c r="CE48">
        <f>VLOOKUP($C48,'Hist Data'!$A$2:$CN$428,'Unchained Indices'!CE$2,0)/VLOOKUP($C47,'Hist Data'!$A$2:$CN$428,'Unchained Indices'!CE$2,0)-1</f>
        <v>2.3324851569126448E-2</v>
      </c>
      <c r="CF48">
        <f>VLOOKUP($C48,'Hist Data'!$A$2:$CN$428,'Unchained Indices'!CF$2,0)/VLOOKUP($C47,'Hist Data'!$A$2:$CN$428,'Unchained Indices'!CF$2,0)-1</f>
        <v>1.0224606101240319E-2</v>
      </c>
      <c r="CG48">
        <f>VLOOKUP($C48,'Hist Data'!$A$2:$CN$428,'Unchained Indices'!CG$2,0)/VLOOKUP($C47,'Hist Data'!$A$2:$CN$428,'Unchained Indices'!CG$2,0)-1</f>
        <v>0.12407488027862423</v>
      </c>
      <c r="CH48">
        <f>VLOOKUP($C48,'Hist Data'!$A$2:$CN$428,'Unchained Indices'!CH$2,0)/VLOOKUP($C47,'Hist Data'!$A$2:$CN$428,'Unchained Indices'!CH$2,0)-1</f>
        <v>-1.5151515151515138E-2</v>
      </c>
      <c r="CI48">
        <f>VLOOKUP($C48,'Hist Data'!$A$2:$CN$428,'Unchained Indices'!CI$2,0)/VLOOKUP($C47,'Hist Data'!$A$2:$CN$428,'Unchained Indices'!CI$2,0)-1</f>
        <v>-2.4052478134110711E-2</v>
      </c>
      <c r="CJ48">
        <f>VLOOKUP($C48,'Hist Data'!$A$2:$CN$428,'Unchained Indices'!CJ$2,0)/VLOOKUP($C47,'Hist Data'!$A$2:$CN$428,'Unchained Indices'!CJ$2,0)-1</f>
        <v>1.0506208213944657E-2</v>
      </c>
      <c r="CK48">
        <f>VLOOKUP($C48,'Hist Data'!$A$2:$CN$428,'Unchained Indices'!CK$2,0)/VLOOKUP($C47,'Hist Data'!$A$2:$CN$428,'Unchained Indices'!CK$2,0)-1</f>
        <v>-1.9410496046009973E-2</v>
      </c>
      <c r="CL48">
        <f>VLOOKUP($C48,'Hist Data'!$A$2:$CN$428,'Unchained Indices'!CL$2,0)/VLOOKUP($C47,'Hist Data'!$A$2:$CN$428,'Unchained Indices'!CL$2,0)-1</f>
        <v>-8.2429501084598789E-3</v>
      </c>
      <c r="CM48">
        <f>VLOOKUP($C48,'Hist Data'!$A$2:$CN$428,'Unchained Indices'!CM$2,0)/VLOOKUP($C47,'Hist Data'!$A$2:$CN$428,'Unchained Indices'!CM$2,0)-1</f>
        <v>0</v>
      </c>
      <c r="CN48">
        <f>VLOOKUP($C48,'Hist Data'!$A$2:$CN$428,'Unchained Indices'!CN$2,0)/VLOOKUP($C47,'Hist Data'!$A$2:$CN$428,'Unchained Indices'!CN$2,0)-1</f>
        <v>1.1144578313252884E-2</v>
      </c>
      <c r="CO48">
        <f>VLOOKUP($C48,'Hist Data'!$A$2:$CN$428,'Unchained Indices'!CO$2,0)/VLOOKUP($C47,'Hist Data'!$A$2:$CN$428,'Unchained Indices'!CO$2,0)-1</f>
        <v>1.4662756598240456E-2</v>
      </c>
      <c r="CP48">
        <f>VLOOKUP($C48,'Hist Data'!$A$2:$CN$428,'Unchained Indices'!CP$2,0)/VLOOKUP($C47,'Hist Data'!$A$2:$CN$428,'Unchained Indices'!CP$2,0)-1</f>
        <v>2.8182393920202609E-2</v>
      </c>
    </row>
    <row r="49" spans="3:94" x14ac:dyDescent="0.25">
      <c r="C49" s="6">
        <f t="shared" si="10"/>
        <v>44774</v>
      </c>
      <c r="D49" t="e">
        <f>VLOOKUP($C49,'Hist Data'!$A$2:$CN$428,'Unchained Indices'!D$2,0)/VLOOKUP($C48,'Hist Data'!$A$2:$CN$428,'Unchained Indices'!D$2,0)-1</f>
        <v>#N/A</v>
      </c>
      <c r="E49" t="e">
        <f>VLOOKUP($C49,'Hist Data'!$A$2:$CN$428,'Unchained Indices'!E$2,0)/VLOOKUP($C48,'Hist Data'!$A$2:$CN$428,'Unchained Indices'!E$2,0)-1</f>
        <v>#N/A</v>
      </c>
      <c r="F49" t="e">
        <f>VLOOKUP($C49,'Hist Data'!$A$2:$CN$428,'Unchained Indices'!F$2,0)/VLOOKUP($C48,'Hist Data'!$A$2:$CN$428,'Unchained Indices'!F$2,0)-1</f>
        <v>#N/A</v>
      </c>
      <c r="G49" t="e">
        <f>VLOOKUP($C49,'Hist Data'!$A$2:$CN$428,'Unchained Indices'!G$2,0)/VLOOKUP($C48,'Hist Data'!$A$2:$CN$428,'Unchained Indices'!G$2,0)-1</f>
        <v>#N/A</v>
      </c>
      <c r="H49" t="e">
        <f>VLOOKUP($C49,'Hist Data'!$A$2:$CN$428,'Unchained Indices'!H$2,0)/VLOOKUP($C48,'Hist Data'!$A$2:$CN$428,'Unchained Indices'!H$2,0)-1</f>
        <v>#N/A</v>
      </c>
      <c r="I49" t="e">
        <f>VLOOKUP($C49,'Hist Data'!$A$2:$CN$428,'Unchained Indices'!I$2,0)/VLOOKUP($C48,'Hist Data'!$A$2:$CN$428,'Unchained Indices'!I$2,0)-1</f>
        <v>#N/A</v>
      </c>
      <c r="J49" t="e">
        <f>VLOOKUP($C49,'Hist Data'!$A$2:$CN$428,'Unchained Indices'!J$2,0)/VLOOKUP($C48,'Hist Data'!$A$2:$CN$428,'Unchained Indices'!J$2,0)-1</f>
        <v>#N/A</v>
      </c>
      <c r="K49" t="e">
        <f>VLOOKUP($C49,'Hist Data'!$A$2:$CN$428,'Unchained Indices'!K$2,0)/VLOOKUP($C48,'Hist Data'!$A$2:$CN$428,'Unchained Indices'!K$2,0)-1</f>
        <v>#N/A</v>
      </c>
      <c r="L49" t="e">
        <f>VLOOKUP($C49,'Hist Data'!$A$2:$CN$428,'Unchained Indices'!L$2,0)/VLOOKUP($C48,'Hist Data'!$A$2:$CN$428,'Unchained Indices'!L$2,0)-1</f>
        <v>#N/A</v>
      </c>
      <c r="M49" t="e">
        <f>VLOOKUP($C49,'Hist Data'!$A$2:$CN$428,'Unchained Indices'!M$2,0)/VLOOKUP($C48,'Hist Data'!$A$2:$CN$428,'Unchained Indices'!M$2,0)-1</f>
        <v>#N/A</v>
      </c>
      <c r="N49" t="e">
        <f>VLOOKUP($C49,'Hist Data'!$A$2:$CN$428,'Unchained Indices'!N$2,0)/VLOOKUP($C48,'Hist Data'!$A$2:$CN$428,'Unchained Indices'!N$2,0)-1</f>
        <v>#N/A</v>
      </c>
      <c r="O49" t="e">
        <f>VLOOKUP($C49,'Hist Data'!$A$2:$CN$428,'Unchained Indices'!O$2,0)/VLOOKUP($C48,'Hist Data'!$A$2:$CN$428,'Unchained Indices'!O$2,0)-1</f>
        <v>#N/A</v>
      </c>
      <c r="P49" t="e">
        <f>VLOOKUP($C49,'Hist Data'!$A$2:$CN$428,'Unchained Indices'!P$2,0)/VLOOKUP($C48,'Hist Data'!$A$2:$CN$428,'Unchained Indices'!P$2,0)-1</f>
        <v>#N/A</v>
      </c>
      <c r="Q49" t="e">
        <f>VLOOKUP($C49,'Hist Data'!$A$2:$CN$428,'Unchained Indices'!Q$2,0)/VLOOKUP($C48,'Hist Data'!$A$2:$CN$428,'Unchained Indices'!Q$2,0)-1</f>
        <v>#N/A</v>
      </c>
      <c r="R49" t="e">
        <f>VLOOKUP($C49,'Hist Data'!$A$2:$CN$428,'Unchained Indices'!R$2,0)/VLOOKUP($C48,'Hist Data'!$A$2:$CN$428,'Unchained Indices'!R$2,0)-1</f>
        <v>#N/A</v>
      </c>
      <c r="S49" t="e">
        <f>VLOOKUP($C49,'Hist Data'!$A$2:$CN$428,'Unchained Indices'!S$2,0)/VLOOKUP($C48,'Hist Data'!$A$2:$CN$428,'Unchained Indices'!S$2,0)-1</f>
        <v>#N/A</v>
      </c>
      <c r="T49" t="e">
        <f>VLOOKUP($C49,'Hist Data'!$A$2:$CN$428,'Unchained Indices'!T$2,0)/VLOOKUP($C48,'Hist Data'!$A$2:$CN$428,'Unchained Indices'!T$2,0)-1</f>
        <v>#N/A</v>
      </c>
      <c r="U49" t="e">
        <f>VLOOKUP($C49,'Hist Data'!$A$2:$CN$428,'Unchained Indices'!U$2,0)/VLOOKUP($C48,'Hist Data'!$A$2:$CN$428,'Unchained Indices'!U$2,0)-1</f>
        <v>#N/A</v>
      </c>
      <c r="V49" t="e">
        <f>VLOOKUP($C49,'Hist Data'!$A$2:$CN$428,'Unchained Indices'!V$2,0)/VLOOKUP($C48,'Hist Data'!$A$2:$CN$428,'Unchained Indices'!V$2,0)-1</f>
        <v>#N/A</v>
      </c>
      <c r="W49" t="e">
        <f>VLOOKUP($C49,'Hist Data'!$A$2:$CN$428,'Unchained Indices'!W$2,0)/VLOOKUP($C48,'Hist Data'!$A$2:$CN$428,'Unchained Indices'!W$2,0)-1</f>
        <v>#N/A</v>
      </c>
      <c r="X49" t="e">
        <f>VLOOKUP($C49,'Hist Data'!$A$2:$CN$428,'Unchained Indices'!X$2,0)/VLOOKUP($C48,'Hist Data'!$A$2:$CN$428,'Unchained Indices'!X$2,0)-1</f>
        <v>#N/A</v>
      </c>
      <c r="Y49" t="e">
        <f>VLOOKUP($C49,'Hist Data'!$A$2:$CN$428,'Unchained Indices'!Y$2,0)/VLOOKUP($C48,'Hist Data'!$A$2:$CN$428,'Unchained Indices'!Y$2,0)-1</f>
        <v>#N/A</v>
      </c>
      <c r="Z49" t="e">
        <f>VLOOKUP($C49,'Hist Data'!$A$2:$CN$428,'Unchained Indices'!Z$2,0)/VLOOKUP($C48,'Hist Data'!$A$2:$CN$428,'Unchained Indices'!Z$2,0)-1</f>
        <v>#N/A</v>
      </c>
      <c r="AA49" t="e">
        <f>VLOOKUP($C49,'Hist Data'!$A$2:$CN$428,'Unchained Indices'!AA$2,0)/VLOOKUP($C48,'Hist Data'!$A$2:$CN$428,'Unchained Indices'!AA$2,0)-1</f>
        <v>#N/A</v>
      </c>
      <c r="AB49" t="e">
        <f>VLOOKUP($C49,'Hist Data'!$A$2:$CN$428,'Unchained Indices'!AB$2,0)/VLOOKUP($C48,'Hist Data'!$A$2:$CN$428,'Unchained Indices'!AB$2,0)-1</f>
        <v>#N/A</v>
      </c>
      <c r="AC49" t="e">
        <f>VLOOKUP($C49,'Hist Data'!$A$2:$CN$428,'Unchained Indices'!AC$2,0)/VLOOKUP($C48,'Hist Data'!$A$2:$CN$428,'Unchained Indices'!AC$2,0)-1</f>
        <v>#N/A</v>
      </c>
      <c r="AD49" t="e">
        <f>VLOOKUP($C49,'Hist Data'!$A$2:$CN$428,'Unchained Indices'!AD$2,0)/VLOOKUP($C48,'Hist Data'!$A$2:$CN$428,'Unchained Indices'!AD$2,0)-1</f>
        <v>#N/A</v>
      </c>
      <c r="AE49" t="e">
        <f>VLOOKUP($C49,'Hist Data'!$A$2:$CN$428,'Unchained Indices'!AE$2,0)/VLOOKUP($C48,'Hist Data'!$A$2:$CN$428,'Unchained Indices'!AE$2,0)-1</f>
        <v>#N/A</v>
      </c>
      <c r="AF49" t="e">
        <f>VLOOKUP($C49,'Hist Data'!$A$2:$CN$428,'Unchained Indices'!AF$2,0)/VLOOKUP($C48,'Hist Data'!$A$2:$CN$428,'Unchained Indices'!AF$2,0)-1</f>
        <v>#N/A</v>
      </c>
      <c r="AG49" t="e">
        <f>VLOOKUP($C49,'Hist Data'!$A$2:$CN$428,'Unchained Indices'!AG$2,0)/VLOOKUP($C48,'Hist Data'!$A$2:$CN$428,'Unchained Indices'!AG$2,0)-1</f>
        <v>#N/A</v>
      </c>
      <c r="AH49" t="e">
        <f>VLOOKUP($C49,'Hist Data'!$A$2:$CN$428,'Unchained Indices'!AH$2,0)/VLOOKUP($C48,'Hist Data'!$A$2:$CN$428,'Unchained Indices'!AH$2,0)-1</f>
        <v>#N/A</v>
      </c>
      <c r="AI49" t="e">
        <f>VLOOKUP($C49,'Hist Data'!$A$2:$CN$428,'Unchained Indices'!AI$2,0)/VLOOKUP($C48,'Hist Data'!$A$2:$CN$428,'Unchained Indices'!AI$2,0)-1</f>
        <v>#N/A</v>
      </c>
      <c r="AJ49" t="e">
        <f>VLOOKUP($C49,'Hist Data'!$A$2:$CN$428,'Unchained Indices'!AJ$2,0)/VLOOKUP($C48,'Hist Data'!$A$2:$CN$428,'Unchained Indices'!AJ$2,0)-1</f>
        <v>#N/A</v>
      </c>
      <c r="AK49" t="e">
        <f>VLOOKUP($C49,'Hist Data'!$A$2:$CN$428,'Unchained Indices'!AK$2,0)/VLOOKUP($C48,'Hist Data'!$A$2:$CN$428,'Unchained Indices'!AK$2,0)-1</f>
        <v>#N/A</v>
      </c>
      <c r="AL49" t="e">
        <f>VLOOKUP($C49,'Hist Data'!$A$2:$CN$428,'Unchained Indices'!AL$2,0)/VLOOKUP($C48,'Hist Data'!$A$2:$CN$428,'Unchained Indices'!AL$2,0)-1</f>
        <v>#N/A</v>
      </c>
      <c r="AM49" t="e">
        <f>VLOOKUP($C49,'Hist Data'!$A$2:$CN$428,'Unchained Indices'!AM$2,0)/VLOOKUP($C48,'Hist Data'!$A$2:$CN$428,'Unchained Indices'!AM$2,0)-1</f>
        <v>#N/A</v>
      </c>
      <c r="AN49" t="e">
        <f>VLOOKUP($C49,'Hist Data'!$A$2:$CN$428,'Unchained Indices'!AN$2,0)/VLOOKUP($C48,'Hist Data'!$A$2:$CN$428,'Unchained Indices'!AN$2,0)-1</f>
        <v>#N/A</v>
      </c>
      <c r="AO49" t="e">
        <f>VLOOKUP($C49,'Hist Data'!$A$2:$CN$428,'Unchained Indices'!AO$2,0)/VLOOKUP($C48,'Hist Data'!$A$2:$CN$428,'Unchained Indices'!AO$2,0)-1</f>
        <v>#N/A</v>
      </c>
      <c r="AP49" t="e">
        <f>VLOOKUP($C49,'Hist Data'!$A$2:$CN$428,'Unchained Indices'!AP$2,0)/VLOOKUP($C48,'Hist Data'!$A$2:$CN$428,'Unchained Indices'!AP$2,0)-1</f>
        <v>#N/A</v>
      </c>
      <c r="AQ49" t="e">
        <f>VLOOKUP($C49,'Hist Data'!$A$2:$CN$428,'Unchained Indices'!AQ$2,0)/VLOOKUP($C48,'Hist Data'!$A$2:$CN$428,'Unchained Indices'!AQ$2,0)-1</f>
        <v>#N/A</v>
      </c>
      <c r="AR49" t="e">
        <f>VLOOKUP($C49,'Hist Data'!$A$2:$CN$428,'Unchained Indices'!AR$2,0)/VLOOKUP($C48,'Hist Data'!$A$2:$CN$428,'Unchained Indices'!AR$2,0)-1</f>
        <v>#N/A</v>
      </c>
      <c r="AS49" t="e">
        <f>VLOOKUP($C49,'Hist Data'!$A$2:$CN$428,'Unchained Indices'!AS$2,0)/VLOOKUP($C48,'Hist Data'!$A$2:$CN$428,'Unchained Indices'!AS$2,0)-1</f>
        <v>#N/A</v>
      </c>
      <c r="AT49" t="e">
        <f>VLOOKUP($C49,'Hist Data'!$A$2:$CN$428,'Unchained Indices'!AT$2,0)/VLOOKUP($C48,'Hist Data'!$A$2:$CN$428,'Unchained Indices'!AT$2,0)-1</f>
        <v>#N/A</v>
      </c>
      <c r="AU49" t="e">
        <f>VLOOKUP($C49,'Hist Data'!$A$2:$CN$428,'Unchained Indices'!AU$2,0)/VLOOKUP($C48,'Hist Data'!$A$2:$CN$428,'Unchained Indices'!AU$2,0)-1</f>
        <v>#N/A</v>
      </c>
      <c r="AV49" t="e">
        <f>VLOOKUP($C49,'Hist Data'!$A$2:$CN$428,'Unchained Indices'!AV$2,0)/VLOOKUP($C48,'Hist Data'!$A$2:$CN$428,'Unchained Indices'!AV$2,0)-1</f>
        <v>#N/A</v>
      </c>
      <c r="AW49" t="e">
        <f>VLOOKUP($C49,'Hist Data'!$A$2:$CN$428,'Unchained Indices'!AW$2,0)/VLOOKUP($C48,'Hist Data'!$A$2:$CN$428,'Unchained Indices'!AW$2,0)-1</f>
        <v>#N/A</v>
      </c>
      <c r="AX49" t="e">
        <f>VLOOKUP($C49,'Hist Data'!$A$2:$CN$428,'Unchained Indices'!AX$2,0)/VLOOKUP($C48,'Hist Data'!$A$2:$CN$428,'Unchained Indices'!AX$2,0)-1</f>
        <v>#N/A</v>
      </c>
      <c r="AY49" t="e">
        <f>VLOOKUP($C49,'Hist Data'!$A$2:$CN$428,'Unchained Indices'!AY$2,0)/VLOOKUP($C48,'Hist Data'!$A$2:$CN$428,'Unchained Indices'!AY$2,0)-1</f>
        <v>#N/A</v>
      </c>
      <c r="AZ49" t="e">
        <f>VLOOKUP($C49,'Hist Data'!$A$2:$CN$428,'Unchained Indices'!AZ$2,0)/VLOOKUP($C48,'Hist Data'!$A$2:$CN$428,'Unchained Indices'!AZ$2,0)-1</f>
        <v>#N/A</v>
      </c>
      <c r="BA49" t="e">
        <f>VLOOKUP($C49,'Hist Data'!$A$2:$CN$428,'Unchained Indices'!BA$2,0)/VLOOKUP($C48,'Hist Data'!$A$2:$CN$428,'Unchained Indices'!BA$2,0)-1</f>
        <v>#N/A</v>
      </c>
      <c r="BB49" t="e">
        <f>VLOOKUP($C49,'Hist Data'!$A$2:$CN$428,'Unchained Indices'!BB$2,0)/VLOOKUP($C48,'Hist Data'!$A$2:$CN$428,'Unchained Indices'!BB$2,0)-1</f>
        <v>#N/A</v>
      </c>
      <c r="BC49" t="e">
        <f>VLOOKUP($C49,'Hist Data'!$A$2:$CN$428,'Unchained Indices'!BC$2,0)/VLOOKUP($C48,'Hist Data'!$A$2:$CN$428,'Unchained Indices'!BC$2,0)-1</f>
        <v>#N/A</v>
      </c>
      <c r="BD49" t="e">
        <f>VLOOKUP($C49,'Hist Data'!$A$2:$CN$428,'Unchained Indices'!BD$2,0)/VLOOKUP($C48,'Hist Data'!$A$2:$CN$428,'Unchained Indices'!BD$2,0)-1</f>
        <v>#N/A</v>
      </c>
      <c r="BE49" t="e">
        <f>VLOOKUP($C49,'Hist Data'!$A$2:$CN$428,'Unchained Indices'!BE$2,0)/VLOOKUP($C48,'Hist Data'!$A$2:$CN$428,'Unchained Indices'!BE$2,0)-1</f>
        <v>#N/A</v>
      </c>
      <c r="BF49" t="e">
        <f>VLOOKUP($C49,'Hist Data'!$A$2:$CN$428,'Unchained Indices'!BF$2,0)/VLOOKUP($C48,'Hist Data'!$A$2:$CN$428,'Unchained Indices'!BF$2,0)-1</f>
        <v>#N/A</v>
      </c>
      <c r="BG49" t="e">
        <f>VLOOKUP($C49,'Hist Data'!$A$2:$CN$428,'Unchained Indices'!BG$2,0)/VLOOKUP($C48,'Hist Data'!$A$2:$CN$428,'Unchained Indices'!BG$2,0)-1</f>
        <v>#N/A</v>
      </c>
      <c r="BH49" t="e">
        <f>VLOOKUP($C49,'Hist Data'!$A$2:$CN$428,'Unchained Indices'!BH$2,0)/VLOOKUP($C48,'Hist Data'!$A$2:$CN$428,'Unchained Indices'!BH$2,0)-1</f>
        <v>#N/A</v>
      </c>
      <c r="BI49" t="e">
        <f>VLOOKUP($C49,'Hist Data'!$A$2:$CN$428,'Unchained Indices'!BI$2,0)/VLOOKUP($C48,'Hist Data'!$A$2:$CN$428,'Unchained Indices'!BI$2,0)-1</f>
        <v>#N/A</v>
      </c>
      <c r="BJ49" t="e">
        <f>VLOOKUP($C49,'Hist Data'!$A$2:$CN$428,'Unchained Indices'!BJ$2,0)/VLOOKUP($C48,'Hist Data'!$A$2:$CN$428,'Unchained Indices'!BJ$2,0)-1</f>
        <v>#N/A</v>
      </c>
      <c r="BK49" t="e">
        <f>VLOOKUP($C49,'Hist Data'!$A$2:$CN$428,'Unchained Indices'!BK$2,0)/VLOOKUP($C48,'Hist Data'!$A$2:$CN$428,'Unchained Indices'!BK$2,0)-1</f>
        <v>#N/A</v>
      </c>
      <c r="BL49" t="e">
        <f>VLOOKUP($C49,'Hist Data'!$A$2:$CN$428,'Unchained Indices'!BL$2,0)/VLOOKUP($C48,'Hist Data'!$A$2:$CN$428,'Unchained Indices'!BL$2,0)-1</f>
        <v>#N/A</v>
      </c>
      <c r="BM49" t="e">
        <f>VLOOKUP($C49,'Hist Data'!$A$2:$CN$428,'Unchained Indices'!BM$2,0)/VLOOKUP($C48,'Hist Data'!$A$2:$CN$428,'Unchained Indices'!BM$2,0)-1</f>
        <v>#N/A</v>
      </c>
      <c r="BN49" t="e">
        <f>VLOOKUP($C49,'Hist Data'!$A$2:$CN$428,'Unchained Indices'!BN$2,0)/VLOOKUP($C48,'Hist Data'!$A$2:$CN$428,'Unchained Indices'!BN$2,0)-1</f>
        <v>#N/A</v>
      </c>
      <c r="BO49" t="e">
        <f>VLOOKUP($C49,'Hist Data'!$A$2:$CN$428,'Unchained Indices'!BO$2,0)/VLOOKUP($C48,'Hist Data'!$A$2:$CN$428,'Unchained Indices'!BO$2,0)-1</f>
        <v>#N/A</v>
      </c>
      <c r="BP49" t="e">
        <f>VLOOKUP($C49,'Hist Data'!$A$2:$CN$428,'Unchained Indices'!BP$2,0)/VLOOKUP($C48,'Hist Data'!$A$2:$CN$428,'Unchained Indices'!BP$2,0)-1</f>
        <v>#N/A</v>
      </c>
      <c r="BQ49" t="e">
        <f>VLOOKUP($C49,'Hist Data'!$A$2:$CN$428,'Unchained Indices'!BQ$2,0)/VLOOKUP($C48,'Hist Data'!$A$2:$CN$428,'Unchained Indices'!BQ$2,0)-1</f>
        <v>#N/A</v>
      </c>
      <c r="BR49" t="e">
        <f>VLOOKUP($C49,'Hist Data'!$A$2:$CN$428,'Unchained Indices'!BR$2,0)/VLOOKUP($C48,'Hist Data'!$A$2:$CN$428,'Unchained Indices'!BR$2,0)-1</f>
        <v>#N/A</v>
      </c>
      <c r="BS49" t="e">
        <f>VLOOKUP($C49,'Hist Data'!$A$2:$CN$428,'Unchained Indices'!BS$2,0)/VLOOKUP($C48,'Hist Data'!$A$2:$CN$428,'Unchained Indices'!BS$2,0)-1</f>
        <v>#N/A</v>
      </c>
      <c r="BT49" t="e">
        <f>VLOOKUP($C49,'Hist Data'!$A$2:$CN$428,'Unchained Indices'!BT$2,0)/VLOOKUP($C48,'Hist Data'!$A$2:$CN$428,'Unchained Indices'!BT$2,0)-1</f>
        <v>#N/A</v>
      </c>
      <c r="BU49" t="e">
        <f>VLOOKUP($C49,'Hist Data'!$A$2:$CN$428,'Unchained Indices'!BU$2,0)/VLOOKUP($C48,'Hist Data'!$A$2:$CN$428,'Unchained Indices'!BU$2,0)-1</f>
        <v>#N/A</v>
      </c>
      <c r="BV49" t="e">
        <f>VLOOKUP($C49,'Hist Data'!$A$2:$CN$428,'Unchained Indices'!BV$2,0)/VLOOKUP($C48,'Hist Data'!$A$2:$CN$428,'Unchained Indices'!BV$2,0)-1</f>
        <v>#N/A</v>
      </c>
      <c r="BW49" t="e">
        <f>VLOOKUP($C49,'Hist Data'!$A$2:$CN$428,'Unchained Indices'!BW$2,0)/VLOOKUP($C48,'Hist Data'!$A$2:$CN$428,'Unchained Indices'!BW$2,0)-1</f>
        <v>#N/A</v>
      </c>
      <c r="BX49" t="e">
        <f>VLOOKUP($C49,'Hist Data'!$A$2:$CN$428,'Unchained Indices'!BX$2,0)/VLOOKUP($C48,'Hist Data'!$A$2:$CN$428,'Unchained Indices'!BX$2,0)-1</f>
        <v>#N/A</v>
      </c>
      <c r="BY49" t="e">
        <f>VLOOKUP($C49,'Hist Data'!$A$2:$CN$428,'Unchained Indices'!BY$2,0)/VLOOKUP($C48,'Hist Data'!$A$2:$CN$428,'Unchained Indices'!BY$2,0)-1</f>
        <v>#N/A</v>
      </c>
      <c r="BZ49" t="e">
        <f>VLOOKUP($C49,'Hist Data'!$A$2:$CN$428,'Unchained Indices'!BZ$2,0)/VLOOKUP($C48,'Hist Data'!$A$2:$CN$428,'Unchained Indices'!BZ$2,0)-1</f>
        <v>#N/A</v>
      </c>
      <c r="CA49" t="e">
        <f>VLOOKUP($C49,'Hist Data'!$A$2:$CN$428,'Unchained Indices'!CA$2,0)/VLOOKUP($C48,'Hist Data'!$A$2:$CN$428,'Unchained Indices'!CA$2,0)-1</f>
        <v>#N/A</v>
      </c>
      <c r="CB49" t="e">
        <f>VLOOKUP($C49,'Hist Data'!$A$2:$CN$428,'Unchained Indices'!CB$2,0)/VLOOKUP($C48,'Hist Data'!$A$2:$CN$428,'Unchained Indices'!CB$2,0)-1</f>
        <v>#N/A</v>
      </c>
      <c r="CC49" t="e">
        <f>VLOOKUP($C49,'Hist Data'!$A$2:$CN$428,'Unchained Indices'!CC$2,0)/VLOOKUP($C48,'Hist Data'!$A$2:$CN$428,'Unchained Indices'!CC$2,0)-1</f>
        <v>#N/A</v>
      </c>
      <c r="CD49" t="e">
        <f>VLOOKUP($C49,'Hist Data'!$A$2:$CN$428,'Unchained Indices'!CD$2,0)/VLOOKUP($C48,'Hist Data'!$A$2:$CN$428,'Unchained Indices'!CD$2,0)-1</f>
        <v>#N/A</v>
      </c>
      <c r="CE49" t="e">
        <f>VLOOKUP($C49,'Hist Data'!$A$2:$CN$428,'Unchained Indices'!CE$2,0)/VLOOKUP($C48,'Hist Data'!$A$2:$CN$428,'Unchained Indices'!CE$2,0)-1</f>
        <v>#N/A</v>
      </c>
      <c r="CF49" t="e">
        <f>VLOOKUP($C49,'Hist Data'!$A$2:$CN$428,'Unchained Indices'!CF$2,0)/VLOOKUP($C48,'Hist Data'!$A$2:$CN$428,'Unchained Indices'!CF$2,0)-1</f>
        <v>#N/A</v>
      </c>
      <c r="CG49" t="e">
        <f>VLOOKUP($C49,'Hist Data'!$A$2:$CN$428,'Unchained Indices'!CG$2,0)/VLOOKUP($C48,'Hist Data'!$A$2:$CN$428,'Unchained Indices'!CG$2,0)-1</f>
        <v>#N/A</v>
      </c>
      <c r="CH49" t="e">
        <f>VLOOKUP($C49,'Hist Data'!$A$2:$CN$428,'Unchained Indices'!CH$2,0)/VLOOKUP($C48,'Hist Data'!$A$2:$CN$428,'Unchained Indices'!CH$2,0)-1</f>
        <v>#N/A</v>
      </c>
      <c r="CI49" t="e">
        <f>VLOOKUP($C49,'Hist Data'!$A$2:$CN$428,'Unchained Indices'!CI$2,0)/VLOOKUP($C48,'Hist Data'!$A$2:$CN$428,'Unchained Indices'!CI$2,0)-1</f>
        <v>#N/A</v>
      </c>
      <c r="CJ49" t="e">
        <f>VLOOKUP($C49,'Hist Data'!$A$2:$CN$428,'Unchained Indices'!CJ$2,0)/VLOOKUP($C48,'Hist Data'!$A$2:$CN$428,'Unchained Indices'!CJ$2,0)-1</f>
        <v>#N/A</v>
      </c>
      <c r="CK49" t="e">
        <f>VLOOKUP($C49,'Hist Data'!$A$2:$CN$428,'Unchained Indices'!CK$2,0)/VLOOKUP($C48,'Hist Data'!$A$2:$CN$428,'Unchained Indices'!CK$2,0)-1</f>
        <v>#N/A</v>
      </c>
      <c r="CL49" t="e">
        <f>VLOOKUP($C49,'Hist Data'!$A$2:$CN$428,'Unchained Indices'!CL$2,0)/VLOOKUP($C48,'Hist Data'!$A$2:$CN$428,'Unchained Indices'!CL$2,0)-1</f>
        <v>#N/A</v>
      </c>
      <c r="CM49" t="e">
        <f>VLOOKUP($C49,'Hist Data'!$A$2:$CN$428,'Unchained Indices'!CM$2,0)/VLOOKUP($C48,'Hist Data'!$A$2:$CN$428,'Unchained Indices'!CM$2,0)-1</f>
        <v>#N/A</v>
      </c>
      <c r="CN49" t="e">
        <f>VLOOKUP($C49,'Hist Data'!$A$2:$CN$428,'Unchained Indices'!CN$2,0)/VLOOKUP($C48,'Hist Data'!$A$2:$CN$428,'Unchained Indices'!CN$2,0)-1</f>
        <v>#N/A</v>
      </c>
      <c r="CO49" t="e">
        <f>VLOOKUP($C49,'Hist Data'!$A$2:$CN$428,'Unchained Indices'!CO$2,0)/VLOOKUP($C48,'Hist Data'!$A$2:$CN$428,'Unchained Indices'!CO$2,0)-1</f>
        <v>#N/A</v>
      </c>
      <c r="CP49" t="e">
        <f>VLOOKUP($C49,'Hist Data'!$A$2:$CN$428,'Unchained Indices'!CP$2,0)/VLOOKUP($C48,'Hist Data'!$A$2:$CN$428,'Unchained Indices'!CP$2,0)-1</f>
        <v>#N/A</v>
      </c>
    </row>
    <row r="50" spans="3:94" x14ac:dyDescent="0.25">
      <c r="C50" s="6">
        <f t="shared" si="10"/>
        <v>44805</v>
      </c>
      <c r="D50" t="e">
        <f>VLOOKUP($C50,'Hist Data'!$A$2:$CN$428,'Unchained Indices'!D$2,0)/VLOOKUP($C49,'Hist Data'!$A$2:$CN$428,'Unchained Indices'!D$2,0)-1</f>
        <v>#N/A</v>
      </c>
      <c r="E50" t="e">
        <f>VLOOKUP($C50,'Hist Data'!$A$2:$CN$428,'Unchained Indices'!E$2,0)/VLOOKUP($C49,'Hist Data'!$A$2:$CN$428,'Unchained Indices'!E$2,0)-1</f>
        <v>#N/A</v>
      </c>
      <c r="F50" t="e">
        <f>VLOOKUP($C50,'Hist Data'!$A$2:$CN$428,'Unchained Indices'!F$2,0)/VLOOKUP($C49,'Hist Data'!$A$2:$CN$428,'Unchained Indices'!F$2,0)-1</f>
        <v>#N/A</v>
      </c>
      <c r="G50" t="e">
        <f>VLOOKUP($C50,'Hist Data'!$A$2:$CN$428,'Unchained Indices'!G$2,0)/VLOOKUP($C49,'Hist Data'!$A$2:$CN$428,'Unchained Indices'!G$2,0)-1</f>
        <v>#N/A</v>
      </c>
      <c r="H50" t="e">
        <f>VLOOKUP($C50,'Hist Data'!$A$2:$CN$428,'Unchained Indices'!H$2,0)/VLOOKUP($C49,'Hist Data'!$A$2:$CN$428,'Unchained Indices'!H$2,0)-1</f>
        <v>#N/A</v>
      </c>
      <c r="I50" t="e">
        <f>VLOOKUP($C50,'Hist Data'!$A$2:$CN$428,'Unchained Indices'!I$2,0)/VLOOKUP($C49,'Hist Data'!$A$2:$CN$428,'Unchained Indices'!I$2,0)-1</f>
        <v>#N/A</v>
      </c>
      <c r="J50" t="e">
        <f>VLOOKUP($C50,'Hist Data'!$A$2:$CN$428,'Unchained Indices'!J$2,0)/VLOOKUP($C49,'Hist Data'!$A$2:$CN$428,'Unchained Indices'!J$2,0)-1</f>
        <v>#N/A</v>
      </c>
      <c r="K50" t="e">
        <f>VLOOKUP($C50,'Hist Data'!$A$2:$CN$428,'Unchained Indices'!K$2,0)/VLOOKUP($C49,'Hist Data'!$A$2:$CN$428,'Unchained Indices'!K$2,0)-1</f>
        <v>#N/A</v>
      </c>
      <c r="L50" t="e">
        <f>VLOOKUP($C50,'Hist Data'!$A$2:$CN$428,'Unchained Indices'!L$2,0)/VLOOKUP($C49,'Hist Data'!$A$2:$CN$428,'Unchained Indices'!L$2,0)-1</f>
        <v>#N/A</v>
      </c>
      <c r="M50" t="e">
        <f>VLOOKUP($C50,'Hist Data'!$A$2:$CN$428,'Unchained Indices'!M$2,0)/VLOOKUP($C49,'Hist Data'!$A$2:$CN$428,'Unchained Indices'!M$2,0)-1</f>
        <v>#N/A</v>
      </c>
      <c r="N50" t="e">
        <f>VLOOKUP($C50,'Hist Data'!$A$2:$CN$428,'Unchained Indices'!N$2,0)/VLOOKUP($C49,'Hist Data'!$A$2:$CN$428,'Unchained Indices'!N$2,0)-1</f>
        <v>#N/A</v>
      </c>
      <c r="O50" t="e">
        <f>VLOOKUP($C50,'Hist Data'!$A$2:$CN$428,'Unchained Indices'!O$2,0)/VLOOKUP($C49,'Hist Data'!$A$2:$CN$428,'Unchained Indices'!O$2,0)-1</f>
        <v>#N/A</v>
      </c>
      <c r="P50" t="e">
        <f>VLOOKUP($C50,'Hist Data'!$A$2:$CN$428,'Unchained Indices'!P$2,0)/VLOOKUP($C49,'Hist Data'!$A$2:$CN$428,'Unchained Indices'!P$2,0)-1</f>
        <v>#N/A</v>
      </c>
      <c r="Q50" t="e">
        <f>VLOOKUP($C50,'Hist Data'!$A$2:$CN$428,'Unchained Indices'!Q$2,0)/VLOOKUP($C49,'Hist Data'!$A$2:$CN$428,'Unchained Indices'!Q$2,0)-1</f>
        <v>#N/A</v>
      </c>
      <c r="R50" t="e">
        <f>VLOOKUP($C50,'Hist Data'!$A$2:$CN$428,'Unchained Indices'!R$2,0)/VLOOKUP($C49,'Hist Data'!$A$2:$CN$428,'Unchained Indices'!R$2,0)-1</f>
        <v>#N/A</v>
      </c>
      <c r="S50" t="e">
        <f>VLOOKUP($C50,'Hist Data'!$A$2:$CN$428,'Unchained Indices'!S$2,0)/VLOOKUP($C49,'Hist Data'!$A$2:$CN$428,'Unchained Indices'!S$2,0)-1</f>
        <v>#N/A</v>
      </c>
      <c r="T50" t="e">
        <f>VLOOKUP($C50,'Hist Data'!$A$2:$CN$428,'Unchained Indices'!T$2,0)/VLOOKUP($C49,'Hist Data'!$A$2:$CN$428,'Unchained Indices'!T$2,0)-1</f>
        <v>#N/A</v>
      </c>
      <c r="U50" t="e">
        <f>VLOOKUP($C50,'Hist Data'!$A$2:$CN$428,'Unchained Indices'!U$2,0)/VLOOKUP($C49,'Hist Data'!$A$2:$CN$428,'Unchained Indices'!U$2,0)-1</f>
        <v>#N/A</v>
      </c>
      <c r="V50" t="e">
        <f>VLOOKUP($C50,'Hist Data'!$A$2:$CN$428,'Unchained Indices'!V$2,0)/VLOOKUP($C49,'Hist Data'!$A$2:$CN$428,'Unchained Indices'!V$2,0)-1</f>
        <v>#N/A</v>
      </c>
      <c r="W50" t="e">
        <f>VLOOKUP($C50,'Hist Data'!$A$2:$CN$428,'Unchained Indices'!W$2,0)/VLOOKUP($C49,'Hist Data'!$A$2:$CN$428,'Unchained Indices'!W$2,0)-1</f>
        <v>#N/A</v>
      </c>
      <c r="X50" t="e">
        <f>VLOOKUP($C50,'Hist Data'!$A$2:$CN$428,'Unchained Indices'!X$2,0)/VLOOKUP($C49,'Hist Data'!$A$2:$CN$428,'Unchained Indices'!X$2,0)-1</f>
        <v>#N/A</v>
      </c>
      <c r="Y50" t="e">
        <f>VLOOKUP($C50,'Hist Data'!$A$2:$CN$428,'Unchained Indices'!Y$2,0)/VLOOKUP($C49,'Hist Data'!$A$2:$CN$428,'Unchained Indices'!Y$2,0)-1</f>
        <v>#N/A</v>
      </c>
      <c r="Z50" t="e">
        <f>VLOOKUP($C50,'Hist Data'!$A$2:$CN$428,'Unchained Indices'!Z$2,0)/VLOOKUP($C49,'Hist Data'!$A$2:$CN$428,'Unchained Indices'!Z$2,0)-1</f>
        <v>#N/A</v>
      </c>
      <c r="AA50" t="e">
        <f>VLOOKUP($C50,'Hist Data'!$A$2:$CN$428,'Unchained Indices'!AA$2,0)/VLOOKUP($C49,'Hist Data'!$A$2:$CN$428,'Unchained Indices'!AA$2,0)-1</f>
        <v>#N/A</v>
      </c>
      <c r="AB50" t="e">
        <f>VLOOKUP($C50,'Hist Data'!$A$2:$CN$428,'Unchained Indices'!AB$2,0)/VLOOKUP($C49,'Hist Data'!$A$2:$CN$428,'Unchained Indices'!AB$2,0)-1</f>
        <v>#N/A</v>
      </c>
      <c r="AC50" t="e">
        <f>VLOOKUP($C50,'Hist Data'!$A$2:$CN$428,'Unchained Indices'!AC$2,0)/VLOOKUP($C49,'Hist Data'!$A$2:$CN$428,'Unchained Indices'!AC$2,0)-1</f>
        <v>#N/A</v>
      </c>
      <c r="AD50" t="e">
        <f>VLOOKUP($C50,'Hist Data'!$A$2:$CN$428,'Unchained Indices'!AD$2,0)/VLOOKUP($C49,'Hist Data'!$A$2:$CN$428,'Unchained Indices'!AD$2,0)-1</f>
        <v>#N/A</v>
      </c>
      <c r="AE50" t="e">
        <f>VLOOKUP($C50,'Hist Data'!$A$2:$CN$428,'Unchained Indices'!AE$2,0)/VLOOKUP($C49,'Hist Data'!$A$2:$CN$428,'Unchained Indices'!AE$2,0)-1</f>
        <v>#N/A</v>
      </c>
      <c r="AF50" t="e">
        <f>VLOOKUP($C50,'Hist Data'!$A$2:$CN$428,'Unchained Indices'!AF$2,0)/VLOOKUP($C49,'Hist Data'!$A$2:$CN$428,'Unchained Indices'!AF$2,0)-1</f>
        <v>#N/A</v>
      </c>
      <c r="AG50" t="e">
        <f>VLOOKUP($C50,'Hist Data'!$A$2:$CN$428,'Unchained Indices'!AG$2,0)/VLOOKUP($C49,'Hist Data'!$A$2:$CN$428,'Unchained Indices'!AG$2,0)-1</f>
        <v>#N/A</v>
      </c>
      <c r="AH50" t="e">
        <f>VLOOKUP($C50,'Hist Data'!$A$2:$CN$428,'Unchained Indices'!AH$2,0)/VLOOKUP($C49,'Hist Data'!$A$2:$CN$428,'Unchained Indices'!AH$2,0)-1</f>
        <v>#N/A</v>
      </c>
      <c r="AI50" t="e">
        <f>VLOOKUP($C50,'Hist Data'!$A$2:$CN$428,'Unchained Indices'!AI$2,0)/VLOOKUP($C49,'Hist Data'!$A$2:$CN$428,'Unchained Indices'!AI$2,0)-1</f>
        <v>#N/A</v>
      </c>
      <c r="AJ50" t="e">
        <f>VLOOKUP($C50,'Hist Data'!$A$2:$CN$428,'Unchained Indices'!AJ$2,0)/VLOOKUP($C49,'Hist Data'!$A$2:$CN$428,'Unchained Indices'!AJ$2,0)-1</f>
        <v>#N/A</v>
      </c>
      <c r="AK50" t="e">
        <f>VLOOKUP($C50,'Hist Data'!$A$2:$CN$428,'Unchained Indices'!AK$2,0)/VLOOKUP($C49,'Hist Data'!$A$2:$CN$428,'Unchained Indices'!AK$2,0)-1</f>
        <v>#N/A</v>
      </c>
      <c r="AL50" t="e">
        <f>VLOOKUP($C50,'Hist Data'!$A$2:$CN$428,'Unchained Indices'!AL$2,0)/VLOOKUP($C49,'Hist Data'!$A$2:$CN$428,'Unchained Indices'!AL$2,0)-1</f>
        <v>#N/A</v>
      </c>
      <c r="AM50" t="e">
        <f>VLOOKUP($C50,'Hist Data'!$A$2:$CN$428,'Unchained Indices'!AM$2,0)/VLOOKUP($C49,'Hist Data'!$A$2:$CN$428,'Unchained Indices'!AM$2,0)-1</f>
        <v>#N/A</v>
      </c>
      <c r="AN50" t="e">
        <f>VLOOKUP($C50,'Hist Data'!$A$2:$CN$428,'Unchained Indices'!AN$2,0)/VLOOKUP($C49,'Hist Data'!$A$2:$CN$428,'Unchained Indices'!AN$2,0)-1</f>
        <v>#N/A</v>
      </c>
      <c r="AO50" t="e">
        <f>VLOOKUP($C50,'Hist Data'!$A$2:$CN$428,'Unchained Indices'!AO$2,0)/VLOOKUP($C49,'Hist Data'!$A$2:$CN$428,'Unchained Indices'!AO$2,0)-1</f>
        <v>#N/A</v>
      </c>
      <c r="AP50" t="e">
        <f>VLOOKUP($C50,'Hist Data'!$A$2:$CN$428,'Unchained Indices'!AP$2,0)/VLOOKUP($C49,'Hist Data'!$A$2:$CN$428,'Unchained Indices'!AP$2,0)-1</f>
        <v>#N/A</v>
      </c>
      <c r="AQ50" t="e">
        <f>VLOOKUP($C50,'Hist Data'!$A$2:$CN$428,'Unchained Indices'!AQ$2,0)/VLOOKUP($C49,'Hist Data'!$A$2:$CN$428,'Unchained Indices'!AQ$2,0)-1</f>
        <v>#N/A</v>
      </c>
      <c r="AR50" t="e">
        <f>VLOOKUP($C50,'Hist Data'!$A$2:$CN$428,'Unchained Indices'!AR$2,0)/VLOOKUP($C49,'Hist Data'!$A$2:$CN$428,'Unchained Indices'!AR$2,0)-1</f>
        <v>#N/A</v>
      </c>
      <c r="AS50" t="e">
        <f>VLOOKUP($C50,'Hist Data'!$A$2:$CN$428,'Unchained Indices'!AS$2,0)/VLOOKUP($C49,'Hist Data'!$A$2:$CN$428,'Unchained Indices'!AS$2,0)-1</f>
        <v>#N/A</v>
      </c>
      <c r="AT50" t="e">
        <f>VLOOKUP($C50,'Hist Data'!$A$2:$CN$428,'Unchained Indices'!AT$2,0)/VLOOKUP($C49,'Hist Data'!$A$2:$CN$428,'Unchained Indices'!AT$2,0)-1</f>
        <v>#N/A</v>
      </c>
      <c r="AU50" t="e">
        <f>VLOOKUP($C50,'Hist Data'!$A$2:$CN$428,'Unchained Indices'!AU$2,0)/VLOOKUP($C49,'Hist Data'!$A$2:$CN$428,'Unchained Indices'!AU$2,0)-1</f>
        <v>#N/A</v>
      </c>
      <c r="AV50" t="e">
        <f>VLOOKUP($C50,'Hist Data'!$A$2:$CN$428,'Unchained Indices'!AV$2,0)/VLOOKUP($C49,'Hist Data'!$A$2:$CN$428,'Unchained Indices'!AV$2,0)-1</f>
        <v>#N/A</v>
      </c>
      <c r="AW50" t="e">
        <f>VLOOKUP($C50,'Hist Data'!$A$2:$CN$428,'Unchained Indices'!AW$2,0)/VLOOKUP($C49,'Hist Data'!$A$2:$CN$428,'Unchained Indices'!AW$2,0)-1</f>
        <v>#N/A</v>
      </c>
      <c r="AX50" t="e">
        <f>VLOOKUP($C50,'Hist Data'!$A$2:$CN$428,'Unchained Indices'!AX$2,0)/VLOOKUP($C49,'Hist Data'!$A$2:$CN$428,'Unchained Indices'!AX$2,0)-1</f>
        <v>#N/A</v>
      </c>
      <c r="AY50" t="e">
        <f>VLOOKUP($C50,'Hist Data'!$A$2:$CN$428,'Unchained Indices'!AY$2,0)/VLOOKUP($C49,'Hist Data'!$A$2:$CN$428,'Unchained Indices'!AY$2,0)-1</f>
        <v>#N/A</v>
      </c>
      <c r="AZ50" t="e">
        <f>VLOOKUP($C50,'Hist Data'!$A$2:$CN$428,'Unchained Indices'!AZ$2,0)/VLOOKUP($C49,'Hist Data'!$A$2:$CN$428,'Unchained Indices'!AZ$2,0)-1</f>
        <v>#N/A</v>
      </c>
      <c r="BA50" t="e">
        <f>VLOOKUP($C50,'Hist Data'!$A$2:$CN$428,'Unchained Indices'!BA$2,0)/VLOOKUP($C49,'Hist Data'!$A$2:$CN$428,'Unchained Indices'!BA$2,0)-1</f>
        <v>#N/A</v>
      </c>
      <c r="BB50" t="e">
        <f>VLOOKUP($C50,'Hist Data'!$A$2:$CN$428,'Unchained Indices'!BB$2,0)/VLOOKUP($C49,'Hist Data'!$A$2:$CN$428,'Unchained Indices'!BB$2,0)-1</f>
        <v>#N/A</v>
      </c>
      <c r="BC50" t="e">
        <f>VLOOKUP($C50,'Hist Data'!$A$2:$CN$428,'Unchained Indices'!BC$2,0)/VLOOKUP($C49,'Hist Data'!$A$2:$CN$428,'Unchained Indices'!BC$2,0)-1</f>
        <v>#N/A</v>
      </c>
      <c r="BD50" t="e">
        <f>VLOOKUP($C50,'Hist Data'!$A$2:$CN$428,'Unchained Indices'!BD$2,0)/VLOOKUP($C49,'Hist Data'!$A$2:$CN$428,'Unchained Indices'!BD$2,0)-1</f>
        <v>#N/A</v>
      </c>
      <c r="BE50" t="e">
        <f>VLOOKUP($C50,'Hist Data'!$A$2:$CN$428,'Unchained Indices'!BE$2,0)/VLOOKUP($C49,'Hist Data'!$A$2:$CN$428,'Unchained Indices'!BE$2,0)-1</f>
        <v>#N/A</v>
      </c>
      <c r="BF50" t="e">
        <f>VLOOKUP($C50,'Hist Data'!$A$2:$CN$428,'Unchained Indices'!BF$2,0)/VLOOKUP($C49,'Hist Data'!$A$2:$CN$428,'Unchained Indices'!BF$2,0)-1</f>
        <v>#N/A</v>
      </c>
      <c r="BG50" t="e">
        <f>VLOOKUP($C50,'Hist Data'!$A$2:$CN$428,'Unchained Indices'!BG$2,0)/VLOOKUP($C49,'Hist Data'!$A$2:$CN$428,'Unchained Indices'!BG$2,0)-1</f>
        <v>#N/A</v>
      </c>
      <c r="BH50" t="e">
        <f>VLOOKUP($C50,'Hist Data'!$A$2:$CN$428,'Unchained Indices'!BH$2,0)/VLOOKUP($C49,'Hist Data'!$A$2:$CN$428,'Unchained Indices'!BH$2,0)-1</f>
        <v>#N/A</v>
      </c>
      <c r="BI50" t="e">
        <f>VLOOKUP($C50,'Hist Data'!$A$2:$CN$428,'Unchained Indices'!BI$2,0)/VLOOKUP($C49,'Hist Data'!$A$2:$CN$428,'Unchained Indices'!BI$2,0)-1</f>
        <v>#N/A</v>
      </c>
      <c r="BJ50" t="e">
        <f>VLOOKUP($C50,'Hist Data'!$A$2:$CN$428,'Unchained Indices'!BJ$2,0)/VLOOKUP($C49,'Hist Data'!$A$2:$CN$428,'Unchained Indices'!BJ$2,0)-1</f>
        <v>#N/A</v>
      </c>
      <c r="BK50" t="e">
        <f>VLOOKUP($C50,'Hist Data'!$A$2:$CN$428,'Unchained Indices'!BK$2,0)/VLOOKUP($C49,'Hist Data'!$A$2:$CN$428,'Unchained Indices'!BK$2,0)-1</f>
        <v>#N/A</v>
      </c>
      <c r="BL50" t="e">
        <f>VLOOKUP($C50,'Hist Data'!$A$2:$CN$428,'Unchained Indices'!BL$2,0)/VLOOKUP($C49,'Hist Data'!$A$2:$CN$428,'Unchained Indices'!BL$2,0)-1</f>
        <v>#N/A</v>
      </c>
      <c r="BM50" t="e">
        <f>VLOOKUP($C50,'Hist Data'!$A$2:$CN$428,'Unchained Indices'!BM$2,0)/VLOOKUP($C49,'Hist Data'!$A$2:$CN$428,'Unchained Indices'!BM$2,0)-1</f>
        <v>#N/A</v>
      </c>
      <c r="BN50" t="e">
        <f>VLOOKUP($C50,'Hist Data'!$A$2:$CN$428,'Unchained Indices'!BN$2,0)/VLOOKUP($C49,'Hist Data'!$A$2:$CN$428,'Unchained Indices'!BN$2,0)-1</f>
        <v>#N/A</v>
      </c>
      <c r="BO50" t="e">
        <f>VLOOKUP($C50,'Hist Data'!$A$2:$CN$428,'Unchained Indices'!BO$2,0)/VLOOKUP($C49,'Hist Data'!$A$2:$CN$428,'Unchained Indices'!BO$2,0)-1</f>
        <v>#N/A</v>
      </c>
      <c r="BP50" t="e">
        <f>VLOOKUP($C50,'Hist Data'!$A$2:$CN$428,'Unchained Indices'!BP$2,0)/VLOOKUP($C49,'Hist Data'!$A$2:$CN$428,'Unchained Indices'!BP$2,0)-1</f>
        <v>#N/A</v>
      </c>
      <c r="BQ50" t="e">
        <f>VLOOKUP($C50,'Hist Data'!$A$2:$CN$428,'Unchained Indices'!BQ$2,0)/VLOOKUP($C49,'Hist Data'!$A$2:$CN$428,'Unchained Indices'!BQ$2,0)-1</f>
        <v>#N/A</v>
      </c>
      <c r="BR50" t="e">
        <f>VLOOKUP($C50,'Hist Data'!$A$2:$CN$428,'Unchained Indices'!BR$2,0)/VLOOKUP($C49,'Hist Data'!$A$2:$CN$428,'Unchained Indices'!BR$2,0)-1</f>
        <v>#N/A</v>
      </c>
      <c r="BS50" t="e">
        <f>VLOOKUP($C50,'Hist Data'!$A$2:$CN$428,'Unchained Indices'!BS$2,0)/VLOOKUP($C49,'Hist Data'!$A$2:$CN$428,'Unchained Indices'!BS$2,0)-1</f>
        <v>#N/A</v>
      </c>
      <c r="BT50" t="e">
        <f>VLOOKUP($C50,'Hist Data'!$A$2:$CN$428,'Unchained Indices'!BT$2,0)/VLOOKUP($C49,'Hist Data'!$A$2:$CN$428,'Unchained Indices'!BT$2,0)-1</f>
        <v>#N/A</v>
      </c>
      <c r="BU50" t="e">
        <f>VLOOKUP($C50,'Hist Data'!$A$2:$CN$428,'Unchained Indices'!BU$2,0)/VLOOKUP($C49,'Hist Data'!$A$2:$CN$428,'Unchained Indices'!BU$2,0)-1</f>
        <v>#N/A</v>
      </c>
      <c r="BV50" t="e">
        <f>VLOOKUP($C50,'Hist Data'!$A$2:$CN$428,'Unchained Indices'!BV$2,0)/VLOOKUP($C49,'Hist Data'!$A$2:$CN$428,'Unchained Indices'!BV$2,0)-1</f>
        <v>#N/A</v>
      </c>
      <c r="BW50" t="e">
        <f>VLOOKUP($C50,'Hist Data'!$A$2:$CN$428,'Unchained Indices'!BW$2,0)/VLOOKUP($C49,'Hist Data'!$A$2:$CN$428,'Unchained Indices'!BW$2,0)-1</f>
        <v>#N/A</v>
      </c>
      <c r="BX50" t="e">
        <f>VLOOKUP($C50,'Hist Data'!$A$2:$CN$428,'Unchained Indices'!BX$2,0)/VLOOKUP($C49,'Hist Data'!$A$2:$CN$428,'Unchained Indices'!BX$2,0)-1</f>
        <v>#N/A</v>
      </c>
      <c r="BY50" t="e">
        <f>VLOOKUP($C50,'Hist Data'!$A$2:$CN$428,'Unchained Indices'!BY$2,0)/VLOOKUP($C49,'Hist Data'!$A$2:$CN$428,'Unchained Indices'!BY$2,0)-1</f>
        <v>#N/A</v>
      </c>
      <c r="BZ50" t="e">
        <f>VLOOKUP($C50,'Hist Data'!$A$2:$CN$428,'Unchained Indices'!BZ$2,0)/VLOOKUP($C49,'Hist Data'!$A$2:$CN$428,'Unchained Indices'!BZ$2,0)-1</f>
        <v>#N/A</v>
      </c>
      <c r="CA50" t="e">
        <f>VLOOKUP($C50,'Hist Data'!$A$2:$CN$428,'Unchained Indices'!CA$2,0)/VLOOKUP($C49,'Hist Data'!$A$2:$CN$428,'Unchained Indices'!CA$2,0)-1</f>
        <v>#N/A</v>
      </c>
      <c r="CB50" t="e">
        <f>VLOOKUP($C50,'Hist Data'!$A$2:$CN$428,'Unchained Indices'!CB$2,0)/VLOOKUP($C49,'Hist Data'!$A$2:$CN$428,'Unchained Indices'!CB$2,0)-1</f>
        <v>#N/A</v>
      </c>
      <c r="CC50" t="e">
        <f>VLOOKUP($C50,'Hist Data'!$A$2:$CN$428,'Unchained Indices'!CC$2,0)/VLOOKUP($C49,'Hist Data'!$A$2:$CN$428,'Unchained Indices'!CC$2,0)-1</f>
        <v>#N/A</v>
      </c>
      <c r="CD50" t="e">
        <f>VLOOKUP($C50,'Hist Data'!$A$2:$CN$428,'Unchained Indices'!CD$2,0)/VLOOKUP($C49,'Hist Data'!$A$2:$CN$428,'Unchained Indices'!CD$2,0)-1</f>
        <v>#N/A</v>
      </c>
      <c r="CE50" t="e">
        <f>VLOOKUP($C50,'Hist Data'!$A$2:$CN$428,'Unchained Indices'!CE$2,0)/VLOOKUP($C49,'Hist Data'!$A$2:$CN$428,'Unchained Indices'!CE$2,0)-1</f>
        <v>#N/A</v>
      </c>
      <c r="CF50" t="e">
        <f>VLOOKUP($C50,'Hist Data'!$A$2:$CN$428,'Unchained Indices'!CF$2,0)/VLOOKUP($C49,'Hist Data'!$A$2:$CN$428,'Unchained Indices'!CF$2,0)-1</f>
        <v>#N/A</v>
      </c>
      <c r="CG50" t="e">
        <f>VLOOKUP($C50,'Hist Data'!$A$2:$CN$428,'Unchained Indices'!CG$2,0)/VLOOKUP($C49,'Hist Data'!$A$2:$CN$428,'Unchained Indices'!CG$2,0)-1</f>
        <v>#N/A</v>
      </c>
      <c r="CH50" t="e">
        <f>VLOOKUP($C50,'Hist Data'!$A$2:$CN$428,'Unchained Indices'!CH$2,0)/VLOOKUP($C49,'Hist Data'!$A$2:$CN$428,'Unchained Indices'!CH$2,0)-1</f>
        <v>#N/A</v>
      </c>
      <c r="CI50" t="e">
        <f>VLOOKUP($C50,'Hist Data'!$A$2:$CN$428,'Unchained Indices'!CI$2,0)/VLOOKUP($C49,'Hist Data'!$A$2:$CN$428,'Unchained Indices'!CI$2,0)-1</f>
        <v>#N/A</v>
      </c>
      <c r="CJ50" t="e">
        <f>VLOOKUP($C50,'Hist Data'!$A$2:$CN$428,'Unchained Indices'!CJ$2,0)/VLOOKUP($C49,'Hist Data'!$A$2:$CN$428,'Unchained Indices'!CJ$2,0)-1</f>
        <v>#N/A</v>
      </c>
      <c r="CK50" t="e">
        <f>VLOOKUP($C50,'Hist Data'!$A$2:$CN$428,'Unchained Indices'!CK$2,0)/VLOOKUP($C49,'Hist Data'!$A$2:$CN$428,'Unchained Indices'!CK$2,0)-1</f>
        <v>#N/A</v>
      </c>
      <c r="CL50" t="e">
        <f>VLOOKUP($C50,'Hist Data'!$A$2:$CN$428,'Unchained Indices'!CL$2,0)/VLOOKUP($C49,'Hist Data'!$A$2:$CN$428,'Unchained Indices'!CL$2,0)-1</f>
        <v>#N/A</v>
      </c>
      <c r="CM50" t="e">
        <f>VLOOKUP($C50,'Hist Data'!$A$2:$CN$428,'Unchained Indices'!CM$2,0)/VLOOKUP($C49,'Hist Data'!$A$2:$CN$428,'Unchained Indices'!CM$2,0)-1</f>
        <v>#N/A</v>
      </c>
      <c r="CN50" t="e">
        <f>VLOOKUP($C50,'Hist Data'!$A$2:$CN$428,'Unchained Indices'!CN$2,0)/VLOOKUP($C49,'Hist Data'!$A$2:$CN$428,'Unchained Indices'!CN$2,0)-1</f>
        <v>#N/A</v>
      </c>
      <c r="CO50" t="e">
        <f>VLOOKUP($C50,'Hist Data'!$A$2:$CN$428,'Unchained Indices'!CO$2,0)/VLOOKUP($C49,'Hist Data'!$A$2:$CN$428,'Unchained Indices'!CO$2,0)-1</f>
        <v>#N/A</v>
      </c>
      <c r="CP50" t="e">
        <f>VLOOKUP($C50,'Hist Data'!$A$2:$CN$428,'Unchained Indices'!CP$2,0)/VLOOKUP($C49,'Hist Data'!$A$2:$CN$428,'Unchained Indices'!CP$2,0)-1</f>
        <v>#N/A</v>
      </c>
    </row>
    <row r="51" spans="3:94" x14ac:dyDescent="0.25">
      <c r="C51" s="6">
        <f t="shared" si="10"/>
        <v>44835</v>
      </c>
      <c r="D51" t="e">
        <f>VLOOKUP($C51,'Hist Data'!$A$2:$CN$428,'Unchained Indices'!D$2,0)/VLOOKUP($C50,'Hist Data'!$A$2:$CN$428,'Unchained Indices'!D$2,0)-1</f>
        <v>#N/A</v>
      </c>
      <c r="E51" t="e">
        <f>VLOOKUP($C51,'Hist Data'!$A$2:$CN$428,'Unchained Indices'!E$2,0)/VLOOKUP($C50,'Hist Data'!$A$2:$CN$428,'Unchained Indices'!E$2,0)-1</f>
        <v>#N/A</v>
      </c>
      <c r="F51" t="e">
        <f>VLOOKUP($C51,'Hist Data'!$A$2:$CN$428,'Unchained Indices'!F$2,0)/VLOOKUP($C50,'Hist Data'!$A$2:$CN$428,'Unchained Indices'!F$2,0)-1</f>
        <v>#N/A</v>
      </c>
      <c r="G51" t="e">
        <f>VLOOKUP($C51,'Hist Data'!$A$2:$CN$428,'Unchained Indices'!G$2,0)/VLOOKUP($C50,'Hist Data'!$A$2:$CN$428,'Unchained Indices'!G$2,0)-1</f>
        <v>#N/A</v>
      </c>
      <c r="H51" t="e">
        <f>VLOOKUP($C51,'Hist Data'!$A$2:$CN$428,'Unchained Indices'!H$2,0)/VLOOKUP($C50,'Hist Data'!$A$2:$CN$428,'Unchained Indices'!H$2,0)-1</f>
        <v>#N/A</v>
      </c>
      <c r="I51" t="e">
        <f>VLOOKUP($C51,'Hist Data'!$A$2:$CN$428,'Unchained Indices'!I$2,0)/VLOOKUP($C50,'Hist Data'!$A$2:$CN$428,'Unchained Indices'!I$2,0)-1</f>
        <v>#N/A</v>
      </c>
      <c r="J51" t="e">
        <f>VLOOKUP($C51,'Hist Data'!$A$2:$CN$428,'Unchained Indices'!J$2,0)/VLOOKUP($C50,'Hist Data'!$A$2:$CN$428,'Unchained Indices'!J$2,0)-1</f>
        <v>#N/A</v>
      </c>
      <c r="K51" t="e">
        <f>VLOOKUP($C51,'Hist Data'!$A$2:$CN$428,'Unchained Indices'!K$2,0)/VLOOKUP($C50,'Hist Data'!$A$2:$CN$428,'Unchained Indices'!K$2,0)-1</f>
        <v>#N/A</v>
      </c>
      <c r="L51" t="e">
        <f>VLOOKUP($C51,'Hist Data'!$A$2:$CN$428,'Unchained Indices'!L$2,0)/VLOOKUP($C50,'Hist Data'!$A$2:$CN$428,'Unchained Indices'!L$2,0)-1</f>
        <v>#N/A</v>
      </c>
      <c r="M51" t="e">
        <f>VLOOKUP($C51,'Hist Data'!$A$2:$CN$428,'Unchained Indices'!M$2,0)/VLOOKUP($C50,'Hist Data'!$A$2:$CN$428,'Unchained Indices'!M$2,0)-1</f>
        <v>#N/A</v>
      </c>
      <c r="N51" t="e">
        <f>VLOOKUP($C51,'Hist Data'!$A$2:$CN$428,'Unchained Indices'!N$2,0)/VLOOKUP($C50,'Hist Data'!$A$2:$CN$428,'Unchained Indices'!N$2,0)-1</f>
        <v>#N/A</v>
      </c>
      <c r="O51" t="e">
        <f>VLOOKUP($C51,'Hist Data'!$A$2:$CN$428,'Unchained Indices'!O$2,0)/VLOOKUP($C50,'Hist Data'!$A$2:$CN$428,'Unchained Indices'!O$2,0)-1</f>
        <v>#N/A</v>
      </c>
      <c r="P51" t="e">
        <f>VLOOKUP($C51,'Hist Data'!$A$2:$CN$428,'Unchained Indices'!P$2,0)/VLOOKUP($C50,'Hist Data'!$A$2:$CN$428,'Unchained Indices'!P$2,0)-1</f>
        <v>#N/A</v>
      </c>
      <c r="Q51" t="e">
        <f>VLOOKUP($C51,'Hist Data'!$A$2:$CN$428,'Unchained Indices'!Q$2,0)/VLOOKUP($C50,'Hist Data'!$A$2:$CN$428,'Unchained Indices'!Q$2,0)-1</f>
        <v>#N/A</v>
      </c>
      <c r="R51" t="e">
        <f>VLOOKUP($C51,'Hist Data'!$A$2:$CN$428,'Unchained Indices'!R$2,0)/VLOOKUP($C50,'Hist Data'!$A$2:$CN$428,'Unchained Indices'!R$2,0)-1</f>
        <v>#N/A</v>
      </c>
      <c r="S51" t="e">
        <f>VLOOKUP($C51,'Hist Data'!$A$2:$CN$428,'Unchained Indices'!S$2,0)/VLOOKUP($C50,'Hist Data'!$A$2:$CN$428,'Unchained Indices'!S$2,0)-1</f>
        <v>#N/A</v>
      </c>
      <c r="T51" t="e">
        <f>VLOOKUP($C51,'Hist Data'!$A$2:$CN$428,'Unchained Indices'!T$2,0)/VLOOKUP($C50,'Hist Data'!$A$2:$CN$428,'Unchained Indices'!T$2,0)-1</f>
        <v>#N/A</v>
      </c>
      <c r="U51" t="e">
        <f>VLOOKUP($C51,'Hist Data'!$A$2:$CN$428,'Unchained Indices'!U$2,0)/VLOOKUP($C50,'Hist Data'!$A$2:$CN$428,'Unchained Indices'!U$2,0)-1</f>
        <v>#N/A</v>
      </c>
      <c r="V51" t="e">
        <f>VLOOKUP($C51,'Hist Data'!$A$2:$CN$428,'Unchained Indices'!V$2,0)/VLOOKUP($C50,'Hist Data'!$A$2:$CN$428,'Unchained Indices'!V$2,0)-1</f>
        <v>#N/A</v>
      </c>
      <c r="W51" t="e">
        <f>VLOOKUP($C51,'Hist Data'!$A$2:$CN$428,'Unchained Indices'!W$2,0)/VLOOKUP($C50,'Hist Data'!$A$2:$CN$428,'Unchained Indices'!W$2,0)-1</f>
        <v>#N/A</v>
      </c>
      <c r="X51" t="e">
        <f>VLOOKUP($C51,'Hist Data'!$A$2:$CN$428,'Unchained Indices'!X$2,0)/VLOOKUP($C50,'Hist Data'!$A$2:$CN$428,'Unchained Indices'!X$2,0)-1</f>
        <v>#N/A</v>
      </c>
      <c r="Y51" t="e">
        <f>VLOOKUP($C51,'Hist Data'!$A$2:$CN$428,'Unchained Indices'!Y$2,0)/VLOOKUP($C50,'Hist Data'!$A$2:$CN$428,'Unchained Indices'!Y$2,0)-1</f>
        <v>#N/A</v>
      </c>
      <c r="Z51" t="e">
        <f>VLOOKUP($C51,'Hist Data'!$A$2:$CN$428,'Unchained Indices'!Z$2,0)/VLOOKUP($C50,'Hist Data'!$A$2:$CN$428,'Unchained Indices'!Z$2,0)-1</f>
        <v>#N/A</v>
      </c>
      <c r="AA51" t="e">
        <f>VLOOKUP($C51,'Hist Data'!$A$2:$CN$428,'Unchained Indices'!AA$2,0)/VLOOKUP($C50,'Hist Data'!$A$2:$CN$428,'Unchained Indices'!AA$2,0)-1</f>
        <v>#N/A</v>
      </c>
      <c r="AB51" t="e">
        <f>VLOOKUP($C51,'Hist Data'!$A$2:$CN$428,'Unchained Indices'!AB$2,0)/VLOOKUP($C50,'Hist Data'!$A$2:$CN$428,'Unchained Indices'!AB$2,0)-1</f>
        <v>#N/A</v>
      </c>
      <c r="AC51" t="e">
        <f>VLOOKUP($C51,'Hist Data'!$A$2:$CN$428,'Unchained Indices'!AC$2,0)/VLOOKUP($C50,'Hist Data'!$A$2:$CN$428,'Unchained Indices'!AC$2,0)-1</f>
        <v>#N/A</v>
      </c>
      <c r="AD51" t="e">
        <f>VLOOKUP($C51,'Hist Data'!$A$2:$CN$428,'Unchained Indices'!AD$2,0)/VLOOKUP($C50,'Hist Data'!$A$2:$CN$428,'Unchained Indices'!AD$2,0)-1</f>
        <v>#N/A</v>
      </c>
      <c r="AE51" t="e">
        <f>VLOOKUP($C51,'Hist Data'!$A$2:$CN$428,'Unchained Indices'!AE$2,0)/VLOOKUP($C50,'Hist Data'!$A$2:$CN$428,'Unchained Indices'!AE$2,0)-1</f>
        <v>#N/A</v>
      </c>
      <c r="AF51" t="e">
        <f>VLOOKUP($C51,'Hist Data'!$A$2:$CN$428,'Unchained Indices'!AF$2,0)/VLOOKUP($C50,'Hist Data'!$A$2:$CN$428,'Unchained Indices'!AF$2,0)-1</f>
        <v>#N/A</v>
      </c>
      <c r="AG51" t="e">
        <f>VLOOKUP($C51,'Hist Data'!$A$2:$CN$428,'Unchained Indices'!AG$2,0)/VLOOKUP($C50,'Hist Data'!$A$2:$CN$428,'Unchained Indices'!AG$2,0)-1</f>
        <v>#N/A</v>
      </c>
      <c r="AH51" t="e">
        <f>VLOOKUP($C51,'Hist Data'!$A$2:$CN$428,'Unchained Indices'!AH$2,0)/VLOOKUP($C50,'Hist Data'!$A$2:$CN$428,'Unchained Indices'!AH$2,0)-1</f>
        <v>#N/A</v>
      </c>
      <c r="AI51" t="e">
        <f>VLOOKUP($C51,'Hist Data'!$A$2:$CN$428,'Unchained Indices'!AI$2,0)/VLOOKUP($C50,'Hist Data'!$A$2:$CN$428,'Unchained Indices'!AI$2,0)-1</f>
        <v>#N/A</v>
      </c>
      <c r="AJ51" t="e">
        <f>VLOOKUP($C51,'Hist Data'!$A$2:$CN$428,'Unchained Indices'!AJ$2,0)/VLOOKUP($C50,'Hist Data'!$A$2:$CN$428,'Unchained Indices'!AJ$2,0)-1</f>
        <v>#N/A</v>
      </c>
      <c r="AK51" t="e">
        <f>VLOOKUP($C51,'Hist Data'!$A$2:$CN$428,'Unchained Indices'!AK$2,0)/VLOOKUP($C50,'Hist Data'!$A$2:$CN$428,'Unchained Indices'!AK$2,0)-1</f>
        <v>#N/A</v>
      </c>
      <c r="AL51" t="e">
        <f>VLOOKUP($C51,'Hist Data'!$A$2:$CN$428,'Unchained Indices'!AL$2,0)/VLOOKUP($C50,'Hist Data'!$A$2:$CN$428,'Unchained Indices'!AL$2,0)-1</f>
        <v>#N/A</v>
      </c>
      <c r="AM51" t="e">
        <f>VLOOKUP($C51,'Hist Data'!$A$2:$CN$428,'Unchained Indices'!AM$2,0)/VLOOKUP($C50,'Hist Data'!$A$2:$CN$428,'Unchained Indices'!AM$2,0)-1</f>
        <v>#N/A</v>
      </c>
      <c r="AN51" t="e">
        <f>VLOOKUP($C51,'Hist Data'!$A$2:$CN$428,'Unchained Indices'!AN$2,0)/VLOOKUP($C50,'Hist Data'!$A$2:$CN$428,'Unchained Indices'!AN$2,0)-1</f>
        <v>#N/A</v>
      </c>
      <c r="AO51" t="e">
        <f>VLOOKUP($C51,'Hist Data'!$A$2:$CN$428,'Unchained Indices'!AO$2,0)/VLOOKUP($C50,'Hist Data'!$A$2:$CN$428,'Unchained Indices'!AO$2,0)-1</f>
        <v>#N/A</v>
      </c>
      <c r="AP51" t="e">
        <f>VLOOKUP($C51,'Hist Data'!$A$2:$CN$428,'Unchained Indices'!AP$2,0)/VLOOKUP($C50,'Hist Data'!$A$2:$CN$428,'Unchained Indices'!AP$2,0)-1</f>
        <v>#N/A</v>
      </c>
      <c r="AQ51" t="e">
        <f>VLOOKUP($C51,'Hist Data'!$A$2:$CN$428,'Unchained Indices'!AQ$2,0)/VLOOKUP($C50,'Hist Data'!$A$2:$CN$428,'Unchained Indices'!AQ$2,0)-1</f>
        <v>#N/A</v>
      </c>
      <c r="AR51" t="e">
        <f>VLOOKUP($C51,'Hist Data'!$A$2:$CN$428,'Unchained Indices'!AR$2,0)/VLOOKUP($C50,'Hist Data'!$A$2:$CN$428,'Unchained Indices'!AR$2,0)-1</f>
        <v>#N/A</v>
      </c>
      <c r="AS51" t="e">
        <f>VLOOKUP($C51,'Hist Data'!$A$2:$CN$428,'Unchained Indices'!AS$2,0)/VLOOKUP($C50,'Hist Data'!$A$2:$CN$428,'Unchained Indices'!AS$2,0)-1</f>
        <v>#N/A</v>
      </c>
      <c r="AT51" t="e">
        <f>VLOOKUP($C51,'Hist Data'!$A$2:$CN$428,'Unchained Indices'!AT$2,0)/VLOOKUP($C50,'Hist Data'!$A$2:$CN$428,'Unchained Indices'!AT$2,0)-1</f>
        <v>#N/A</v>
      </c>
      <c r="AU51" t="e">
        <f>VLOOKUP($C51,'Hist Data'!$A$2:$CN$428,'Unchained Indices'!AU$2,0)/VLOOKUP($C50,'Hist Data'!$A$2:$CN$428,'Unchained Indices'!AU$2,0)-1</f>
        <v>#N/A</v>
      </c>
      <c r="AV51" t="e">
        <f>VLOOKUP($C51,'Hist Data'!$A$2:$CN$428,'Unchained Indices'!AV$2,0)/VLOOKUP($C50,'Hist Data'!$A$2:$CN$428,'Unchained Indices'!AV$2,0)-1</f>
        <v>#N/A</v>
      </c>
      <c r="AW51" t="e">
        <f>VLOOKUP($C51,'Hist Data'!$A$2:$CN$428,'Unchained Indices'!AW$2,0)/VLOOKUP($C50,'Hist Data'!$A$2:$CN$428,'Unchained Indices'!AW$2,0)-1</f>
        <v>#N/A</v>
      </c>
      <c r="AX51" t="e">
        <f>VLOOKUP($C51,'Hist Data'!$A$2:$CN$428,'Unchained Indices'!AX$2,0)/VLOOKUP($C50,'Hist Data'!$A$2:$CN$428,'Unchained Indices'!AX$2,0)-1</f>
        <v>#N/A</v>
      </c>
      <c r="AY51" t="e">
        <f>VLOOKUP($C51,'Hist Data'!$A$2:$CN$428,'Unchained Indices'!AY$2,0)/VLOOKUP($C50,'Hist Data'!$A$2:$CN$428,'Unchained Indices'!AY$2,0)-1</f>
        <v>#N/A</v>
      </c>
      <c r="AZ51" t="e">
        <f>VLOOKUP($C51,'Hist Data'!$A$2:$CN$428,'Unchained Indices'!AZ$2,0)/VLOOKUP($C50,'Hist Data'!$A$2:$CN$428,'Unchained Indices'!AZ$2,0)-1</f>
        <v>#N/A</v>
      </c>
      <c r="BA51" t="e">
        <f>VLOOKUP($C51,'Hist Data'!$A$2:$CN$428,'Unchained Indices'!BA$2,0)/VLOOKUP($C50,'Hist Data'!$A$2:$CN$428,'Unchained Indices'!BA$2,0)-1</f>
        <v>#N/A</v>
      </c>
      <c r="BB51" t="e">
        <f>VLOOKUP($C51,'Hist Data'!$A$2:$CN$428,'Unchained Indices'!BB$2,0)/VLOOKUP($C50,'Hist Data'!$A$2:$CN$428,'Unchained Indices'!BB$2,0)-1</f>
        <v>#N/A</v>
      </c>
      <c r="BC51" t="e">
        <f>VLOOKUP($C51,'Hist Data'!$A$2:$CN$428,'Unchained Indices'!BC$2,0)/VLOOKUP($C50,'Hist Data'!$A$2:$CN$428,'Unchained Indices'!BC$2,0)-1</f>
        <v>#N/A</v>
      </c>
      <c r="BD51" t="e">
        <f>VLOOKUP($C51,'Hist Data'!$A$2:$CN$428,'Unchained Indices'!BD$2,0)/VLOOKUP($C50,'Hist Data'!$A$2:$CN$428,'Unchained Indices'!BD$2,0)-1</f>
        <v>#N/A</v>
      </c>
      <c r="BE51" t="e">
        <f>VLOOKUP($C51,'Hist Data'!$A$2:$CN$428,'Unchained Indices'!BE$2,0)/VLOOKUP($C50,'Hist Data'!$A$2:$CN$428,'Unchained Indices'!BE$2,0)-1</f>
        <v>#N/A</v>
      </c>
      <c r="BF51" t="e">
        <f>VLOOKUP($C51,'Hist Data'!$A$2:$CN$428,'Unchained Indices'!BF$2,0)/VLOOKUP($C50,'Hist Data'!$A$2:$CN$428,'Unchained Indices'!BF$2,0)-1</f>
        <v>#N/A</v>
      </c>
      <c r="BG51" t="e">
        <f>VLOOKUP($C51,'Hist Data'!$A$2:$CN$428,'Unchained Indices'!BG$2,0)/VLOOKUP($C50,'Hist Data'!$A$2:$CN$428,'Unchained Indices'!BG$2,0)-1</f>
        <v>#N/A</v>
      </c>
      <c r="BH51" t="e">
        <f>VLOOKUP($C51,'Hist Data'!$A$2:$CN$428,'Unchained Indices'!BH$2,0)/VLOOKUP($C50,'Hist Data'!$A$2:$CN$428,'Unchained Indices'!BH$2,0)-1</f>
        <v>#N/A</v>
      </c>
      <c r="BI51" t="e">
        <f>VLOOKUP($C51,'Hist Data'!$A$2:$CN$428,'Unchained Indices'!BI$2,0)/VLOOKUP($C50,'Hist Data'!$A$2:$CN$428,'Unchained Indices'!BI$2,0)-1</f>
        <v>#N/A</v>
      </c>
      <c r="BJ51" t="e">
        <f>VLOOKUP($C51,'Hist Data'!$A$2:$CN$428,'Unchained Indices'!BJ$2,0)/VLOOKUP($C50,'Hist Data'!$A$2:$CN$428,'Unchained Indices'!BJ$2,0)-1</f>
        <v>#N/A</v>
      </c>
      <c r="BK51" t="e">
        <f>VLOOKUP($C51,'Hist Data'!$A$2:$CN$428,'Unchained Indices'!BK$2,0)/VLOOKUP($C50,'Hist Data'!$A$2:$CN$428,'Unchained Indices'!BK$2,0)-1</f>
        <v>#N/A</v>
      </c>
      <c r="BL51" t="e">
        <f>VLOOKUP($C51,'Hist Data'!$A$2:$CN$428,'Unchained Indices'!BL$2,0)/VLOOKUP($C50,'Hist Data'!$A$2:$CN$428,'Unchained Indices'!BL$2,0)-1</f>
        <v>#N/A</v>
      </c>
      <c r="BM51" t="e">
        <f>VLOOKUP($C51,'Hist Data'!$A$2:$CN$428,'Unchained Indices'!BM$2,0)/VLOOKUP($C50,'Hist Data'!$A$2:$CN$428,'Unchained Indices'!BM$2,0)-1</f>
        <v>#N/A</v>
      </c>
      <c r="BN51" t="e">
        <f>VLOOKUP($C51,'Hist Data'!$A$2:$CN$428,'Unchained Indices'!BN$2,0)/VLOOKUP($C50,'Hist Data'!$A$2:$CN$428,'Unchained Indices'!BN$2,0)-1</f>
        <v>#N/A</v>
      </c>
      <c r="BO51" t="e">
        <f>VLOOKUP($C51,'Hist Data'!$A$2:$CN$428,'Unchained Indices'!BO$2,0)/VLOOKUP($C50,'Hist Data'!$A$2:$CN$428,'Unchained Indices'!BO$2,0)-1</f>
        <v>#N/A</v>
      </c>
      <c r="BP51" t="e">
        <f>VLOOKUP($C51,'Hist Data'!$A$2:$CN$428,'Unchained Indices'!BP$2,0)/VLOOKUP($C50,'Hist Data'!$A$2:$CN$428,'Unchained Indices'!BP$2,0)-1</f>
        <v>#N/A</v>
      </c>
      <c r="BQ51" t="e">
        <f>VLOOKUP($C51,'Hist Data'!$A$2:$CN$428,'Unchained Indices'!BQ$2,0)/VLOOKUP($C50,'Hist Data'!$A$2:$CN$428,'Unchained Indices'!BQ$2,0)-1</f>
        <v>#N/A</v>
      </c>
      <c r="BR51" t="e">
        <f>VLOOKUP($C51,'Hist Data'!$A$2:$CN$428,'Unchained Indices'!BR$2,0)/VLOOKUP($C50,'Hist Data'!$A$2:$CN$428,'Unchained Indices'!BR$2,0)-1</f>
        <v>#N/A</v>
      </c>
      <c r="BS51" t="e">
        <f>VLOOKUP($C51,'Hist Data'!$A$2:$CN$428,'Unchained Indices'!BS$2,0)/VLOOKUP($C50,'Hist Data'!$A$2:$CN$428,'Unchained Indices'!BS$2,0)-1</f>
        <v>#N/A</v>
      </c>
      <c r="BT51" t="e">
        <f>VLOOKUP($C51,'Hist Data'!$A$2:$CN$428,'Unchained Indices'!BT$2,0)/VLOOKUP($C50,'Hist Data'!$A$2:$CN$428,'Unchained Indices'!BT$2,0)-1</f>
        <v>#N/A</v>
      </c>
      <c r="BU51" t="e">
        <f>VLOOKUP($C51,'Hist Data'!$A$2:$CN$428,'Unchained Indices'!BU$2,0)/VLOOKUP($C50,'Hist Data'!$A$2:$CN$428,'Unchained Indices'!BU$2,0)-1</f>
        <v>#N/A</v>
      </c>
      <c r="BV51" t="e">
        <f>VLOOKUP($C51,'Hist Data'!$A$2:$CN$428,'Unchained Indices'!BV$2,0)/VLOOKUP($C50,'Hist Data'!$A$2:$CN$428,'Unchained Indices'!BV$2,0)-1</f>
        <v>#N/A</v>
      </c>
      <c r="BW51" t="e">
        <f>VLOOKUP($C51,'Hist Data'!$A$2:$CN$428,'Unchained Indices'!BW$2,0)/VLOOKUP($C50,'Hist Data'!$A$2:$CN$428,'Unchained Indices'!BW$2,0)-1</f>
        <v>#N/A</v>
      </c>
      <c r="BX51" t="e">
        <f>VLOOKUP($C51,'Hist Data'!$A$2:$CN$428,'Unchained Indices'!BX$2,0)/VLOOKUP($C50,'Hist Data'!$A$2:$CN$428,'Unchained Indices'!BX$2,0)-1</f>
        <v>#N/A</v>
      </c>
      <c r="BY51" t="e">
        <f>VLOOKUP($C51,'Hist Data'!$A$2:$CN$428,'Unchained Indices'!BY$2,0)/VLOOKUP($C50,'Hist Data'!$A$2:$CN$428,'Unchained Indices'!BY$2,0)-1</f>
        <v>#N/A</v>
      </c>
      <c r="BZ51" t="e">
        <f>VLOOKUP($C51,'Hist Data'!$A$2:$CN$428,'Unchained Indices'!BZ$2,0)/VLOOKUP($C50,'Hist Data'!$A$2:$CN$428,'Unchained Indices'!BZ$2,0)-1</f>
        <v>#N/A</v>
      </c>
      <c r="CA51" t="e">
        <f>VLOOKUP($C51,'Hist Data'!$A$2:$CN$428,'Unchained Indices'!CA$2,0)/VLOOKUP($C50,'Hist Data'!$A$2:$CN$428,'Unchained Indices'!CA$2,0)-1</f>
        <v>#N/A</v>
      </c>
      <c r="CB51" t="e">
        <f>VLOOKUP($C51,'Hist Data'!$A$2:$CN$428,'Unchained Indices'!CB$2,0)/VLOOKUP($C50,'Hist Data'!$A$2:$CN$428,'Unchained Indices'!CB$2,0)-1</f>
        <v>#N/A</v>
      </c>
      <c r="CC51" t="e">
        <f>VLOOKUP($C51,'Hist Data'!$A$2:$CN$428,'Unchained Indices'!CC$2,0)/VLOOKUP($C50,'Hist Data'!$A$2:$CN$428,'Unchained Indices'!CC$2,0)-1</f>
        <v>#N/A</v>
      </c>
      <c r="CD51" t="e">
        <f>VLOOKUP($C51,'Hist Data'!$A$2:$CN$428,'Unchained Indices'!CD$2,0)/VLOOKUP($C50,'Hist Data'!$A$2:$CN$428,'Unchained Indices'!CD$2,0)-1</f>
        <v>#N/A</v>
      </c>
      <c r="CE51" t="e">
        <f>VLOOKUP($C51,'Hist Data'!$A$2:$CN$428,'Unchained Indices'!CE$2,0)/VLOOKUP($C50,'Hist Data'!$A$2:$CN$428,'Unchained Indices'!CE$2,0)-1</f>
        <v>#N/A</v>
      </c>
      <c r="CF51" t="e">
        <f>VLOOKUP($C51,'Hist Data'!$A$2:$CN$428,'Unchained Indices'!CF$2,0)/VLOOKUP($C50,'Hist Data'!$A$2:$CN$428,'Unchained Indices'!CF$2,0)-1</f>
        <v>#N/A</v>
      </c>
      <c r="CG51" t="e">
        <f>VLOOKUP($C51,'Hist Data'!$A$2:$CN$428,'Unchained Indices'!CG$2,0)/VLOOKUP($C50,'Hist Data'!$A$2:$CN$428,'Unchained Indices'!CG$2,0)-1</f>
        <v>#N/A</v>
      </c>
      <c r="CH51" t="e">
        <f>VLOOKUP($C51,'Hist Data'!$A$2:$CN$428,'Unchained Indices'!CH$2,0)/VLOOKUP($C50,'Hist Data'!$A$2:$CN$428,'Unchained Indices'!CH$2,0)-1</f>
        <v>#N/A</v>
      </c>
      <c r="CI51" t="e">
        <f>VLOOKUP($C51,'Hist Data'!$A$2:$CN$428,'Unchained Indices'!CI$2,0)/VLOOKUP($C50,'Hist Data'!$A$2:$CN$428,'Unchained Indices'!CI$2,0)-1</f>
        <v>#N/A</v>
      </c>
      <c r="CJ51" t="e">
        <f>VLOOKUP($C51,'Hist Data'!$A$2:$CN$428,'Unchained Indices'!CJ$2,0)/VLOOKUP($C50,'Hist Data'!$A$2:$CN$428,'Unchained Indices'!CJ$2,0)-1</f>
        <v>#N/A</v>
      </c>
      <c r="CK51" t="e">
        <f>VLOOKUP($C51,'Hist Data'!$A$2:$CN$428,'Unchained Indices'!CK$2,0)/VLOOKUP($C50,'Hist Data'!$A$2:$CN$428,'Unchained Indices'!CK$2,0)-1</f>
        <v>#N/A</v>
      </c>
      <c r="CL51" t="e">
        <f>VLOOKUP($C51,'Hist Data'!$A$2:$CN$428,'Unchained Indices'!CL$2,0)/VLOOKUP($C50,'Hist Data'!$A$2:$CN$428,'Unchained Indices'!CL$2,0)-1</f>
        <v>#N/A</v>
      </c>
      <c r="CM51" t="e">
        <f>VLOOKUP($C51,'Hist Data'!$A$2:$CN$428,'Unchained Indices'!CM$2,0)/VLOOKUP($C50,'Hist Data'!$A$2:$CN$428,'Unchained Indices'!CM$2,0)-1</f>
        <v>#N/A</v>
      </c>
      <c r="CN51" t="e">
        <f>VLOOKUP($C51,'Hist Data'!$A$2:$CN$428,'Unchained Indices'!CN$2,0)/VLOOKUP($C50,'Hist Data'!$A$2:$CN$428,'Unchained Indices'!CN$2,0)-1</f>
        <v>#N/A</v>
      </c>
      <c r="CO51" t="e">
        <f>VLOOKUP($C51,'Hist Data'!$A$2:$CN$428,'Unchained Indices'!CO$2,0)/VLOOKUP($C50,'Hist Data'!$A$2:$CN$428,'Unchained Indices'!CO$2,0)-1</f>
        <v>#N/A</v>
      </c>
      <c r="CP51" t="e">
        <f>VLOOKUP($C51,'Hist Data'!$A$2:$CN$428,'Unchained Indices'!CP$2,0)/VLOOKUP($C50,'Hist Data'!$A$2:$CN$428,'Unchained Indices'!CP$2,0)-1</f>
        <v>#N/A</v>
      </c>
    </row>
    <row r="52" spans="3:94" x14ac:dyDescent="0.25">
      <c r="C52" s="6">
        <f t="shared" si="10"/>
        <v>44866</v>
      </c>
      <c r="D52" t="e">
        <f>VLOOKUP($C52,'Hist Data'!$A$2:$CN$428,'Unchained Indices'!D$2,0)/VLOOKUP($C51,'Hist Data'!$A$2:$CN$428,'Unchained Indices'!D$2,0)-1</f>
        <v>#N/A</v>
      </c>
      <c r="E52" t="e">
        <f>VLOOKUP($C52,'Hist Data'!$A$2:$CN$428,'Unchained Indices'!E$2,0)/VLOOKUP($C51,'Hist Data'!$A$2:$CN$428,'Unchained Indices'!E$2,0)-1</f>
        <v>#N/A</v>
      </c>
      <c r="F52" t="e">
        <f>VLOOKUP($C52,'Hist Data'!$A$2:$CN$428,'Unchained Indices'!F$2,0)/VLOOKUP($C51,'Hist Data'!$A$2:$CN$428,'Unchained Indices'!F$2,0)-1</f>
        <v>#N/A</v>
      </c>
      <c r="G52" t="e">
        <f>VLOOKUP($C52,'Hist Data'!$A$2:$CN$428,'Unchained Indices'!G$2,0)/VLOOKUP($C51,'Hist Data'!$A$2:$CN$428,'Unchained Indices'!G$2,0)-1</f>
        <v>#N/A</v>
      </c>
      <c r="H52" t="e">
        <f>VLOOKUP($C52,'Hist Data'!$A$2:$CN$428,'Unchained Indices'!H$2,0)/VLOOKUP($C51,'Hist Data'!$A$2:$CN$428,'Unchained Indices'!H$2,0)-1</f>
        <v>#N/A</v>
      </c>
      <c r="I52" t="e">
        <f>VLOOKUP($C52,'Hist Data'!$A$2:$CN$428,'Unchained Indices'!I$2,0)/VLOOKUP($C51,'Hist Data'!$A$2:$CN$428,'Unchained Indices'!I$2,0)-1</f>
        <v>#N/A</v>
      </c>
      <c r="J52" t="e">
        <f>VLOOKUP($C52,'Hist Data'!$A$2:$CN$428,'Unchained Indices'!J$2,0)/VLOOKUP($C51,'Hist Data'!$A$2:$CN$428,'Unchained Indices'!J$2,0)-1</f>
        <v>#N/A</v>
      </c>
      <c r="K52" t="e">
        <f>VLOOKUP($C52,'Hist Data'!$A$2:$CN$428,'Unchained Indices'!K$2,0)/VLOOKUP($C51,'Hist Data'!$A$2:$CN$428,'Unchained Indices'!K$2,0)-1</f>
        <v>#N/A</v>
      </c>
      <c r="L52" t="e">
        <f>VLOOKUP($C52,'Hist Data'!$A$2:$CN$428,'Unchained Indices'!L$2,0)/VLOOKUP($C51,'Hist Data'!$A$2:$CN$428,'Unchained Indices'!L$2,0)-1</f>
        <v>#N/A</v>
      </c>
      <c r="M52" t="e">
        <f>VLOOKUP($C52,'Hist Data'!$A$2:$CN$428,'Unchained Indices'!M$2,0)/VLOOKUP($C51,'Hist Data'!$A$2:$CN$428,'Unchained Indices'!M$2,0)-1</f>
        <v>#N/A</v>
      </c>
      <c r="N52" t="e">
        <f>VLOOKUP($C52,'Hist Data'!$A$2:$CN$428,'Unchained Indices'!N$2,0)/VLOOKUP($C51,'Hist Data'!$A$2:$CN$428,'Unchained Indices'!N$2,0)-1</f>
        <v>#N/A</v>
      </c>
      <c r="O52" t="e">
        <f>VLOOKUP($C52,'Hist Data'!$A$2:$CN$428,'Unchained Indices'!O$2,0)/VLOOKUP($C51,'Hist Data'!$A$2:$CN$428,'Unchained Indices'!O$2,0)-1</f>
        <v>#N/A</v>
      </c>
      <c r="P52" t="e">
        <f>VLOOKUP($C52,'Hist Data'!$A$2:$CN$428,'Unchained Indices'!P$2,0)/VLOOKUP($C51,'Hist Data'!$A$2:$CN$428,'Unchained Indices'!P$2,0)-1</f>
        <v>#N/A</v>
      </c>
      <c r="Q52" t="e">
        <f>VLOOKUP($C52,'Hist Data'!$A$2:$CN$428,'Unchained Indices'!Q$2,0)/VLOOKUP($C51,'Hist Data'!$A$2:$CN$428,'Unchained Indices'!Q$2,0)-1</f>
        <v>#N/A</v>
      </c>
      <c r="R52" t="e">
        <f>VLOOKUP($C52,'Hist Data'!$A$2:$CN$428,'Unchained Indices'!R$2,0)/VLOOKUP($C51,'Hist Data'!$A$2:$CN$428,'Unchained Indices'!R$2,0)-1</f>
        <v>#N/A</v>
      </c>
      <c r="S52" t="e">
        <f>VLOOKUP($C52,'Hist Data'!$A$2:$CN$428,'Unchained Indices'!S$2,0)/VLOOKUP($C51,'Hist Data'!$A$2:$CN$428,'Unchained Indices'!S$2,0)-1</f>
        <v>#N/A</v>
      </c>
      <c r="T52" t="e">
        <f>VLOOKUP($C52,'Hist Data'!$A$2:$CN$428,'Unchained Indices'!T$2,0)/VLOOKUP($C51,'Hist Data'!$A$2:$CN$428,'Unchained Indices'!T$2,0)-1</f>
        <v>#N/A</v>
      </c>
      <c r="U52" t="e">
        <f>VLOOKUP($C52,'Hist Data'!$A$2:$CN$428,'Unchained Indices'!U$2,0)/VLOOKUP($C51,'Hist Data'!$A$2:$CN$428,'Unchained Indices'!U$2,0)-1</f>
        <v>#N/A</v>
      </c>
      <c r="V52" t="e">
        <f>VLOOKUP($C52,'Hist Data'!$A$2:$CN$428,'Unchained Indices'!V$2,0)/VLOOKUP($C51,'Hist Data'!$A$2:$CN$428,'Unchained Indices'!V$2,0)-1</f>
        <v>#N/A</v>
      </c>
      <c r="W52" t="e">
        <f>VLOOKUP($C52,'Hist Data'!$A$2:$CN$428,'Unchained Indices'!W$2,0)/VLOOKUP($C51,'Hist Data'!$A$2:$CN$428,'Unchained Indices'!W$2,0)-1</f>
        <v>#N/A</v>
      </c>
      <c r="X52" t="e">
        <f>VLOOKUP($C52,'Hist Data'!$A$2:$CN$428,'Unchained Indices'!X$2,0)/VLOOKUP($C51,'Hist Data'!$A$2:$CN$428,'Unchained Indices'!X$2,0)-1</f>
        <v>#N/A</v>
      </c>
      <c r="Y52" t="e">
        <f>VLOOKUP($C52,'Hist Data'!$A$2:$CN$428,'Unchained Indices'!Y$2,0)/VLOOKUP($C51,'Hist Data'!$A$2:$CN$428,'Unchained Indices'!Y$2,0)-1</f>
        <v>#N/A</v>
      </c>
      <c r="Z52" t="e">
        <f>VLOOKUP($C52,'Hist Data'!$A$2:$CN$428,'Unchained Indices'!Z$2,0)/VLOOKUP($C51,'Hist Data'!$A$2:$CN$428,'Unchained Indices'!Z$2,0)-1</f>
        <v>#N/A</v>
      </c>
      <c r="AA52" t="e">
        <f>VLOOKUP($C52,'Hist Data'!$A$2:$CN$428,'Unchained Indices'!AA$2,0)/VLOOKUP($C51,'Hist Data'!$A$2:$CN$428,'Unchained Indices'!AA$2,0)-1</f>
        <v>#N/A</v>
      </c>
      <c r="AB52" t="e">
        <f>VLOOKUP($C52,'Hist Data'!$A$2:$CN$428,'Unchained Indices'!AB$2,0)/VLOOKUP($C51,'Hist Data'!$A$2:$CN$428,'Unchained Indices'!AB$2,0)-1</f>
        <v>#N/A</v>
      </c>
      <c r="AC52" t="e">
        <f>VLOOKUP($C52,'Hist Data'!$A$2:$CN$428,'Unchained Indices'!AC$2,0)/VLOOKUP($C51,'Hist Data'!$A$2:$CN$428,'Unchained Indices'!AC$2,0)-1</f>
        <v>#N/A</v>
      </c>
      <c r="AD52" t="e">
        <f>VLOOKUP($C52,'Hist Data'!$A$2:$CN$428,'Unchained Indices'!AD$2,0)/VLOOKUP($C51,'Hist Data'!$A$2:$CN$428,'Unchained Indices'!AD$2,0)-1</f>
        <v>#N/A</v>
      </c>
      <c r="AE52" t="e">
        <f>VLOOKUP($C52,'Hist Data'!$A$2:$CN$428,'Unchained Indices'!AE$2,0)/VLOOKUP($C51,'Hist Data'!$A$2:$CN$428,'Unchained Indices'!AE$2,0)-1</f>
        <v>#N/A</v>
      </c>
      <c r="AF52" t="e">
        <f>VLOOKUP($C52,'Hist Data'!$A$2:$CN$428,'Unchained Indices'!AF$2,0)/VLOOKUP($C51,'Hist Data'!$A$2:$CN$428,'Unchained Indices'!AF$2,0)-1</f>
        <v>#N/A</v>
      </c>
      <c r="AG52" t="e">
        <f>VLOOKUP($C52,'Hist Data'!$A$2:$CN$428,'Unchained Indices'!AG$2,0)/VLOOKUP($C51,'Hist Data'!$A$2:$CN$428,'Unchained Indices'!AG$2,0)-1</f>
        <v>#N/A</v>
      </c>
      <c r="AH52" t="e">
        <f>VLOOKUP($C52,'Hist Data'!$A$2:$CN$428,'Unchained Indices'!AH$2,0)/VLOOKUP($C51,'Hist Data'!$A$2:$CN$428,'Unchained Indices'!AH$2,0)-1</f>
        <v>#N/A</v>
      </c>
      <c r="AI52" t="e">
        <f>VLOOKUP($C52,'Hist Data'!$A$2:$CN$428,'Unchained Indices'!AI$2,0)/VLOOKUP($C51,'Hist Data'!$A$2:$CN$428,'Unchained Indices'!AI$2,0)-1</f>
        <v>#N/A</v>
      </c>
      <c r="AJ52" t="e">
        <f>VLOOKUP($C52,'Hist Data'!$A$2:$CN$428,'Unchained Indices'!AJ$2,0)/VLOOKUP($C51,'Hist Data'!$A$2:$CN$428,'Unchained Indices'!AJ$2,0)-1</f>
        <v>#N/A</v>
      </c>
      <c r="AK52" t="e">
        <f>VLOOKUP($C52,'Hist Data'!$A$2:$CN$428,'Unchained Indices'!AK$2,0)/VLOOKUP($C51,'Hist Data'!$A$2:$CN$428,'Unchained Indices'!AK$2,0)-1</f>
        <v>#N/A</v>
      </c>
      <c r="AL52" t="e">
        <f>VLOOKUP($C52,'Hist Data'!$A$2:$CN$428,'Unchained Indices'!AL$2,0)/VLOOKUP($C51,'Hist Data'!$A$2:$CN$428,'Unchained Indices'!AL$2,0)-1</f>
        <v>#N/A</v>
      </c>
      <c r="AM52" t="e">
        <f>VLOOKUP($C52,'Hist Data'!$A$2:$CN$428,'Unchained Indices'!AM$2,0)/VLOOKUP($C51,'Hist Data'!$A$2:$CN$428,'Unchained Indices'!AM$2,0)-1</f>
        <v>#N/A</v>
      </c>
      <c r="AN52" t="e">
        <f>VLOOKUP($C52,'Hist Data'!$A$2:$CN$428,'Unchained Indices'!AN$2,0)/VLOOKUP($C51,'Hist Data'!$A$2:$CN$428,'Unchained Indices'!AN$2,0)-1</f>
        <v>#N/A</v>
      </c>
      <c r="AO52" t="e">
        <f>VLOOKUP($C52,'Hist Data'!$A$2:$CN$428,'Unchained Indices'!AO$2,0)/VLOOKUP($C51,'Hist Data'!$A$2:$CN$428,'Unchained Indices'!AO$2,0)-1</f>
        <v>#N/A</v>
      </c>
      <c r="AP52" t="e">
        <f>VLOOKUP($C52,'Hist Data'!$A$2:$CN$428,'Unchained Indices'!AP$2,0)/VLOOKUP($C51,'Hist Data'!$A$2:$CN$428,'Unchained Indices'!AP$2,0)-1</f>
        <v>#N/A</v>
      </c>
      <c r="AQ52" t="e">
        <f>VLOOKUP($C52,'Hist Data'!$A$2:$CN$428,'Unchained Indices'!AQ$2,0)/VLOOKUP($C51,'Hist Data'!$A$2:$CN$428,'Unchained Indices'!AQ$2,0)-1</f>
        <v>#N/A</v>
      </c>
      <c r="AR52" t="e">
        <f>VLOOKUP($C52,'Hist Data'!$A$2:$CN$428,'Unchained Indices'!AR$2,0)/VLOOKUP($C51,'Hist Data'!$A$2:$CN$428,'Unchained Indices'!AR$2,0)-1</f>
        <v>#N/A</v>
      </c>
      <c r="AS52" t="e">
        <f>VLOOKUP($C52,'Hist Data'!$A$2:$CN$428,'Unchained Indices'!AS$2,0)/VLOOKUP($C51,'Hist Data'!$A$2:$CN$428,'Unchained Indices'!AS$2,0)-1</f>
        <v>#N/A</v>
      </c>
      <c r="AT52" t="e">
        <f>VLOOKUP($C52,'Hist Data'!$A$2:$CN$428,'Unchained Indices'!AT$2,0)/VLOOKUP($C51,'Hist Data'!$A$2:$CN$428,'Unchained Indices'!AT$2,0)-1</f>
        <v>#N/A</v>
      </c>
      <c r="AU52" t="e">
        <f>VLOOKUP($C52,'Hist Data'!$A$2:$CN$428,'Unchained Indices'!AU$2,0)/VLOOKUP($C51,'Hist Data'!$A$2:$CN$428,'Unchained Indices'!AU$2,0)-1</f>
        <v>#N/A</v>
      </c>
      <c r="AV52" t="e">
        <f>VLOOKUP($C52,'Hist Data'!$A$2:$CN$428,'Unchained Indices'!AV$2,0)/VLOOKUP($C51,'Hist Data'!$A$2:$CN$428,'Unchained Indices'!AV$2,0)-1</f>
        <v>#N/A</v>
      </c>
      <c r="AW52" t="e">
        <f>VLOOKUP($C52,'Hist Data'!$A$2:$CN$428,'Unchained Indices'!AW$2,0)/VLOOKUP($C51,'Hist Data'!$A$2:$CN$428,'Unchained Indices'!AW$2,0)-1</f>
        <v>#N/A</v>
      </c>
      <c r="AX52" t="e">
        <f>VLOOKUP($C52,'Hist Data'!$A$2:$CN$428,'Unchained Indices'!AX$2,0)/VLOOKUP($C51,'Hist Data'!$A$2:$CN$428,'Unchained Indices'!AX$2,0)-1</f>
        <v>#N/A</v>
      </c>
      <c r="AY52" t="e">
        <f>VLOOKUP($C52,'Hist Data'!$A$2:$CN$428,'Unchained Indices'!AY$2,0)/VLOOKUP($C51,'Hist Data'!$A$2:$CN$428,'Unchained Indices'!AY$2,0)-1</f>
        <v>#N/A</v>
      </c>
      <c r="AZ52" t="e">
        <f>VLOOKUP($C52,'Hist Data'!$A$2:$CN$428,'Unchained Indices'!AZ$2,0)/VLOOKUP($C51,'Hist Data'!$A$2:$CN$428,'Unchained Indices'!AZ$2,0)-1</f>
        <v>#N/A</v>
      </c>
      <c r="BA52" t="e">
        <f>VLOOKUP($C52,'Hist Data'!$A$2:$CN$428,'Unchained Indices'!BA$2,0)/VLOOKUP($C51,'Hist Data'!$A$2:$CN$428,'Unchained Indices'!BA$2,0)-1</f>
        <v>#N/A</v>
      </c>
      <c r="BB52" t="e">
        <f>VLOOKUP($C52,'Hist Data'!$A$2:$CN$428,'Unchained Indices'!BB$2,0)/VLOOKUP($C51,'Hist Data'!$A$2:$CN$428,'Unchained Indices'!BB$2,0)-1</f>
        <v>#N/A</v>
      </c>
      <c r="BC52" t="e">
        <f>VLOOKUP($C52,'Hist Data'!$A$2:$CN$428,'Unchained Indices'!BC$2,0)/VLOOKUP($C51,'Hist Data'!$A$2:$CN$428,'Unchained Indices'!BC$2,0)-1</f>
        <v>#N/A</v>
      </c>
      <c r="BD52" t="e">
        <f>VLOOKUP($C52,'Hist Data'!$A$2:$CN$428,'Unchained Indices'!BD$2,0)/VLOOKUP($C51,'Hist Data'!$A$2:$CN$428,'Unchained Indices'!BD$2,0)-1</f>
        <v>#N/A</v>
      </c>
      <c r="BE52" t="e">
        <f>VLOOKUP($C52,'Hist Data'!$A$2:$CN$428,'Unchained Indices'!BE$2,0)/VLOOKUP($C51,'Hist Data'!$A$2:$CN$428,'Unchained Indices'!BE$2,0)-1</f>
        <v>#N/A</v>
      </c>
      <c r="BF52" t="e">
        <f>VLOOKUP($C52,'Hist Data'!$A$2:$CN$428,'Unchained Indices'!BF$2,0)/VLOOKUP($C51,'Hist Data'!$A$2:$CN$428,'Unchained Indices'!BF$2,0)-1</f>
        <v>#N/A</v>
      </c>
      <c r="BG52" t="e">
        <f>VLOOKUP($C52,'Hist Data'!$A$2:$CN$428,'Unchained Indices'!BG$2,0)/VLOOKUP($C51,'Hist Data'!$A$2:$CN$428,'Unchained Indices'!BG$2,0)-1</f>
        <v>#N/A</v>
      </c>
      <c r="BH52" t="e">
        <f>VLOOKUP($C52,'Hist Data'!$A$2:$CN$428,'Unchained Indices'!BH$2,0)/VLOOKUP($C51,'Hist Data'!$A$2:$CN$428,'Unchained Indices'!BH$2,0)-1</f>
        <v>#N/A</v>
      </c>
      <c r="BI52" t="e">
        <f>VLOOKUP($C52,'Hist Data'!$A$2:$CN$428,'Unchained Indices'!BI$2,0)/VLOOKUP($C51,'Hist Data'!$A$2:$CN$428,'Unchained Indices'!BI$2,0)-1</f>
        <v>#N/A</v>
      </c>
      <c r="BJ52" t="e">
        <f>VLOOKUP($C52,'Hist Data'!$A$2:$CN$428,'Unchained Indices'!BJ$2,0)/VLOOKUP($C51,'Hist Data'!$A$2:$CN$428,'Unchained Indices'!BJ$2,0)-1</f>
        <v>#N/A</v>
      </c>
      <c r="BK52" t="e">
        <f>VLOOKUP($C52,'Hist Data'!$A$2:$CN$428,'Unchained Indices'!BK$2,0)/VLOOKUP($C51,'Hist Data'!$A$2:$CN$428,'Unchained Indices'!BK$2,0)-1</f>
        <v>#N/A</v>
      </c>
      <c r="BL52" t="e">
        <f>VLOOKUP($C52,'Hist Data'!$A$2:$CN$428,'Unchained Indices'!BL$2,0)/VLOOKUP($C51,'Hist Data'!$A$2:$CN$428,'Unchained Indices'!BL$2,0)-1</f>
        <v>#N/A</v>
      </c>
      <c r="BM52" t="e">
        <f>VLOOKUP($C52,'Hist Data'!$A$2:$CN$428,'Unchained Indices'!BM$2,0)/VLOOKUP($C51,'Hist Data'!$A$2:$CN$428,'Unchained Indices'!BM$2,0)-1</f>
        <v>#N/A</v>
      </c>
      <c r="BN52" t="e">
        <f>VLOOKUP($C52,'Hist Data'!$A$2:$CN$428,'Unchained Indices'!BN$2,0)/VLOOKUP($C51,'Hist Data'!$A$2:$CN$428,'Unchained Indices'!BN$2,0)-1</f>
        <v>#N/A</v>
      </c>
      <c r="BO52" t="e">
        <f>VLOOKUP($C52,'Hist Data'!$A$2:$CN$428,'Unchained Indices'!BO$2,0)/VLOOKUP($C51,'Hist Data'!$A$2:$CN$428,'Unchained Indices'!BO$2,0)-1</f>
        <v>#N/A</v>
      </c>
      <c r="BP52" t="e">
        <f>VLOOKUP($C52,'Hist Data'!$A$2:$CN$428,'Unchained Indices'!BP$2,0)/VLOOKUP($C51,'Hist Data'!$A$2:$CN$428,'Unchained Indices'!BP$2,0)-1</f>
        <v>#N/A</v>
      </c>
      <c r="BQ52" t="e">
        <f>VLOOKUP($C52,'Hist Data'!$A$2:$CN$428,'Unchained Indices'!BQ$2,0)/VLOOKUP($C51,'Hist Data'!$A$2:$CN$428,'Unchained Indices'!BQ$2,0)-1</f>
        <v>#N/A</v>
      </c>
      <c r="BR52" t="e">
        <f>VLOOKUP($C52,'Hist Data'!$A$2:$CN$428,'Unchained Indices'!BR$2,0)/VLOOKUP($C51,'Hist Data'!$A$2:$CN$428,'Unchained Indices'!BR$2,0)-1</f>
        <v>#N/A</v>
      </c>
      <c r="BS52" t="e">
        <f>VLOOKUP($C52,'Hist Data'!$A$2:$CN$428,'Unchained Indices'!BS$2,0)/VLOOKUP($C51,'Hist Data'!$A$2:$CN$428,'Unchained Indices'!BS$2,0)-1</f>
        <v>#N/A</v>
      </c>
      <c r="BT52" t="e">
        <f>VLOOKUP($C52,'Hist Data'!$A$2:$CN$428,'Unchained Indices'!BT$2,0)/VLOOKUP($C51,'Hist Data'!$A$2:$CN$428,'Unchained Indices'!BT$2,0)-1</f>
        <v>#N/A</v>
      </c>
      <c r="BU52" t="e">
        <f>VLOOKUP($C52,'Hist Data'!$A$2:$CN$428,'Unchained Indices'!BU$2,0)/VLOOKUP($C51,'Hist Data'!$A$2:$CN$428,'Unchained Indices'!BU$2,0)-1</f>
        <v>#N/A</v>
      </c>
      <c r="BV52" t="e">
        <f>VLOOKUP($C52,'Hist Data'!$A$2:$CN$428,'Unchained Indices'!BV$2,0)/VLOOKUP($C51,'Hist Data'!$A$2:$CN$428,'Unchained Indices'!BV$2,0)-1</f>
        <v>#N/A</v>
      </c>
      <c r="BW52" t="e">
        <f>VLOOKUP($C52,'Hist Data'!$A$2:$CN$428,'Unchained Indices'!BW$2,0)/VLOOKUP($C51,'Hist Data'!$A$2:$CN$428,'Unchained Indices'!BW$2,0)-1</f>
        <v>#N/A</v>
      </c>
      <c r="BX52" t="e">
        <f>VLOOKUP($C52,'Hist Data'!$A$2:$CN$428,'Unchained Indices'!BX$2,0)/VLOOKUP($C51,'Hist Data'!$A$2:$CN$428,'Unchained Indices'!BX$2,0)-1</f>
        <v>#N/A</v>
      </c>
      <c r="BY52" t="e">
        <f>VLOOKUP($C52,'Hist Data'!$A$2:$CN$428,'Unchained Indices'!BY$2,0)/VLOOKUP($C51,'Hist Data'!$A$2:$CN$428,'Unchained Indices'!BY$2,0)-1</f>
        <v>#N/A</v>
      </c>
      <c r="BZ52" t="e">
        <f>VLOOKUP($C52,'Hist Data'!$A$2:$CN$428,'Unchained Indices'!BZ$2,0)/VLOOKUP($C51,'Hist Data'!$A$2:$CN$428,'Unchained Indices'!BZ$2,0)-1</f>
        <v>#N/A</v>
      </c>
      <c r="CA52" t="e">
        <f>VLOOKUP($C52,'Hist Data'!$A$2:$CN$428,'Unchained Indices'!CA$2,0)/VLOOKUP($C51,'Hist Data'!$A$2:$CN$428,'Unchained Indices'!CA$2,0)-1</f>
        <v>#N/A</v>
      </c>
      <c r="CB52" t="e">
        <f>VLOOKUP($C52,'Hist Data'!$A$2:$CN$428,'Unchained Indices'!CB$2,0)/VLOOKUP($C51,'Hist Data'!$A$2:$CN$428,'Unchained Indices'!CB$2,0)-1</f>
        <v>#N/A</v>
      </c>
      <c r="CC52" t="e">
        <f>VLOOKUP($C52,'Hist Data'!$A$2:$CN$428,'Unchained Indices'!CC$2,0)/VLOOKUP($C51,'Hist Data'!$A$2:$CN$428,'Unchained Indices'!CC$2,0)-1</f>
        <v>#N/A</v>
      </c>
      <c r="CD52" t="e">
        <f>VLOOKUP($C52,'Hist Data'!$A$2:$CN$428,'Unchained Indices'!CD$2,0)/VLOOKUP($C51,'Hist Data'!$A$2:$CN$428,'Unchained Indices'!CD$2,0)-1</f>
        <v>#N/A</v>
      </c>
      <c r="CE52" t="e">
        <f>VLOOKUP($C52,'Hist Data'!$A$2:$CN$428,'Unchained Indices'!CE$2,0)/VLOOKUP($C51,'Hist Data'!$A$2:$CN$428,'Unchained Indices'!CE$2,0)-1</f>
        <v>#N/A</v>
      </c>
      <c r="CF52" t="e">
        <f>VLOOKUP($C52,'Hist Data'!$A$2:$CN$428,'Unchained Indices'!CF$2,0)/VLOOKUP($C51,'Hist Data'!$A$2:$CN$428,'Unchained Indices'!CF$2,0)-1</f>
        <v>#N/A</v>
      </c>
      <c r="CG52" t="e">
        <f>VLOOKUP($C52,'Hist Data'!$A$2:$CN$428,'Unchained Indices'!CG$2,0)/VLOOKUP($C51,'Hist Data'!$A$2:$CN$428,'Unchained Indices'!CG$2,0)-1</f>
        <v>#N/A</v>
      </c>
      <c r="CH52" t="e">
        <f>VLOOKUP($C52,'Hist Data'!$A$2:$CN$428,'Unchained Indices'!CH$2,0)/VLOOKUP($C51,'Hist Data'!$A$2:$CN$428,'Unchained Indices'!CH$2,0)-1</f>
        <v>#N/A</v>
      </c>
      <c r="CI52" t="e">
        <f>VLOOKUP($C52,'Hist Data'!$A$2:$CN$428,'Unchained Indices'!CI$2,0)/VLOOKUP($C51,'Hist Data'!$A$2:$CN$428,'Unchained Indices'!CI$2,0)-1</f>
        <v>#N/A</v>
      </c>
      <c r="CJ52" t="e">
        <f>VLOOKUP($C52,'Hist Data'!$A$2:$CN$428,'Unchained Indices'!CJ$2,0)/VLOOKUP($C51,'Hist Data'!$A$2:$CN$428,'Unchained Indices'!CJ$2,0)-1</f>
        <v>#N/A</v>
      </c>
      <c r="CK52" t="e">
        <f>VLOOKUP($C52,'Hist Data'!$A$2:$CN$428,'Unchained Indices'!CK$2,0)/VLOOKUP($C51,'Hist Data'!$A$2:$CN$428,'Unchained Indices'!CK$2,0)-1</f>
        <v>#N/A</v>
      </c>
      <c r="CL52" t="e">
        <f>VLOOKUP($C52,'Hist Data'!$A$2:$CN$428,'Unchained Indices'!CL$2,0)/VLOOKUP($C51,'Hist Data'!$A$2:$CN$428,'Unchained Indices'!CL$2,0)-1</f>
        <v>#N/A</v>
      </c>
      <c r="CM52" t="e">
        <f>VLOOKUP($C52,'Hist Data'!$A$2:$CN$428,'Unchained Indices'!CM$2,0)/VLOOKUP($C51,'Hist Data'!$A$2:$CN$428,'Unchained Indices'!CM$2,0)-1</f>
        <v>#N/A</v>
      </c>
      <c r="CN52" t="e">
        <f>VLOOKUP($C52,'Hist Data'!$A$2:$CN$428,'Unchained Indices'!CN$2,0)/VLOOKUP($C51,'Hist Data'!$A$2:$CN$428,'Unchained Indices'!CN$2,0)-1</f>
        <v>#N/A</v>
      </c>
      <c r="CO52" t="e">
        <f>VLOOKUP($C52,'Hist Data'!$A$2:$CN$428,'Unchained Indices'!CO$2,0)/VLOOKUP($C51,'Hist Data'!$A$2:$CN$428,'Unchained Indices'!CO$2,0)-1</f>
        <v>#N/A</v>
      </c>
      <c r="CP52" t="e">
        <f>VLOOKUP($C52,'Hist Data'!$A$2:$CN$428,'Unchained Indices'!CP$2,0)/VLOOKUP($C51,'Hist Data'!$A$2:$CN$428,'Unchained Indices'!CP$2,0)-1</f>
        <v>#N/A</v>
      </c>
    </row>
    <row r="53" spans="3:94" x14ac:dyDescent="0.25">
      <c r="C53" s="6">
        <f t="shared" si="10"/>
        <v>44896</v>
      </c>
      <c r="D53" t="e">
        <f>VLOOKUP($C53,'Hist Data'!$A$2:$CN$428,'Unchained Indices'!D$2,0)/VLOOKUP($C52,'Hist Data'!$A$2:$CN$428,'Unchained Indices'!D$2,0)-1</f>
        <v>#N/A</v>
      </c>
      <c r="E53" t="e">
        <f>VLOOKUP($C53,'Hist Data'!$A$2:$CN$428,'Unchained Indices'!E$2,0)/VLOOKUP($C52,'Hist Data'!$A$2:$CN$428,'Unchained Indices'!E$2,0)-1</f>
        <v>#N/A</v>
      </c>
      <c r="F53" t="e">
        <f>VLOOKUP($C53,'Hist Data'!$A$2:$CN$428,'Unchained Indices'!F$2,0)/VLOOKUP($C52,'Hist Data'!$A$2:$CN$428,'Unchained Indices'!F$2,0)-1</f>
        <v>#N/A</v>
      </c>
      <c r="G53" t="e">
        <f>VLOOKUP($C53,'Hist Data'!$A$2:$CN$428,'Unchained Indices'!G$2,0)/VLOOKUP($C52,'Hist Data'!$A$2:$CN$428,'Unchained Indices'!G$2,0)-1</f>
        <v>#N/A</v>
      </c>
      <c r="H53" t="e">
        <f>VLOOKUP($C53,'Hist Data'!$A$2:$CN$428,'Unchained Indices'!H$2,0)/VLOOKUP($C52,'Hist Data'!$A$2:$CN$428,'Unchained Indices'!H$2,0)-1</f>
        <v>#N/A</v>
      </c>
      <c r="I53" t="e">
        <f>VLOOKUP($C53,'Hist Data'!$A$2:$CN$428,'Unchained Indices'!I$2,0)/VLOOKUP($C52,'Hist Data'!$A$2:$CN$428,'Unchained Indices'!I$2,0)-1</f>
        <v>#N/A</v>
      </c>
      <c r="J53" t="e">
        <f>VLOOKUP($C53,'Hist Data'!$A$2:$CN$428,'Unchained Indices'!J$2,0)/VLOOKUP($C52,'Hist Data'!$A$2:$CN$428,'Unchained Indices'!J$2,0)-1</f>
        <v>#N/A</v>
      </c>
      <c r="K53" t="e">
        <f>VLOOKUP($C53,'Hist Data'!$A$2:$CN$428,'Unchained Indices'!K$2,0)/VLOOKUP($C52,'Hist Data'!$A$2:$CN$428,'Unchained Indices'!K$2,0)-1</f>
        <v>#N/A</v>
      </c>
      <c r="L53" t="e">
        <f>VLOOKUP($C53,'Hist Data'!$A$2:$CN$428,'Unchained Indices'!L$2,0)/VLOOKUP($C52,'Hist Data'!$A$2:$CN$428,'Unchained Indices'!L$2,0)-1</f>
        <v>#N/A</v>
      </c>
      <c r="M53" t="e">
        <f>VLOOKUP($C53,'Hist Data'!$A$2:$CN$428,'Unchained Indices'!M$2,0)/VLOOKUP($C52,'Hist Data'!$A$2:$CN$428,'Unchained Indices'!M$2,0)-1</f>
        <v>#N/A</v>
      </c>
      <c r="N53" t="e">
        <f>VLOOKUP($C53,'Hist Data'!$A$2:$CN$428,'Unchained Indices'!N$2,0)/VLOOKUP($C52,'Hist Data'!$A$2:$CN$428,'Unchained Indices'!N$2,0)-1</f>
        <v>#N/A</v>
      </c>
      <c r="O53" t="e">
        <f>VLOOKUP($C53,'Hist Data'!$A$2:$CN$428,'Unchained Indices'!O$2,0)/VLOOKUP($C52,'Hist Data'!$A$2:$CN$428,'Unchained Indices'!O$2,0)-1</f>
        <v>#N/A</v>
      </c>
      <c r="P53" t="e">
        <f>VLOOKUP($C53,'Hist Data'!$A$2:$CN$428,'Unchained Indices'!P$2,0)/VLOOKUP($C52,'Hist Data'!$A$2:$CN$428,'Unchained Indices'!P$2,0)-1</f>
        <v>#N/A</v>
      </c>
      <c r="Q53" t="e">
        <f>VLOOKUP($C53,'Hist Data'!$A$2:$CN$428,'Unchained Indices'!Q$2,0)/VLOOKUP($C52,'Hist Data'!$A$2:$CN$428,'Unchained Indices'!Q$2,0)-1</f>
        <v>#N/A</v>
      </c>
      <c r="R53" t="e">
        <f>VLOOKUP($C53,'Hist Data'!$A$2:$CN$428,'Unchained Indices'!R$2,0)/VLOOKUP($C52,'Hist Data'!$A$2:$CN$428,'Unchained Indices'!R$2,0)-1</f>
        <v>#N/A</v>
      </c>
      <c r="S53" t="e">
        <f>VLOOKUP($C53,'Hist Data'!$A$2:$CN$428,'Unchained Indices'!S$2,0)/VLOOKUP($C52,'Hist Data'!$A$2:$CN$428,'Unchained Indices'!S$2,0)-1</f>
        <v>#N/A</v>
      </c>
      <c r="T53" t="e">
        <f>VLOOKUP($C53,'Hist Data'!$A$2:$CN$428,'Unchained Indices'!T$2,0)/VLOOKUP($C52,'Hist Data'!$A$2:$CN$428,'Unchained Indices'!T$2,0)-1</f>
        <v>#N/A</v>
      </c>
      <c r="U53" t="e">
        <f>VLOOKUP($C53,'Hist Data'!$A$2:$CN$428,'Unchained Indices'!U$2,0)/VLOOKUP($C52,'Hist Data'!$A$2:$CN$428,'Unchained Indices'!U$2,0)-1</f>
        <v>#N/A</v>
      </c>
      <c r="V53" t="e">
        <f>VLOOKUP($C53,'Hist Data'!$A$2:$CN$428,'Unchained Indices'!V$2,0)/VLOOKUP($C52,'Hist Data'!$A$2:$CN$428,'Unchained Indices'!V$2,0)-1</f>
        <v>#N/A</v>
      </c>
      <c r="W53" t="e">
        <f>VLOOKUP($C53,'Hist Data'!$A$2:$CN$428,'Unchained Indices'!W$2,0)/VLOOKUP($C52,'Hist Data'!$A$2:$CN$428,'Unchained Indices'!W$2,0)-1</f>
        <v>#N/A</v>
      </c>
      <c r="X53" t="e">
        <f>VLOOKUP($C53,'Hist Data'!$A$2:$CN$428,'Unchained Indices'!X$2,0)/VLOOKUP($C52,'Hist Data'!$A$2:$CN$428,'Unchained Indices'!X$2,0)-1</f>
        <v>#N/A</v>
      </c>
      <c r="Y53" t="e">
        <f>VLOOKUP($C53,'Hist Data'!$A$2:$CN$428,'Unchained Indices'!Y$2,0)/VLOOKUP($C52,'Hist Data'!$A$2:$CN$428,'Unchained Indices'!Y$2,0)-1</f>
        <v>#N/A</v>
      </c>
      <c r="Z53" t="e">
        <f>VLOOKUP($C53,'Hist Data'!$A$2:$CN$428,'Unchained Indices'!Z$2,0)/VLOOKUP($C52,'Hist Data'!$A$2:$CN$428,'Unchained Indices'!Z$2,0)-1</f>
        <v>#N/A</v>
      </c>
      <c r="AA53" t="e">
        <f>VLOOKUP($C53,'Hist Data'!$A$2:$CN$428,'Unchained Indices'!AA$2,0)/VLOOKUP($C52,'Hist Data'!$A$2:$CN$428,'Unchained Indices'!AA$2,0)-1</f>
        <v>#N/A</v>
      </c>
      <c r="AB53" t="e">
        <f>VLOOKUP($C53,'Hist Data'!$A$2:$CN$428,'Unchained Indices'!AB$2,0)/VLOOKUP($C52,'Hist Data'!$A$2:$CN$428,'Unchained Indices'!AB$2,0)-1</f>
        <v>#N/A</v>
      </c>
      <c r="AC53" t="e">
        <f>VLOOKUP($C53,'Hist Data'!$A$2:$CN$428,'Unchained Indices'!AC$2,0)/VLOOKUP($C52,'Hist Data'!$A$2:$CN$428,'Unchained Indices'!AC$2,0)-1</f>
        <v>#N/A</v>
      </c>
      <c r="AD53" t="e">
        <f>VLOOKUP($C53,'Hist Data'!$A$2:$CN$428,'Unchained Indices'!AD$2,0)/VLOOKUP($C52,'Hist Data'!$A$2:$CN$428,'Unchained Indices'!AD$2,0)-1</f>
        <v>#N/A</v>
      </c>
      <c r="AE53" t="e">
        <f>VLOOKUP($C53,'Hist Data'!$A$2:$CN$428,'Unchained Indices'!AE$2,0)/VLOOKUP($C52,'Hist Data'!$A$2:$CN$428,'Unchained Indices'!AE$2,0)-1</f>
        <v>#N/A</v>
      </c>
      <c r="AF53" t="e">
        <f>VLOOKUP($C53,'Hist Data'!$A$2:$CN$428,'Unchained Indices'!AF$2,0)/VLOOKUP($C52,'Hist Data'!$A$2:$CN$428,'Unchained Indices'!AF$2,0)-1</f>
        <v>#N/A</v>
      </c>
      <c r="AG53" t="e">
        <f>VLOOKUP($C53,'Hist Data'!$A$2:$CN$428,'Unchained Indices'!AG$2,0)/VLOOKUP($C52,'Hist Data'!$A$2:$CN$428,'Unchained Indices'!AG$2,0)-1</f>
        <v>#N/A</v>
      </c>
      <c r="AH53" t="e">
        <f>VLOOKUP($C53,'Hist Data'!$A$2:$CN$428,'Unchained Indices'!AH$2,0)/VLOOKUP($C52,'Hist Data'!$A$2:$CN$428,'Unchained Indices'!AH$2,0)-1</f>
        <v>#N/A</v>
      </c>
      <c r="AI53" t="e">
        <f>VLOOKUP($C53,'Hist Data'!$A$2:$CN$428,'Unchained Indices'!AI$2,0)/VLOOKUP($C52,'Hist Data'!$A$2:$CN$428,'Unchained Indices'!AI$2,0)-1</f>
        <v>#N/A</v>
      </c>
      <c r="AJ53" t="e">
        <f>VLOOKUP($C53,'Hist Data'!$A$2:$CN$428,'Unchained Indices'!AJ$2,0)/VLOOKUP($C52,'Hist Data'!$A$2:$CN$428,'Unchained Indices'!AJ$2,0)-1</f>
        <v>#N/A</v>
      </c>
      <c r="AK53" t="e">
        <f>VLOOKUP($C53,'Hist Data'!$A$2:$CN$428,'Unchained Indices'!AK$2,0)/VLOOKUP($C52,'Hist Data'!$A$2:$CN$428,'Unchained Indices'!AK$2,0)-1</f>
        <v>#N/A</v>
      </c>
      <c r="AL53" t="e">
        <f>VLOOKUP($C53,'Hist Data'!$A$2:$CN$428,'Unchained Indices'!AL$2,0)/VLOOKUP($C52,'Hist Data'!$A$2:$CN$428,'Unchained Indices'!AL$2,0)-1</f>
        <v>#N/A</v>
      </c>
      <c r="AM53" t="e">
        <f>VLOOKUP($C53,'Hist Data'!$A$2:$CN$428,'Unchained Indices'!AM$2,0)/VLOOKUP($C52,'Hist Data'!$A$2:$CN$428,'Unchained Indices'!AM$2,0)-1</f>
        <v>#N/A</v>
      </c>
      <c r="AN53" t="e">
        <f>VLOOKUP($C53,'Hist Data'!$A$2:$CN$428,'Unchained Indices'!AN$2,0)/VLOOKUP($C52,'Hist Data'!$A$2:$CN$428,'Unchained Indices'!AN$2,0)-1</f>
        <v>#N/A</v>
      </c>
      <c r="AO53" t="e">
        <f>VLOOKUP($C53,'Hist Data'!$A$2:$CN$428,'Unchained Indices'!AO$2,0)/VLOOKUP($C52,'Hist Data'!$A$2:$CN$428,'Unchained Indices'!AO$2,0)-1</f>
        <v>#N/A</v>
      </c>
      <c r="AP53" t="e">
        <f>VLOOKUP($C53,'Hist Data'!$A$2:$CN$428,'Unchained Indices'!AP$2,0)/VLOOKUP($C52,'Hist Data'!$A$2:$CN$428,'Unchained Indices'!AP$2,0)-1</f>
        <v>#N/A</v>
      </c>
      <c r="AQ53" t="e">
        <f>VLOOKUP($C53,'Hist Data'!$A$2:$CN$428,'Unchained Indices'!AQ$2,0)/VLOOKUP($C52,'Hist Data'!$A$2:$CN$428,'Unchained Indices'!AQ$2,0)-1</f>
        <v>#N/A</v>
      </c>
      <c r="AR53" t="e">
        <f>VLOOKUP($C53,'Hist Data'!$A$2:$CN$428,'Unchained Indices'!AR$2,0)/VLOOKUP($C52,'Hist Data'!$A$2:$CN$428,'Unchained Indices'!AR$2,0)-1</f>
        <v>#N/A</v>
      </c>
      <c r="AS53" t="e">
        <f>VLOOKUP($C53,'Hist Data'!$A$2:$CN$428,'Unchained Indices'!AS$2,0)/VLOOKUP($C52,'Hist Data'!$A$2:$CN$428,'Unchained Indices'!AS$2,0)-1</f>
        <v>#N/A</v>
      </c>
      <c r="AT53" t="e">
        <f>VLOOKUP($C53,'Hist Data'!$A$2:$CN$428,'Unchained Indices'!AT$2,0)/VLOOKUP($C52,'Hist Data'!$A$2:$CN$428,'Unchained Indices'!AT$2,0)-1</f>
        <v>#N/A</v>
      </c>
      <c r="AU53" t="e">
        <f>VLOOKUP($C53,'Hist Data'!$A$2:$CN$428,'Unchained Indices'!AU$2,0)/VLOOKUP($C52,'Hist Data'!$A$2:$CN$428,'Unchained Indices'!AU$2,0)-1</f>
        <v>#N/A</v>
      </c>
      <c r="AV53" t="e">
        <f>VLOOKUP($C53,'Hist Data'!$A$2:$CN$428,'Unchained Indices'!AV$2,0)/VLOOKUP($C52,'Hist Data'!$A$2:$CN$428,'Unchained Indices'!AV$2,0)-1</f>
        <v>#N/A</v>
      </c>
      <c r="AW53" t="e">
        <f>VLOOKUP($C53,'Hist Data'!$A$2:$CN$428,'Unchained Indices'!AW$2,0)/VLOOKUP($C52,'Hist Data'!$A$2:$CN$428,'Unchained Indices'!AW$2,0)-1</f>
        <v>#N/A</v>
      </c>
      <c r="AX53" t="e">
        <f>VLOOKUP($C53,'Hist Data'!$A$2:$CN$428,'Unchained Indices'!AX$2,0)/VLOOKUP($C52,'Hist Data'!$A$2:$CN$428,'Unchained Indices'!AX$2,0)-1</f>
        <v>#N/A</v>
      </c>
      <c r="AY53" t="e">
        <f>VLOOKUP($C53,'Hist Data'!$A$2:$CN$428,'Unchained Indices'!AY$2,0)/VLOOKUP($C52,'Hist Data'!$A$2:$CN$428,'Unchained Indices'!AY$2,0)-1</f>
        <v>#N/A</v>
      </c>
      <c r="AZ53" t="e">
        <f>VLOOKUP($C53,'Hist Data'!$A$2:$CN$428,'Unchained Indices'!AZ$2,0)/VLOOKUP($C52,'Hist Data'!$A$2:$CN$428,'Unchained Indices'!AZ$2,0)-1</f>
        <v>#N/A</v>
      </c>
      <c r="BA53" t="e">
        <f>VLOOKUP($C53,'Hist Data'!$A$2:$CN$428,'Unchained Indices'!BA$2,0)/VLOOKUP($C52,'Hist Data'!$A$2:$CN$428,'Unchained Indices'!BA$2,0)-1</f>
        <v>#N/A</v>
      </c>
      <c r="BB53" t="e">
        <f>VLOOKUP($C53,'Hist Data'!$A$2:$CN$428,'Unchained Indices'!BB$2,0)/VLOOKUP($C52,'Hist Data'!$A$2:$CN$428,'Unchained Indices'!BB$2,0)-1</f>
        <v>#N/A</v>
      </c>
      <c r="BC53" t="e">
        <f>VLOOKUP($C53,'Hist Data'!$A$2:$CN$428,'Unchained Indices'!BC$2,0)/VLOOKUP($C52,'Hist Data'!$A$2:$CN$428,'Unchained Indices'!BC$2,0)-1</f>
        <v>#N/A</v>
      </c>
      <c r="BD53" t="e">
        <f>VLOOKUP($C53,'Hist Data'!$A$2:$CN$428,'Unchained Indices'!BD$2,0)/VLOOKUP($C52,'Hist Data'!$A$2:$CN$428,'Unchained Indices'!BD$2,0)-1</f>
        <v>#N/A</v>
      </c>
      <c r="BE53" t="e">
        <f>VLOOKUP($C53,'Hist Data'!$A$2:$CN$428,'Unchained Indices'!BE$2,0)/VLOOKUP($C52,'Hist Data'!$A$2:$CN$428,'Unchained Indices'!BE$2,0)-1</f>
        <v>#N/A</v>
      </c>
      <c r="BF53" t="e">
        <f>VLOOKUP($C53,'Hist Data'!$A$2:$CN$428,'Unchained Indices'!BF$2,0)/VLOOKUP($C52,'Hist Data'!$A$2:$CN$428,'Unchained Indices'!BF$2,0)-1</f>
        <v>#N/A</v>
      </c>
      <c r="BG53" t="e">
        <f>VLOOKUP($C53,'Hist Data'!$A$2:$CN$428,'Unchained Indices'!BG$2,0)/VLOOKUP($C52,'Hist Data'!$A$2:$CN$428,'Unchained Indices'!BG$2,0)-1</f>
        <v>#N/A</v>
      </c>
      <c r="BH53" t="e">
        <f>VLOOKUP($C53,'Hist Data'!$A$2:$CN$428,'Unchained Indices'!BH$2,0)/VLOOKUP($C52,'Hist Data'!$A$2:$CN$428,'Unchained Indices'!BH$2,0)-1</f>
        <v>#N/A</v>
      </c>
      <c r="BI53" t="e">
        <f>VLOOKUP($C53,'Hist Data'!$A$2:$CN$428,'Unchained Indices'!BI$2,0)/VLOOKUP($C52,'Hist Data'!$A$2:$CN$428,'Unchained Indices'!BI$2,0)-1</f>
        <v>#N/A</v>
      </c>
      <c r="BJ53" t="e">
        <f>VLOOKUP($C53,'Hist Data'!$A$2:$CN$428,'Unchained Indices'!BJ$2,0)/VLOOKUP($C52,'Hist Data'!$A$2:$CN$428,'Unchained Indices'!BJ$2,0)-1</f>
        <v>#N/A</v>
      </c>
      <c r="BK53" t="e">
        <f>VLOOKUP($C53,'Hist Data'!$A$2:$CN$428,'Unchained Indices'!BK$2,0)/VLOOKUP($C52,'Hist Data'!$A$2:$CN$428,'Unchained Indices'!BK$2,0)-1</f>
        <v>#N/A</v>
      </c>
      <c r="BL53" t="e">
        <f>VLOOKUP($C53,'Hist Data'!$A$2:$CN$428,'Unchained Indices'!BL$2,0)/VLOOKUP($C52,'Hist Data'!$A$2:$CN$428,'Unchained Indices'!BL$2,0)-1</f>
        <v>#N/A</v>
      </c>
      <c r="BM53" t="e">
        <f>VLOOKUP($C53,'Hist Data'!$A$2:$CN$428,'Unchained Indices'!BM$2,0)/VLOOKUP($C52,'Hist Data'!$A$2:$CN$428,'Unchained Indices'!BM$2,0)-1</f>
        <v>#N/A</v>
      </c>
      <c r="BN53" t="e">
        <f>VLOOKUP($C53,'Hist Data'!$A$2:$CN$428,'Unchained Indices'!BN$2,0)/VLOOKUP($C52,'Hist Data'!$A$2:$CN$428,'Unchained Indices'!BN$2,0)-1</f>
        <v>#N/A</v>
      </c>
      <c r="BO53" t="e">
        <f>VLOOKUP($C53,'Hist Data'!$A$2:$CN$428,'Unchained Indices'!BO$2,0)/VLOOKUP($C52,'Hist Data'!$A$2:$CN$428,'Unchained Indices'!BO$2,0)-1</f>
        <v>#N/A</v>
      </c>
      <c r="BP53" t="e">
        <f>VLOOKUP($C53,'Hist Data'!$A$2:$CN$428,'Unchained Indices'!BP$2,0)/VLOOKUP($C52,'Hist Data'!$A$2:$CN$428,'Unchained Indices'!BP$2,0)-1</f>
        <v>#N/A</v>
      </c>
      <c r="BQ53" t="e">
        <f>VLOOKUP($C53,'Hist Data'!$A$2:$CN$428,'Unchained Indices'!BQ$2,0)/VLOOKUP($C52,'Hist Data'!$A$2:$CN$428,'Unchained Indices'!BQ$2,0)-1</f>
        <v>#N/A</v>
      </c>
      <c r="BR53" t="e">
        <f>VLOOKUP($C53,'Hist Data'!$A$2:$CN$428,'Unchained Indices'!BR$2,0)/VLOOKUP($C52,'Hist Data'!$A$2:$CN$428,'Unchained Indices'!BR$2,0)-1</f>
        <v>#N/A</v>
      </c>
      <c r="BS53" t="e">
        <f>VLOOKUP($C53,'Hist Data'!$A$2:$CN$428,'Unchained Indices'!BS$2,0)/VLOOKUP($C52,'Hist Data'!$A$2:$CN$428,'Unchained Indices'!BS$2,0)-1</f>
        <v>#N/A</v>
      </c>
      <c r="BT53" t="e">
        <f>VLOOKUP($C53,'Hist Data'!$A$2:$CN$428,'Unchained Indices'!BT$2,0)/VLOOKUP($C52,'Hist Data'!$A$2:$CN$428,'Unchained Indices'!BT$2,0)-1</f>
        <v>#N/A</v>
      </c>
      <c r="BU53" t="e">
        <f>VLOOKUP($C53,'Hist Data'!$A$2:$CN$428,'Unchained Indices'!BU$2,0)/VLOOKUP($C52,'Hist Data'!$A$2:$CN$428,'Unchained Indices'!BU$2,0)-1</f>
        <v>#N/A</v>
      </c>
      <c r="BV53" t="e">
        <f>VLOOKUP($C53,'Hist Data'!$A$2:$CN$428,'Unchained Indices'!BV$2,0)/VLOOKUP($C52,'Hist Data'!$A$2:$CN$428,'Unchained Indices'!BV$2,0)-1</f>
        <v>#N/A</v>
      </c>
      <c r="BW53" t="e">
        <f>VLOOKUP($C53,'Hist Data'!$A$2:$CN$428,'Unchained Indices'!BW$2,0)/VLOOKUP($C52,'Hist Data'!$A$2:$CN$428,'Unchained Indices'!BW$2,0)-1</f>
        <v>#N/A</v>
      </c>
      <c r="BX53" t="e">
        <f>VLOOKUP($C53,'Hist Data'!$A$2:$CN$428,'Unchained Indices'!BX$2,0)/VLOOKUP($C52,'Hist Data'!$A$2:$CN$428,'Unchained Indices'!BX$2,0)-1</f>
        <v>#N/A</v>
      </c>
      <c r="BY53" t="e">
        <f>VLOOKUP($C53,'Hist Data'!$A$2:$CN$428,'Unchained Indices'!BY$2,0)/VLOOKUP($C52,'Hist Data'!$A$2:$CN$428,'Unchained Indices'!BY$2,0)-1</f>
        <v>#N/A</v>
      </c>
      <c r="BZ53" t="e">
        <f>VLOOKUP($C53,'Hist Data'!$A$2:$CN$428,'Unchained Indices'!BZ$2,0)/VLOOKUP($C52,'Hist Data'!$A$2:$CN$428,'Unchained Indices'!BZ$2,0)-1</f>
        <v>#N/A</v>
      </c>
      <c r="CA53" t="e">
        <f>VLOOKUP($C53,'Hist Data'!$A$2:$CN$428,'Unchained Indices'!CA$2,0)/VLOOKUP($C52,'Hist Data'!$A$2:$CN$428,'Unchained Indices'!CA$2,0)-1</f>
        <v>#N/A</v>
      </c>
      <c r="CB53" t="e">
        <f>VLOOKUP($C53,'Hist Data'!$A$2:$CN$428,'Unchained Indices'!CB$2,0)/VLOOKUP($C52,'Hist Data'!$A$2:$CN$428,'Unchained Indices'!CB$2,0)-1</f>
        <v>#N/A</v>
      </c>
      <c r="CC53" t="e">
        <f>VLOOKUP($C53,'Hist Data'!$A$2:$CN$428,'Unchained Indices'!CC$2,0)/VLOOKUP($C52,'Hist Data'!$A$2:$CN$428,'Unchained Indices'!CC$2,0)-1</f>
        <v>#N/A</v>
      </c>
      <c r="CD53" t="e">
        <f>VLOOKUP($C53,'Hist Data'!$A$2:$CN$428,'Unchained Indices'!CD$2,0)/VLOOKUP($C52,'Hist Data'!$A$2:$CN$428,'Unchained Indices'!CD$2,0)-1</f>
        <v>#N/A</v>
      </c>
      <c r="CE53" t="e">
        <f>VLOOKUP($C53,'Hist Data'!$A$2:$CN$428,'Unchained Indices'!CE$2,0)/VLOOKUP($C52,'Hist Data'!$A$2:$CN$428,'Unchained Indices'!CE$2,0)-1</f>
        <v>#N/A</v>
      </c>
      <c r="CF53" t="e">
        <f>VLOOKUP($C53,'Hist Data'!$A$2:$CN$428,'Unchained Indices'!CF$2,0)/VLOOKUP($C52,'Hist Data'!$A$2:$CN$428,'Unchained Indices'!CF$2,0)-1</f>
        <v>#N/A</v>
      </c>
      <c r="CG53" t="e">
        <f>VLOOKUP($C53,'Hist Data'!$A$2:$CN$428,'Unchained Indices'!CG$2,0)/VLOOKUP($C52,'Hist Data'!$A$2:$CN$428,'Unchained Indices'!CG$2,0)-1</f>
        <v>#N/A</v>
      </c>
      <c r="CH53" t="e">
        <f>VLOOKUP($C53,'Hist Data'!$A$2:$CN$428,'Unchained Indices'!CH$2,0)/VLOOKUP($C52,'Hist Data'!$A$2:$CN$428,'Unchained Indices'!CH$2,0)-1</f>
        <v>#N/A</v>
      </c>
      <c r="CI53" t="e">
        <f>VLOOKUP($C53,'Hist Data'!$A$2:$CN$428,'Unchained Indices'!CI$2,0)/VLOOKUP($C52,'Hist Data'!$A$2:$CN$428,'Unchained Indices'!CI$2,0)-1</f>
        <v>#N/A</v>
      </c>
      <c r="CJ53" t="e">
        <f>VLOOKUP($C53,'Hist Data'!$A$2:$CN$428,'Unchained Indices'!CJ$2,0)/VLOOKUP($C52,'Hist Data'!$A$2:$CN$428,'Unchained Indices'!CJ$2,0)-1</f>
        <v>#N/A</v>
      </c>
      <c r="CK53" t="e">
        <f>VLOOKUP($C53,'Hist Data'!$A$2:$CN$428,'Unchained Indices'!CK$2,0)/VLOOKUP($C52,'Hist Data'!$A$2:$CN$428,'Unchained Indices'!CK$2,0)-1</f>
        <v>#N/A</v>
      </c>
      <c r="CL53" t="e">
        <f>VLOOKUP($C53,'Hist Data'!$A$2:$CN$428,'Unchained Indices'!CL$2,0)/VLOOKUP($C52,'Hist Data'!$A$2:$CN$428,'Unchained Indices'!CL$2,0)-1</f>
        <v>#N/A</v>
      </c>
      <c r="CM53" t="e">
        <f>VLOOKUP($C53,'Hist Data'!$A$2:$CN$428,'Unchained Indices'!CM$2,0)/VLOOKUP($C52,'Hist Data'!$A$2:$CN$428,'Unchained Indices'!CM$2,0)-1</f>
        <v>#N/A</v>
      </c>
      <c r="CN53" t="e">
        <f>VLOOKUP($C53,'Hist Data'!$A$2:$CN$428,'Unchained Indices'!CN$2,0)/VLOOKUP($C52,'Hist Data'!$A$2:$CN$428,'Unchained Indices'!CN$2,0)-1</f>
        <v>#N/A</v>
      </c>
      <c r="CO53" t="e">
        <f>VLOOKUP($C53,'Hist Data'!$A$2:$CN$428,'Unchained Indices'!CO$2,0)/VLOOKUP($C52,'Hist Data'!$A$2:$CN$428,'Unchained Indices'!CO$2,0)-1</f>
        <v>#N/A</v>
      </c>
      <c r="CP53" t="e">
        <f>VLOOKUP($C53,'Hist Data'!$A$2:$CN$428,'Unchained Indices'!CP$2,0)/VLOOKUP($C52,'Hist Data'!$A$2:$CN$428,'Unchained Indices'!CP$2,0)-1</f>
        <v>#N/A</v>
      </c>
    </row>
    <row r="54" spans="3:94" x14ac:dyDescent="0.25">
      <c r="C54" s="6">
        <f t="shared" si="10"/>
        <v>44927</v>
      </c>
      <c r="D54" t="e">
        <f>VLOOKUP($C54,'Hist Data'!$A$2:$CN$428,'Unchained Indices'!D$2,0)/VLOOKUP($C53,'Hist Data'!$A$2:$CN$428,'Unchained Indices'!D$2,0)-1</f>
        <v>#N/A</v>
      </c>
      <c r="E54" t="e">
        <f>VLOOKUP($C54,'Hist Data'!$A$2:$CN$428,'Unchained Indices'!E$2,0)/VLOOKUP($C53,'Hist Data'!$A$2:$CN$428,'Unchained Indices'!E$2,0)-1</f>
        <v>#N/A</v>
      </c>
      <c r="F54" t="e">
        <f>VLOOKUP($C54,'Hist Data'!$A$2:$CN$428,'Unchained Indices'!F$2,0)/VLOOKUP($C53,'Hist Data'!$A$2:$CN$428,'Unchained Indices'!F$2,0)-1</f>
        <v>#N/A</v>
      </c>
      <c r="G54" t="e">
        <f>VLOOKUP($C54,'Hist Data'!$A$2:$CN$428,'Unchained Indices'!G$2,0)/VLOOKUP($C53,'Hist Data'!$A$2:$CN$428,'Unchained Indices'!G$2,0)-1</f>
        <v>#N/A</v>
      </c>
      <c r="H54" t="e">
        <f>VLOOKUP($C54,'Hist Data'!$A$2:$CN$428,'Unchained Indices'!H$2,0)/VLOOKUP($C53,'Hist Data'!$A$2:$CN$428,'Unchained Indices'!H$2,0)-1</f>
        <v>#N/A</v>
      </c>
      <c r="I54" t="e">
        <f>VLOOKUP($C54,'Hist Data'!$A$2:$CN$428,'Unchained Indices'!I$2,0)/VLOOKUP($C53,'Hist Data'!$A$2:$CN$428,'Unchained Indices'!I$2,0)-1</f>
        <v>#N/A</v>
      </c>
      <c r="J54" t="e">
        <f>VLOOKUP($C54,'Hist Data'!$A$2:$CN$428,'Unchained Indices'!J$2,0)/VLOOKUP($C53,'Hist Data'!$A$2:$CN$428,'Unchained Indices'!J$2,0)-1</f>
        <v>#N/A</v>
      </c>
      <c r="K54" t="e">
        <f>VLOOKUP($C54,'Hist Data'!$A$2:$CN$428,'Unchained Indices'!K$2,0)/VLOOKUP($C53,'Hist Data'!$A$2:$CN$428,'Unchained Indices'!K$2,0)-1</f>
        <v>#N/A</v>
      </c>
      <c r="L54" t="e">
        <f>VLOOKUP($C54,'Hist Data'!$A$2:$CN$428,'Unchained Indices'!L$2,0)/VLOOKUP($C53,'Hist Data'!$A$2:$CN$428,'Unchained Indices'!L$2,0)-1</f>
        <v>#N/A</v>
      </c>
      <c r="M54" t="e">
        <f>VLOOKUP($C54,'Hist Data'!$A$2:$CN$428,'Unchained Indices'!M$2,0)/VLOOKUP($C53,'Hist Data'!$A$2:$CN$428,'Unchained Indices'!M$2,0)-1</f>
        <v>#N/A</v>
      </c>
      <c r="N54" t="e">
        <f>VLOOKUP($C54,'Hist Data'!$A$2:$CN$428,'Unchained Indices'!N$2,0)/VLOOKUP($C53,'Hist Data'!$A$2:$CN$428,'Unchained Indices'!N$2,0)-1</f>
        <v>#N/A</v>
      </c>
      <c r="O54" t="e">
        <f>VLOOKUP($C54,'Hist Data'!$A$2:$CN$428,'Unchained Indices'!O$2,0)/VLOOKUP($C53,'Hist Data'!$A$2:$CN$428,'Unchained Indices'!O$2,0)-1</f>
        <v>#N/A</v>
      </c>
      <c r="P54" t="e">
        <f>VLOOKUP($C54,'Hist Data'!$A$2:$CN$428,'Unchained Indices'!P$2,0)/VLOOKUP($C53,'Hist Data'!$A$2:$CN$428,'Unchained Indices'!P$2,0)-1</f>
        <v>#N/A</v>
      </c>
      <c r="Q54" t="e">
        <f>VLOOKUP($C54,'Hist Data'!$A$2:$CN$428,'Unchained Indices'!Q$2,0)/VLOOKUP($C53,'Hist Data'!$A$2:$CN$428,'Unchained Indices'!Q$2,0)-1</f>
        <v>#N/A</v>
      </c>
      <c r="R54" t="e">
        <f>VLOOKUP($C54,'Hist Data'!$A$2:$CN$428,'Unchained Indices'!R$2,0)/VLOOKUP($C53,'Hist Data'!$A$2:$CN$428,'Unchained Indices'!R$2,0)-1</f>
        <v>#N/A</v>
      </c>
      <c r="S54" t="e">
        <f>VLOOKUP($C54,'Hist Data'!$A$2:$CN$428,'Unchained Indices'!S$2,0)/VLOOKUP($C53,'Hist Data'!$A$2:$CN$428,'Unchained Indices'!S$2,0)-1</f>
        <v>#N/A</v>
      </c>
      <c r="T54" t="e">
        <f>VLOOKUP($C54,'Hist Data'!$A$2:$CN$428,'Unchained Indices'!T$2,0)/VLOOKUP($C53,'Hist Data'!$A$2:$CN$428,'Unchained Indices'!T$2,0)-1</f>
        <v>#N/A</v>
      </c>
      <c r="U54" t="e">
        <f>VLOOKUP($C54,'Hist Data'!$A$2:$CN$428,'Unchained Indices'!U$2,0)/VLOOKUP($C53,'Hist Data'!$A$2:$CN$428,'Unchained Indices'!U$2,0)-1</f>
        <v>#N/A</v>
      </c>
      <c r="V54" t="e">
        <f>VLOOKUP($C54,'Hist Data'!$A$2:$CN$428,'Unchained Indices'!V$2,0)/VLOOKUP($C53,'Hist Data'!$A$2:$CN$428,'Unchained Indices'!V$2,0)-1</f>
        <v>#N/A</v>
      </c>
      <c r="W54" t="e">
        <f>VLOOKUP($C54,'Hist Data'!$A$2:$CN$428,'Unchained Indices'!W$2,0)/VLOOKUP($C53,'Hist Data'!$A$2:$CN$428,'Unchained Indices'!W$2,0)-1</f>
        <v>#N/A</v>
      </c>
      <c r="X54" t="e">
        <f>VLOOKUP($C54,'Hist Data'!$A$2:$CN$428,'Unchained Indices'!X$2,0)/VLOOKUP($C53,'Hist Data'!$A$2:$CN$428,'Unchained Indices'!X$2,0)-1</f>
        <v>#N/A</v>
      </c>
      <c r="Y54" t="e">
        <f>VLOOKUP($C54,'Hist Data'!$A$2:$CN$428,'Unchained Indices'!Y$2,0)/VLOOKUP($C53,'Hist Data'!$A$2:$CN$428,'Unchained Indices'!Y$2,0)-1</f>
        <v>#N/A</v>
      </c>
      <c r="Z54" t="e">
        <f>VLOOKUP($C54,'Hist Data'!$A$2:$CN$428,'Unchained Indices'!Z$2,0)/VLOOKUP($C53,'Hist Data'!$A$2:$CN$428,'Unchained Indices'!Z$2,0)-1</f>
        <v>#N/A</v>
      </c>
      <c r="AA54" t="e">
        <f>VLOOKUP($C54,'Hist Data'!$A$2:$CN$428,'Unchained Indices'!AA$2,0)/VLOOKUP($C53,'Hist Data'!$A$2:$CN$428,'Unchained Indices'!AA$2,0)-1</f>
        <v>#N/A</v>
      </c>
      <c r="AB54" t="e">
        <f>VLOOKUP($C54,'Hist Data'!$A$2:$CN$428,'Unchained Indices'!AB$2,0)/VLOOKUP($C53,'Hist Data'!$A$2:$CN$428,'Unchained Indices'!AB$2,0)-1</f>
        <v>#N/A</v>
      </c>
      <c r="AC54" t="e">
        <f>VLOOKUP($C54,'Hist Data'!$A$2:$CN$428,'Unchained Indices'!AC$2,0)/VLOOKUP($C53,'Hist Data'!$A$2:$CN$428,'Unchained Indices'!AC$2,0)-1</f>
        <v>#N/A</v>
      </c>
      <c r="AD54" t="e">
        <f>VLOOKUP($C54,'Hist Data'!$A$2:$CN$428,'Unchained Indices'!AD$2,0)/VLOOKUP($C53,'Hist Data'!$A$2:$CN$428,'Unchained Indices'!AD$2,0)-1</f>
        <v>#N/A</v>
      </c>
      <c r="AE54" t="e">
        <f>VLOOKUP($C54,'Hist Data'!$A$2:$CN$428,'Unchained Indices'!AE$2,0)/VLOOKUP($C53,'Hist Data'!$A$2:$CN$428,'Unchained Indices'!AE$2,0)-1</f>
        <v>#N/A</v>
      </c>
      <c r="AF54" t="e">
        <f>VLOOKUP($C54,'Hist Data'!$A$2:$CN$428,'Unchained Indices'!AF$2,0)/VLOOKUP($C53,'Hist Data'!$A$2:$CN$428,'Unchained Indices'!AF$2,0)-1</f>
        <v>#N/A</v>
      </c>
      <c r="AG54" t="e">
        <f>VLOOKUP($C54,'Hist Data'!$A$2:$CN$428,'Unchained Indices'!AG$2,0)/VLOOKUP($C53,'Hist Data'!$A$2:$CN$428,'Unchained Indices'!AG$2,0)-1</f>
        <v>#N/A</v>
      </c>
      <c r="AH54" t="e">
        <f>VLOOKUP($C54,'Hist Data'!$A$2:$CN$428,'Unchained Indices'!AH$2,0)/VLOOKUP($C53,'Hist Data'!$A$2:$CN$428,'Unchained Indices'!AH$2,0)-1</f>
        <v>#N/A</v>
      </c>
      <c r="AI54" t="e">
        <f>VLOOKUP($C54,'Hist Data'!$A$2:$CN$428,'Unchained Indices'!AI$2,0)/VLOOKUP($C53,'Hist Data'!$A$2:$CN$428,'Unchained Indices'!AI$2,0)-1</f>
        <v>#N/A</v>
      </c>
      <c r="AJ54" t="e">
        <f>VLOOKUP($C54,'Hist Data'!$A$2:$CN$428,'Unchained Indices'!AJ$2,0)/VLOOKUP($C53,'Hist Data'!$A$2:$CN$428,'Unchained Indices'!AJ$2,0)-1</f>
        <v>#N/A</v>
      </c>
      <c r="AK54" t="e">
        <f>VLOOKUP($C54,'Hist Data'!$A$2:$CN$428,'Unchained Indices'!AK$2,0)/VLOOKUP($C53,'Hist Data'!$A$2:$CN$428,'Unchained Indices'!AK$2,0)-1</f>
        <v>#N/A</v>
      </c>
      <c r="AL54" t="e">
        <f>VLOOKUP($C54,'Hist Data'!$A$2:$CN$428,'Unchained Indices'!AL$2,0)/VLOOKUP($C53,'Hist Data'!$A$2:$CN$428,'Unchained Indices'!AL$2,0)-1</f>
        <v>#N/A</v>
      </c>
      <c r="AM54" t="e">
        <f>VLOOKUP($C54,'Hist Data'!$A$2:$CN$428,'Unchained Indices'!AM$2,0)/VLOOKUP($C53,'Hist Data'!$A$2:$CN$428,'Unchained Indices'!AM$2,0)-1</f>
        <v>#N/A</v>
      </c>
      <c r="AN54" t="e">
        <f>VLOOKUP($C54,'Hist Data'!$A$2:$CN$428,'Unchained Indices'!AN$2,0)/VLOOKUP($C53,'Hist Data'!$A$2:$CN$428,'Unchained Indices'!AN$2,0)-1</f>
        <v>#N/A</v>
      </c>
      <c r="AO54" t="e">
        <f>VLOOKUP($C54,'Hist Data'!$A$2:$CN$428,'Unchained Indices'!AO$2,0)/VLOOKUP($C53,'Hist Data'!$A$2:$CN$428,'Unchained Indices'!AO$2,0)-1</f>
        <v>#N/A</v>
      </c>
      <c r="AP54" t="e">
        <f>VLOOKUP($C54,'Hist Data'!$A$2:$CN$428,'Unchained Indices'!AP$2,0)/VLOOKUP($C53,'Hist Data'!$A$2:$CN$428,'Unchained Indices'!AP$2,0)-1</f>
        <v>#N/A</v>
      </c>
      <c r="AQ54" t="e">
        <f>VLOOKUP($C54,'Hist Data'!$A$2:$CN$428,'Unchained Indices'!AQ$2,0)/VLOOKUP($C53,'Hist Data'!$A$2:$CN$428,'Unchained Indices'!AQ$2,0)-1</f>
        <v>#N/A</v>
      </c>
      <c r="AR54" t="e">
        <f>VLOOKUP($C54,'Hist Data'!$A$2:$CN$428,'Unchained Indices'!AR$2,0)/VLOOKUP($C53,'Hist Data'!$A$2:$CN$428,'Unchained Indices'!AR$2,0)-1</f>
        <v>#N/A</v>
      </c>
      <c r="AS54" t="e">
        <f>VLOOKUP($C54,'Hist Data'!$A$2:$CN$428,'Unchained Indices'!AS$2,0)/VLOOKUP($C53,'Hist Data'!$A$2:$CN$428,'Unchained Indices'!AS$2,0)-1</f>
        <v>#N/A</v>
      </c>
      <c r="AT54" t="e">
        <f>VLOOKUP($C54,'Hist Data'!$A$2:$CN$428,'Unchained Indices'!AT$2,0)/VLOOKUP($C53,'Hist Data'!$A$2:$CN$428,'Unchained Indices'!AT$2,0)-1</f>
        <v>#N/A</v>
      </c>
      <c r="AU54" t="e">
        <f>VLOOKUP($C54,'Hist Data'!$A$2:$CN$428,'Unchained Indices'!AU$2,0)/VLOOKUP($C53,'Hist Data'!$A$2:$CN$428,'Unchained Indices'!AU$2,0)-1</f>
        <v>#N/A</v>
      </c>
      <c r="AV54" t="e">
        <f>VLOOKUP($C54,'Hist Data'!$A$2:$CN$428,'Unchained Indices'!AV$2,0)/VLOOKUP($C53,'Hist Data'!$A$2:$CN$428,'Unchained Indices'!AV$2,0)-1</f>
        <v>#N/A</v>
      </c>
      <c r="AW54" t="e">
        <f>VLOOKUP($C54,'Hist Data'!$A$2:$CN$428,'Unchained Indices'!AW$2,0)/VLOOKUP($C53,'Hist Data'!$A$2:$CN$428,'Unchained Indices'!AW$2,0)-1</f>
        <v>#N/A</v>
      </c>
      <c r="AX54" t="e">
        <f>VLOOKUP($C54,'Hist Data'!$A$2:$CN$428,'Unchained Indices'!AX$2,0)/VLOOKUP($C53,'Hist Data'!$A$2:$CN$428,'Unchained Indices'!AX$2,0)-1</f>
        <v>#N/A</v>
      </c>
      <c r="AY54" t="e">
        <f>VLOOKUP($C54,'Hist Data'!$A$2:$CN$428,'Unchained Indices'!AY$2,0)/VLOOKUP($C53,'Hist Data'!$A$2:$CN$428,'Unchained Indices'!AY$2,0)-1</f>
        <v>#N/A</v>
      </c>
      <c r="AZ54" t="e">
        <f>VLOOKUP($C54,'Hist Data'!$A$2:$CN$428,'Unchained Indices'!AZ$2,0)/VLOOKUP($C53,'Hist Data'!$A$2:$CN$428,'Unchained Indices'!AZ$2,0)-1</f>
        <v>#N/A</v>
      </c>
      <c r="BA54" t="e">
        <f>VLOOKUP($C54,'Hist Data'!$A$2:$CN$428,'Unchained Indices'!BA$2,0)/VLOOKUP($C53,'Hist Data'!$A$2:$CN$428,'Unchained Indices'!BA$2,0)-1</f>
        <v>#N/A</v>
      </c>
      <c r="BB54" t="e">
        <f>VLOOKUP($C54,'Hist Data'!$A$2:$CN$428,'Unchained Indices'!BB$2,0)/VLOOKUP($C53,'Hist Data'!$A$2:$CN$428,'Unchained Indices'!BB$2,0)-1</f>
        <v>#N/A</v>
      </c>
      <c r="BC54" t="e">
        <f>VLOOKUP($C54,'Hist Data'!$A$2:$CN$428,'Unchained Indices'!BC$2,0)/VLOOKUP($C53,'Hist Data'!$A$2:$CN$428,'Unchained Indices'!BC$2,0)-1</f>
        <v>#N/A</v>
      </c>
      <c r="BD54" t="e">
        <f>VLOOKUP($C54,'Hist Data'!$A$2:$CN$428,'Unchained Indices'!BD$2,0)/VLOOKUP($C53,'Hist Data'!$A$2:$CN$428,'Unchained Indices'!BD$2,0)-1</f>
        <v>#N/A</v>
      </c>
      <c r="BE54" t="e">
        <f>VLOOKUP($C54,'Hist Data'!$A$2:$CN$428,'Unchained Indices'!BE$2,0)/VLOOKUP($C53,'Hist Data'!$A$2:$CN$428,'Unchained Indices'!BE$2,0)-1</f>
        <v>#N/A</v>
      </c>
      <c r="BF54" t="e">
        <f>VLOOKUP($C54,'Hist Data'!$A$2:$CN$428,'Unchained Indices'!BF$2,0)/VLOOKUP($C53,'Hist Data'!$A$2:$CN$428,'Unchained Indices'!BF$2,0)-1</f>
        <v>#N/A</v>
      </c>
      <c r="BG54" t="e">
        <f>VLOOKUP($C54,'Hist Data'!$A$2:$CN$428,'Unchained Indices'!BG$2,0)/VLOOKUP($C53,'Hist Data'!$A$2:$CN$428,'Unchained Indices'!BG$2,0)-1</f>
        <v>#N/A</v>
      </c>
      <c r="BH54" t="e">
        <f>VLOOKUP($C54,'Hist Data'!$A$2:$CN$428,'Unchained Indices'!BH$2,0)/VLOOKUP($C53,'Hist Data'!$A$2:$CN$428,'Unchained Indices'!BH$2,0)-1</f>
        <v>#N/A</v>
      </c>
      <c r="BI54" t="e">
        <f>VLOOKUP($C54,'Hist Data'!$A$2:$CN$428,'Unchained Indices'!BI$2,0)/VLOOKUP($C53,'Hist Data'!$A$2:$CN$428,'Unchained Indices'!BI$2,0)-1</f>
        <v>#N/A</v>
      </c>
      <c r="BJ54" t="e">
        <f>VLOOKUP($C54,'Hist Data'!$A$2:$CN$428,'Unchained Indices'!BJ$2,0)/VLOOKUP($C53,'Hist Data'!$A$2:$CN$428,'Unchained Indices'!BJ$2,0)-1</f>
        <v>#N/A</v>
      </c>
      <c r="BK54" t="e">
        <f>VLOOKUP($C54,'Hist Data'!$A$2:$CN$428,'Unchained Indices'!BK$2,0)/VLOOKUP($C53,'Hist Data'!$A$2:$CN$428,'Unchained Indices'!BK$2,0)-1</f>
        <v>#N/A</v>
      </c>
      <c r="BL54" t="e">
        <f>VLOOKUP($C54,'Hist Data'!$A$2:$CN$428,'Unchained Indices'!BL$2,0)/VLOOKUP($C53,'Hist Data'!$A$2:$CN$428,'Unchained Indices'!BL$2,0)-1</f>
        <v>#N/A</v>
      </c>
      <c r="BM54" t="e">
        <f>VLOOKUP($C54,'Hist Data'!$A$2:$CN$428,'Unchained Indices'!BM$2,0)/VLOOKUP($C53,'Hist Data'!$A$2:$CN$428,'Unchained Indices'!BM$2,0)-1</f>
        <v>#N/A</v>
      </c>
      <c r="BN54" t="e">
        <f>VLOOKUP($C54,'Hist Data'!$A$2:$CN$428,'Unchained Indices'!BN$2,0)/VLOOKUP($C53,'Hist Data'!$A$2:$CN$428,'Unchained Indices'!BN$2,0)-1</f>
        <v>#N/A</v>
      </c>
      <c r="BO54" t="e">
        <f>VLOOKUP($C54,'Hist Data'!$A$2:$CN$428,'Unchained Indices'!BO$2,0)/VLOOKUP($C53,'Hist Data'!$A$2:$CN$428,'Unchained Indices'!BO$2,0)-1</f>
        <v>#N/A</v>
      </c>
      <c r="BP54" t="e">
        <f>VLOOKUP($C54,'Hist Data'!$A$2:$CN$428,'Unchained Indices'!BP$2,0)/VLOOKUP($C53,'Hist Data'!$A$2:$CN$428,'Unchained Indices'!BP$2,0)-1</f>
        <v>#N/A</v>
      </c>
      <c r="BQ54" t="e">
        <f>VLOOKUP($C54,'Hist Data'!$A$2:$CN$428,'Unchained Indices'!BQ$2,0)/VLOOKUP($C53,'Hist Data'!$A$2:$CN$428,'Unchained Indices'!BQ$2,0)-1</f>
        <v>#N/A</v>
      </c>
      <c r="BR54" t="e">
        <f>VLOOKUP($C54,'Hist Data'!$A$2:$CN$428,'Unchained Indices'!BR$2,0)/VLOOKUP($C53,'Hist Data'!$A$2:$CN$428,'Unchained Indices'!BR$2,0)-1</f>
        <v>#N/A</v>
      </c>
      <c r="BS54" t="e">
        <f>VLOOKUP($C54,'Hist Data'!$A$2:$CN$428,'Unchained Indices'!BS$2,0)/VLOOKUP($C53,'Hist Data'!$A$2:$CN$428,'Unchained Indices'!BS$2,0)-1</f>
        <v>#N/A</v>
      </c>
      <c r="BT54" t="e">
        <f>VLOOKUP($C54,'Hist Data'!$A$2:$CN$428,'Unchained Indices'!BT$2,0)/VLOOKUP($C53,'Hist Data'!$A$2:$CN$428,'Unchained Indices'!BT$2,0)-1</f>
        <v>#N/A</v>
      </c>
      <c r="BU54" t="e">
        <f>VLOOKUP($C54,'Hist Data'!$A$2:$CN$428,'Unchained Indices'!BU$2,0)/VLOOKUP($C53,'Hist Data'!$A$2:$CN$428,'Unchained Indices'!BU$2,0)-1</f>
        <v>#N/A</v>
      </c>
      <c r="BV54" t="e">
        <f>VLOOKUP($C54,'Hist Data'!$A$2:$CN$428,'Unchained Indices'!BV$2,0)/VLOOKUP($C53,'Hist Data'!$A$2:$CN$428,'Unchained Indices'!BV$2,0)-1</f>
        <v>#N/A</v>
      </c>
      <c r="BW54" t="e">
        <f>VLOOKUP($C54,'Hist Data'!$A$2:$CN$428,'Unchained Indices'!BW$2,0)/VLOOKUP($C53,'Hist Data'!$A$2:$CN$428,'Unchained Indices'!BW$2,0)-1</f>
        <v>#N/A</v>
      </c>
      <c r="BX54" t="e">
        <f>VLOOKUP($C54,'Hist Data'!$A$2:$CN$428,'Unchained Indices'!BX$2,0)/VLOOKUP($C53,'Hist Data'!$A$2:$CN$428,'Unchained Indices'!BX$2,0)-1</f>
        <v>#N/A</v>
      </c>
      <c r="BY54" t="e">
        <f>VLOOKUP($C54,'Hist Data'!$A$2:$CN$428,'Unchained Indices'!BY$2,0)/VLOOKUP($C53,'Hist Data'!$A$2:$CN$428,'Unchained Indices'!BY$2,0)-1</f>
        <v>#N/A</v>
      </c>
      <c r="BZ54" t="e">
        <f>VLOOKUP($C54,'Hist Data'!$A$2:$CN$428,'Unchained Indices'!BZ$2,0)/VLOOKUP($C53,'Hist Data'!$A$2:$CN$428,'Unchained Indices'!BZ$2,0)-1</f>
        <v>#N/A</v>
      </c>
      <c r="CA54" t="e">
        <f>VLOOKUP($C54,'Hist Data'!$A$2:$CN$428,'Unchained Indices'!CA$2,0)/VLOOKUP($C53,'Hist Data'!$A$2:$CN$428,'Unchained Indices'!CA$2,0)-1</f>
        <v>#N/A</v>
      </c>
      <c r="CB54" t="e">
        <f>VLOOKUP($C54,'Hist Data'!$A$2:$CN$428,'Unchained Indices'!CB$2,0)/VLOOKUP($C53,'Hist Data'!$A$2:$CN$428,'Unchained Indices'!CB$2,0)-1</f>
        <v>#N/A</v>
      </c>
      <c r="CC54" t="e">
        <f>VLOOKUP($C54,'Hist Data'!$A$2:$CN$428,'Unchained Indices'!CC$2,0)/VLOOKUP($C53,'Hist Data'!$A$2:$CN$428,'Unchained Indices'!CC$2,0)-1</f>
        <v>#N/A</v>
      </c>
      <c r="CD54" t="e">
        <f>VLOOKUP($C54,'Hist Data'!$A$2:$CN$428,'Unchained Indices'!CD$2,0)/VLOOKUP($C53,'Hist Data'!$A$2:$CN$428,'Unchained Indices'!CD$2,0)-1</f>
        <v>#N/A</v>
      </c>
      <c r="CE54" t="e">
        <f>VLOOKUP($C54,'Hist Data'!$A$2:$CN$428,'Unchained Indices'!CE$2,0)/VLOOKUP($C53,'Hist Data'!$A$2:$CN$428,'Unchained Indices'!CE$2,0)-1</f>
        <v>#N/A</v>
      </c>
      <c r="CF54" t="e">
        <f>VLOOKUP($C54,'Hist Data'!$A$2:$CN$428,'Unchained Indices'!CF$2,0)/VLOOKUP($C53,'Hist Data'!$A$2:$CN$428,'Unchained Indices'!CF$2,0)-1</f>
        <v>#N/A</v>
      </c>
      <c r="CG54" t="e">
        <f>VLOOKUP($C54,'Hist Data'!$A$2:$CN$428,'Unchained Indices'!CG$2,0)/VLOOKUP($C53,'Hist Data'!$A$2:$CN$428,'Unchained Indices'!CG$2,0)-1</f>
        <v>#N/A</v>
      </c>
      <c r="CH54" t="e">
        <f>VLOOKUP($C54,'Hist Data'!$A$2:$CN$428,'Unchained Indices'!CH$2,0)/VLOOKUP($C53,'Hist Data'!$A$2:$CN$428,'Unchained Indices'!CH$2,0)-1</f>
        <v>#N/A</v>
      </c>
      <c r="CI54" t="e">
        <f>VLOOKUP($C54,'Hist Data'!$A$2:$CN$428,'Unchained Indices'!CI$2,0)/VLOOKUP($C53,'Hist Data'!$A$2:$CN$428,'Unchained Indices'!CI$2,0)-1</f>
        <v>#N/A</v>
      </c>
      <c r="CJ54" t="e">
        <f>VLOOKUP($C54,'Hist Data'!$A$2:$CN$428,'Unchained Indices'!CJ$2,0)/VLOOKUP($C53,'Hist Data'!$A$2:$CN$428,'Unchained Indices'!CJ$2,0)-1</f>
        <v>#N/A</v>
      </c>
      <c r="CK54" t="e">
        <f>VLOOKUP($C54,'Hist Data'!$A$2:$CN$428,'Unchained Indices'!CK$2,0)/VLOOKUP($C53,'Hist Data'!$A$2:$CN$428,'Unchained Indices'!CK$2,0)-1</f>
        <v>#N/A</v>
      </c>
      <c r="CL54" t="e">
        <f>VLOOKUP($C54,'Hist Data'!$A$2:$CN$428,'Unchained Indices'!CL$2,0)/VLOOKUP($C53,'Hist Data'!$A$2:$CN$428,'Unchained Indices'!CL$2,0)-1</f>
        <v>#N/A</v>
      </c>
      <c r="CM54" t="e">
        <f>VLOOKUP($C54,'Hist Data'!$A$2:$CN$428,'Unchained Indices'!CM$2,0)/VLOOKUP($C53,'Hist Data'!$A$2:$CN$428,'Unchained Indices'!CM$2,0)-1</f>
        <v>#N/A</v>
      </c>
      <c r="CN54" t="e">
        <f>VLOOKUP($C54,'Hist Data'!$A$2:$CN$428,'Unchained Indices'!CN$2,0)/VLOOKUP($C53,'Hist Data'!$A$2:$CN$428,'Unchained Indices'!CN$2,0)-1</f>
        <v>#N/A</v>
      </c>
      <c r="CO54" t="e">
        <f>VLOOKUP($C54,'Hist Data'!$A$2:$CN$428,'Unchained Indices'!CO$2,0)/VLOOKUP($C53,'Hist Data'!$A$2:$CN$428,'Unchained Indices'!CO$2,0)-1</f>
        <v>#N/A</v>
      </c>
      <c r="CP54" t="e">
        <f>VLOOKUP($C54,'Hist Data'!$A$2:$CN$428,'Unchained Indices'!CP$2,0)/VLOOKUP($C53,'Hist Data'!$A$2:$CN$428,'Unchained Indices'!CP$2,0)-1</f>
        <v>#N/A</v>
      </c>
    </row>
    <row r="55" spans="3:94" x14ac:dyDescent="0.25">
      <c r="C55" s="6">
        <f t="shared" si="10"/>
        <v>0</v>
      </c>
      <c r="D55" t="e">
        <f>VLOOKUP($C55,'Hist Data'!$A$2:$CN$428,'Unchained Indices'!D$2,0)/VLOOKUP($C54,'Hist Data'!$A$2:$CN$428,'Unchained Indices'!D$2,0)-1</f>
        <v>#N/A</v>
      </c>
      <c r="E55" t="e">
        <f>VLOOKUP($C55,'Hist Data'!$A$2:$CN$428,'Unchained Indices'!E$2,0)/VLOOKUP($C54,'Hist Data'!$A$2:$CN$428,'Unchained Indices'!E$2,0)-1</f>
        <v>#N/A</v>
      </c>
      <c r="F55" t="e">
        <f>VLOOKUP($C55,'Hist Data'!$A$2:$CN$428,'Unchained Indices'!F$2,0)/VLOOKUP($C54,'Hist Data'!$A$2:$CN$428,'Unchained Indices'!F$2,0)-1</f>
        <v>#N/A</v>
      </c>
      <c r="G55" t="e">
        <f>VLOOKUP($C55,'Hist Data'!$A$2:$CN$428,'Unchained Indices'!G$2,0)/VLOOKUP($C54,'Hist Data'!$A$2:$CN$428,'Unchained Indices'!G$2,0)-1</f>
        <v>#N/A</v>
      </c>
      <c r="H55" t="e">
        <f>VLOOKUP($C55,'Hist Data'!$A$2:$CN$428,'Unchained Indices'!H$2,0)/VLOOKUP($C54,'Hist Data'!$A$2:$CN$428,'Unchained Indices'!H$2,0)-1</f>
        <v>#N/A</v>
      </c>
      <c r="I55" t="e">
        <f>VLOOKUP($C55,'Hist Data'!$A$2:$CN$428,'Unchained Indices'!I$2,0)/VLOOKUP($C54,'Hist Data'!$A$2:$CN$428,'Unchained Indices'!I$2,0)-1</f>
        <v>#N/A</v>
      </c>
      <c r="J55" t="e">
        <f>VLOOKUP($C55,'Hist Data'!$A$2:$CN$428,'Unchained Indices'!J$2,0)/VLOOKUP($C54,'Hist Data'!$A$2:$CN$428,'Unchained Indices'!J$2,0)-1</f>
        <v>#N/A</v>
      </c>
      <c r="K55" t="e">
        <f>VLOOKUP($C55,'Hist Data'!$A$2:$CN$428,'Unchained Indices'!K$2,0)/VLOOKUP($C54,'Hist Data'!$A$2:$CN$428,'Unchained Indices'!K$2,0)-1</f>
        <v>#N/A</v>
      </c>
      <c r="L55" t="e">
        <f>VLOOKUP($C55,'Hist Data'!$A$2:$CN$428,'Unchained Indices'!L$2,0)/VLOOKUP($C54,'Hist Data'!$A$2:$CN$428,'Unchained Indices'!L$2,0)-1</f>
        <v>#N/A</v>
      </c>
      <c r="M55" t="e">
        <f>VLOOKUP($C55,'Hist Data'!$A$2:$CN$428,'Unchained Indices'!M$2,0)/VLOOKUP($C54,'Hist Data'!$A$2:$CN$428,'Unchained Indices'!M$2,0)-1</f>
        <v>#N/A</v>
      </c>
      <c r="N55" t="e">
        <f>VLOOKUP($C55,'Hist Data'!$A$2:$CN$428,'Unchained Indices'!N$2,0)/VLOOKUP($C54,'Hist Data'!$A$2:$CN$428,'Unchained Indices'!N$2,0)-1</f>
        <v>#N/A</v>
      </c>
      <c r="O55" t="e">
        <f>VLOOKUP($C55,'Hist Data'!$A$2:$CN$428,'Unchained Indices'!O$2,0)/VLOOKUP($C54,'Hist Data'!$A$2:$CN$428,'Unchained Indices'!O$2,0)-1</f>
        <v>#N/A</v>
      </c>
      <c r="P55" t="e">
        <f>VLOOKUP($C55,'Hist Data'!$A$2:$CN$428,'Unchained Indices'!P$2,0)/VLOOKUP($C54,'Hist Data'!$A$2:$CN$428,'Unchained Indices'!P$2,0)-1</f>
        <v>#N/A</v>
      </c>
      <c r="Q55" t="e">
        <f>VLOOKUP($C55,'Hist Data'!$A$2:$CN$428,'Unchained Indices'!Q$2,0)/VLOOKUP($C54,'Hist Data'!$A$2:$CN$428,'Unchained Indices'!Q$2,0)-1</f>
        <v>#N/A</v>
      </c>
      <c r="R55" t="e">
        <f>VLOOKUP($C55,'Hist Data'!$A$2:$CN$428,'Unchained Indices'!R$2,0)/VLOOKUP($C54,'Hist Data'!$A$2:$CN$428,'Unchained Indices'!R$2,0)-1</f>
        <v>#N/A</v>
      </c>
      <c r="S55" t="e">
        <f>VLOOKUP($C55,'Hist Data'!$A$2:$CN$428,'Unchained Indices'!S$2,0)/VLOOKUP($C54,'Hist Data'!$A$2:$CN$428,'Unchained Indices'!S$2,0)-1</f>
        <v>#N/A</v>
      </c>
      <c r="T55" t="e">
        <f>VLOOKUP($C55,'Hist Data'!$A$2:$CN$428,'Unchained Indices'!T$2,0)/VLOOKUP($C54,'Hist Data'!$A$2:$CN$428,'Unchained Indices'!T$2,0)-1</f>
        <v>#N/A</v>
      </c>
      <c r="U55" t="e">
        <f>VLOOKUP($C55,'Hist Data'!$A$2:$CN$428,'Unchained Indices'!U$2,0)/VLOOKUP($C54,'Hist Data'!$A$2:$CN$428,'Unchained Indices'!U$2,0)-1</f>
        <v>#N/A</v>
      </c>
      <c r="V55" t="e">
        <f>VLOOKUP($C55,'Hist Data'!$A$2:$CN$428,'Unchained Indices'!V$2,0)/VLOOKUP($C54,'Hist Data'!$A$2:$CN$428,'Unchained Indices'!V$2,0)-1</f>
        <v>#N/A</v>
      </c>
      <c r="W55" t="e">
        <f>VLOOKUP($C55,'Hist Data'!$A$2:$CN$428,'Unchained Indices'!W$2,0)/VLOOKUP($C54,'Hist Data'!$A$2:$CN$428,'Unchained Indices'!W$2,0)-1</f>
        <v>#N/A</v>
      </c>
      <c r="X55" t="e">
        <f>VLOOKUP($C55,'Hist Data'!$A$2:$CN$428,'Unchained Indices'!X$2,0)/VLOOKUP($C54,'Hist Data'!$A$2:$CN$428,'Unchained Indices'!X$2,0)-1</f>
        <v>#N/A</v>
      </c>
      <c r="Y55" t="e">
        <f>VLOOKUP($C55,'Hist Data'!$A$2:$CN$428,'Unchained Indices'!Y$2,0)/VLOOKUP($C54,'Hist Data'!$A$2:$CN$428,'Unchained Indices'!Y$2,0)-1</f>
        <v>#N/A</v>
      </c>
      <c r="Z55" t="e">
        <f>VLOOKUP($C55,'Hist Data'!$A$2:$CN$428,'Unchained Indices'!Z$2,0)/VLOOKUP($C54,'Hist Data'!$A$2:$CN$428,'Unchained Indices'!Z$2,0)-1</f>
        <v>#N/A</v>
      </c>
      <c r="AA55" t="e">
        <f>VLOOKUP($C55,'Hist Data'!$A$2:$CN$428,'Unchained Indices'!AA$2,0)/VLOOKUP($C54,'Hist Data'!$A$2:$CN$428,'Unchained Indices'!AA$2,0)-1</f>
        <v>#N/A</v>
      </c>
      <c r="AB55" t="e">
        <f>VLOOKUP($C55,'Hist Data'!$A$2:$CN$428,'Unchained Indices'!AB$2,0)/VLOOKUP($C54,'Hist Data'!$A$2:$CN$428,'Unchained Indices'!AB$2,0)-1</f>
        <v>#N/A</v>
      </c>
      <c r="AC55" t="e">
        <f>VLOOKUP($C55,'Hist Data'!$A$2:$CN$428,'Unchained Indices'!AC$2,0)/VLOOKUP($C54,'Hist Data'!$A$2:$CN$428,'Unchained Indices'!AC$2,0)-1</f>
        <v>#N/A</v>
      </c>
      <c r="AD55" t="e">
        <f>VLOOKUP($C55,'Hist Data'!$A$2:$CN$428,'Unchained Indices'!AD$2,0)/VLOOKUP($C54,'Hist Data'!$A$2:$CN$428,'Unchained Indices'!AD$2,0)-1</f>
        <v>#N/A</v>
      </c>
      <c r="AE55" t="e">
        <f>VLOOKUP($C55,'Hist Data'!$A$2:$CN$428,'Unchained Indices'!AE$2,0)/VLOOKUP($C54,'Hist Data'!$A$2:$CN$428,'Unchained Indices'!AE$2,0)-1</f>
        <v>#N/A</v>
      </c>
      <c r="AF55" t="e">
        <f>VLOOKUP($C55,'Hist Data'!$A$2:$CN$428,'Unchained Indices'!AF$2,0)/VLOOKUP($C54,'Hist Data'!$A$2:$CN$428,'Unchained Indices'!AF$2,0)-1</f>
        <v>#N/A</v>
      </c>
      <c r="AG55" t="e">
        <f>VLOOKUP($C55,'Hist Data'!$A$2:$CN$428,'Unchained Indices'!AG$2,0)/VLOOKUP($C54,'Hist Data'!$A$2:$CN$428,'Unchained Indices'!AG$2,0)-1</f>
        <v>#N/A</v>
      </c>
      <c r="AH55" t="e">
        <f>VLOOKUP($C55,'Hist Data'!$A$2:$CN$428,'Unchained Indices'!AH$2,0)/VLOOKUP($C54,'Hist Data'!$A$2:$CN$428,'Unchained Indices'!AH$2,0)-1</f>
        <v>#N/A</v>
      </c>
      <c r="AI55" t="e">
        <f>VLOOKUP($C55,'Hist Data'!$A$2:$CN$428,'Unchained Indices'!AI$2,0)/VLOOKUP($C54,'Hist Data'!$A$2:$CN$428,'Unchained Indices'!AI$2,0)-1</f>
        <v>#N/A</v>
      </c>
      <c r="AJ55" t="e">
        <f>VLOOKUP($C55,'Hist Data'!$A$2:$CN$428,'Unchained Indices'!AJ$2,0)/VLOOKUP($C54,'Hist Data'!$A$2:$CN$428,'Unchained Indices'!AJ$2,0)-1</f>
        <v>#N/A</v>
      </c>
      <c r="AK55" t="e">
        <f>VLOOKUP($C55,'Hist Data'!$A$2:$CN$428,'Unchained Indices'!AK$2,0)/VLOOKUP($C54,'Hist Data'!$A$2:$CN$428,'Unchained Indices'!AK$2,0)-1</f>
        <v>#N/A</v>
      </c>
      <c r="AL55" t="e">
        <f>VLOOKUP($C55,'Hist Data'!$A$2:$CN$428,'Unchained Indices'!AL$2,0)/VLOOKUP($C54,'Hist Data'!$A$2:$CN$428,'Unchained Indices'!AL$2,0)-1</f>
        <v>#N/A</v>
      </c>
      <c r="AM55" t="e">
        <f>VLOOKUP($C55,'Hist Data'!$A$2:$CN$428,'Unchained Indices'!AM$2,0)/VLOOKUP($C54,'Hist Data'!$A$2:$CN$428,'Unchained Indices'!AM$2,0)-1</f>
        <v>#N/A</v>
      </c>
      <c r="AN55" t="e">
        <f>VLOOKUP($C55,'Hist Data'!$A$2:$CN$428,'Unchained Indices'!AN$2,0)/VLOOKUP($C54,'Hist Data'!$A$2:$CN$428,'Unchained Indices'!AN$2,0)-1</f>
        <v>#N/A</v>
      </c>
      <c r="AO55" t="e">
        <f>VLOOKUP($C55,'Hist Data'!$A$2:$CN$428,'Unchained Indices'!AO$2,0)/VLOOKUP($C54,'Hist Data'!$A$2:$CN$428,'Unchained Indices'!AO$2,0)-1</f>
        <v>#N/A</v>
      </c>
      <c r="AP55" t="e">
        <f>VLOOKUP($C55,'Hist Data'!$A$2:$CN$428,'Unchained Indices'!AP$2,0)/VLOOKUP($C54,'Hist Data'!$A$2:$CN$428,'Unchained Indices'!AP$2,0)-1</f>
        <v>#N/A</v>
      </c>
      <c r="AQ55" t="e">
        <f>VLOOKUP($C55,'Hist Data'!$A$2:$CN$428,'Unchained Indices'!AQ$2,0)/VLOOKUP($C54,'Hist Data'!$A$2:$CN$428,'Unchained Indices'!AQ$2,0)-1</f>
        <v>#N/A</v>
      </c>
      <c r="AR55" t="e">
        <f>VLOOKUP($C55,'Hist Data'!$A$2:$CN$428,'Unchained Indices'!AR$2,0)/VLOOKUP($C54,'Hist Data'!$A$2:$CN$428,'Unchained Indices'!AR$2,0)-1</f>
        <v>#N/A</v>
      </c>
      <c r="AS55" t="e">
        <f>VLOOKUP($C55,'Hist Data'!$A$2:$CN$428,'Unchained Indices'!AS$2,0)/VLOOKUP($C54,'Hist Data'!$A$2:$CN$428,'Unchained Indices'!AS$2,0)-1</f>
        <v>#N/A</v>
      </c>
      <c r="AT55" t="e">
        <f>VLOOKUP($C55,'Hist Data'!$A$2:$CN$428,'Unchained Indices'!AT$2,0)/VLOOKUP($C54,'Hist Data'!$A$2:$CN$428,'Unchained Indices'!AT$2,0)-1</f>
        <v>#N/A</v>
      </c>
      <c r="AU55" t="e">
        <f>VLOOKUP($C55,'Hist Data'!$A$2:$CN$428,'Unchained Indices'!AU$2,0)/VLOOKUP($C54,'Hist Data'!$A$2:$CN$428,'Unchained Indices'!AU$2,0)-1</f>
        <v>#N/A</v>
      </c>
      <c r="AV55" t="e">
        <f>VLOOKUP($C55,'Hist Data'!$A$2:$CN$428,'Unchained Indices'!AV$2,0)/VLOOKUP($C54,'Hist Data'!$A$2:$CN$428,'Unchained Indices'!AV$2,0)-1</f>
        <v>#N/A</v>
      </c>
      <c r="AW55" t="e">
        <f>VLOOKUP($C55,'Hist Data'!$A$2:$CN$428,'Unchained Indices'!AW$2,0)/VLOOKUP($C54,'Hist Data'!$A$2:$CN$428,'Unchained Indices'!AW$2,0)-1</f>
        <v>#N/A</v>
      </c>
      <c r="AX55" t="e">
        <f>VLOOKUP($C55,'Hist Data'!$A$2:$CN$428,'Unchained Indices'!AX$2,0)/VLOOKUP($C54,'Hist Data'!$A$2:$CN$428,'Unchained Indices'!AX$2,0)-1</f>
        <v>#N/A</v>
      </c>
      <c r="AY55" t="e">
        <f>VLOOKUP($C55,'Hist Data'!$A$2:$CN$428,'Unchained Indices'!AY$2,0)/VLOOKUP($C54,'Hist Data'!$A$2:$CN$428,'Unchained Indices'!AY$2,0)-1</f>
        <v>#N/A</v>
      </c>
      <c r="AZ55" t="e">
        <f>VLOOKUP($C55,'Hist Data'!$A$2:$CN$428,'Unchained Indices'!AZ$2,0)/VLOOKUP($C54,'Hist Data'!$A$2:$CN$428,'Unchained Indices'!AZ$2,0)-1</f>
        <v>#N/A</v>
      </c>
      <c r="BA55" t="e">
        <f>VLOOKUP($C55,'Hist Data'!$A$2:$CN$428,'Unchained Indices'!BA$2,0)/VLOOKUP($C54,'Hist Data'!$A$2:$CN$428,'Unchained Indices'!BA$2,0)-1</f>
        <v>#N/A</v>
      </c>
      <c r="BB55" t="e">
        <f>VLOOKUP($C55,'Hist Data'!$A$2:$CN$428,'Unchained Indices'!BB$2,0)/VLOOKUP($C54,'Hist Data'!$A$2:$CN$428,'Unchained Indices'!BB$2,0)-1</f>
        <v>#N/A</v>
      </c>
      <c r="BC55" t="e">
        <f>VLOOKUP($C55,'Hist Data'!$A$2:$CN$428,'Unchained Indices'!BC$2,0)/VLOOKUP($C54,'Hist Data'!$A$2:$CN$428,'Unchained Indices'!BC$2,0)-1</f>
        <v>#N/A</v>
      </c>
      <c r="BD55" t="e">
        <f>VLOOKUP($C55,'Hist Data'!$A$2:$CN$428,'Unchained Indices'!BD$2,0)/VLOOKUP($C54,'Hist Data'!$A$2:$CN$428,'Unchained Indices'!BD$2,0)-1</f>
        <v>#N/A</v>
      </c>
      <c r="BE55" t="e">
        <f>VLOOKUP($C55,'Hist Data'!$A$2:$CN$428,'Unchained Indices'!BE$2,0)/VLOOKUP($C54,'Hist Data'!$A$2:$CN$428,'Unchained Indices'!BE$2,0)-1</f>
        <v>#N/A</v>
      </c>
      <c r="BF55" t="e">
        <f>VLOOKUP($C55,'Hist Data'!$A$2:$CN$428,'Unchained Indices'!BF$2,0)/VLOOKUP($C54,'Hist Data'!$A$2:$CN$428,'Unchained Indices'!BF$2,0)-1</f>
        <v>#N/A</v>
      </c>
      <c r="BG55" t="e">
        <f>VLOOKUP($C55,'Hist Data'!$A$2:$CN$428,'Unchained Indices'!BG$2,0)/VLOOKUP($C54,'Hist Data'!$A$2:$CN$428,'Unchained Indices'!BG$2,0)-1</f>
        <v>#N/A</v>
      </c>
      <c r="BH55" t="e">
        <f>VLOOKUP($C55,'Hist Data'!$A$2:$CN$428,'Unchained Indices'!BH$2,0)/VLOOKUP($C54,'Hist Data'!$A$2:$CN$428,'Unchained Indices'!BH$2,0)-1</f>
        <v>#N/A</v>
      </c>
      <c r="BI55" t="e">
        <f>VLOOKUP($C55,'Hist Data'!$A$2:$CN$428,'Unchained Indices'!BI$2,0)/VLOOKUP($C54,'Hist Data'!$A$2:$CN$428,'Unchained Indices'!BI$2,0)-1</f>
        <v>#N/A</v>
      </c>
      <c r="BJ55" t="e">
        <f>VLOOKUP($C55,'Hist Data'!$A$2:$CN$428,'Unchained Indices'!BJ$2,0)/VLOOKUP($C54,'Hist Data'!$A$2:$CN$428,'Unchained Indices'!BJ$2,0)-1</f>
        <v>#N/A</v>
      </c>
      <c r="BK55" t="e">
        <f>VLOOKUP($C55,'Hist Data'!$A$2:$CN$428,'Unchained Indices'!BK$2,0)/VLOOKUP($C54,'Hist Data'!$A$2:$CN$428,'Unchained Indices'!BK$2,0)-1</f>
        <v>#N/A</v>
      </c>
      <c r="BL55" t="e">
        <f>VLOOKUP($C55,'Hist Data'!$A$2:$CN$428,'Unchained Indices'!BL$2,0)/VLOOKUP($C54,'Hist Data'!$A$2:$CN$428,'Unchained Indices'!BL$2,0)-1</f>
        <v>#N/A</v>
      </c>
      <c r="BM55" t="e">
        <f>VLOOKUP($C55,'Hist Data'!$A$2:$CN$428,'Unchained Indices'!BM$2,0)/VLOOKUP($C54,'Hist Data'!$A$2:$CN$428,'Unchained Indices'!BM$2,0)-1</f>
        <v>#N/A</v>
      </c>
      <c r="BN55" t="e">
        <f>VLOOKUP($C55,'Hist Data'!$A$2:$CN$428,'Unchained Indices'!BN$2,0)/VLOOKUP($C54,'Hist Data'!$A$2:$CN$428,'Unchained Indices'!BN$2,0)-1</f>
        <v>#N/A</v>
      </c>
      <c r="BO55" t="e">
        <f>VLOOKUP($C55,'Hist Data'!$A$2:$CN$428,'Unchained Indices'!BO$2,0)/VLOOKUP($C54,'Hist Data'!$A$2:$CN$428,'Unchained Indices'!BO$2,0)-1</f>
        <v>#N/A</v>
      </c>
      <c r="BP55" t="e">
        <f>VLOOKUP($C55,'Hist Data'!$A$2:$CN$428,'Unchained Indices'!BP$2,0)/VLOOKUP($C54,'Hist Data'!$A$2:$CN$428,'Unchained Indices'!BP$2,0)-1</f>
        <v>#N/A</v>
      </c>
      <c r="BQ55" t="e">
        <f>VLOOKUP($C55,'Hist Data'!$A$2:$CN$428,'Unchained Indices'!BQ$2,0)/VLOOKUP($C54,'Hist Data'!$A$2:$CN$428,'Unchained Indices'!BQ$2,0)-1</f>
        <v>#N/A</v>
      </c>
      <c r="BR55" t="e">
        <f>VLOOKUP($C55,'Hist Data'!$A$2:$CN$428,'Unchained Indices'!BR$2,0)/VLOOKUP($C54,'Hist Data'!$A$2:$CN$428,'Unchained Indices'!BR$2,0)-1</f>
        <v>#N/A</v>
      </c>
      <c r="BS55" t="e">
        <f>VLOOKUP($C55,'Hist Data'!$A$2:$CN$428,'Unchained Indices'!BS$2,0)/VLOOKUP($C54,'Hist Data'!$A$2:$CN$428,'Unchained Indices'!BS$2,0)-1</f>
        <v>#N/A</v>
      </c>
      <c r="BT55" t="e">
        <f>VLOOKUP($C55,'Hist Data'!$A$2:$CN$428,'Unchained Indices'!BT$2,0)/VLOOKUP($C54,'Hist Data'!$A$2:$CN$428,'Unchained Indices'!BT$2,0)-1</f>
        <v>#N/A</v>
      </c>
      <c r="BU55" t="e">
        <f>VLOOKUP($C55,'Hist Data'!$A$2:$CN$428,'Unchained Indices'!BU$2,0)/VLOOKUP($C54,'Hist Data'!$A$2:$CN$428,'Unchained Indices'!BU$2,0)-1</f>
        <v>#N/A</v>
      </c>
      <c r="BV55" t="e">
        <f>VLOOKUP($C55,'Hist Data'!$A$2:$CN$428,'Unchained Indices'!BV$2,0)/VLOOKUP($C54,'Hist Data'!$A$2:$CN$428,'Unchained Indices'!BV$2,0)-1</f>
        <v>#N/A</v>
      </c>
      <c r="BW55" t="e">
        <f>VLOOKUP($C55,'Hist Data'!$A$2:$CN$428,'Unchained Indices'!BW$2,0)/VLOOKUP($C54,'Hist Data'!$A$2:$CN$428,'Unchained Indices'!BW$2,0)-1</f>
        <v>#N/A</v>
      </c>
      <c r="BX55" t="e">
        <f>VLOOKUP($C55,'Hist Data'!$A$2:$CN$428,'Unchained Indices'!BX$2,0)/VLOOKUP($C54,'Hist Data'!$A$2:$CN$428,'Unchained Indices'!BX$2,0)-1</f>
        <v>#N/A</v>
      </c>
      <c r="BY55" t="e">
        <f>VLOOKUP($C55,'Hist Data'!$A$2:$CN$428,'Unchained Indices'!BY$2,0)/VLOOKUP($C54,'Hist Data'!$A$2:$CN$428,'Unchained Indices'!BY$2,0)-1</f>
        <v>#N/A</v>
      </c>
      <c r="BZ55" t="e">
        <f>VLOOKUP($C55,'Hist Data'!$A$2:$CN$428,'Unchained Indices'!BZ$2,0)/VLOOKUP($C54,'Hist Data'!$A$2:$CN$428,'Unchained Indices'!BZ$2,0)-1</f>
        <v>#N/A</v>
      </c>
      <c r="CA55" t="e">
        <f>VLOOKUP($C55,'Hist Data'!$A$2:$CN$428,'Unchained Indices'!CA$2,0)/VLOOKUP($C54,'Hist Data'!$A$2:$CN$428,'Unchained Indices'!CA$2,0)-1</f>
        <v>#N/A</v>
      </c>
      <c r="CB55" t="e">
        <f>VLOOKUP($C55,'Hist Data'!$A$2:$CN$428,'Unchained Indices'!CB$2,0)/VLOOKUP($C54,'Hist Data'!$A$2:$CN$428,'Unchained Indices'!CB$2,0)-1</f>
        <v>#N/A</v>
      </c>
      <c r="CC55" t="e">
        <f>VLOOKUP($C55,'Hist Data'!$A$2:$CN$428,'Unchained Indices'!CC$2,0)/VLOOKUP($C54,'Hist Data'!$A$2:$CN$428,'Unchained Indices'!CC$2,0)-1</f>
        <v>#N/A</v>
      </c>
      <c r="CD55" t="e">
        <f>VLOOKUP($C55,'Hist Data'!$A$2:$CN$428,'Unchained Indices'!CD$2,0)/VLOOKUP($C54,'Hist Data'!$A$2:$CN$428,'Unchained Indices'!CD$2,0)-1</f>
        <v>#N/A</v>
      </c>
      <c r="CE55" t="e">
        <f>VLOOKUP($C55,'Hist Data'!$A$2:$CN$428,'Unchained Indices'!CE$2,0)/VLOOKUP($C54,'Hist Data'!$A$2:$CN$428,'Unchained Indices'!CE$2,0)-1</f>
        <v>#N/A</v>
      </c>
      <c r="CF55" t="e">
        <f>VLOOKUP($C55,'Hist Data'!$A$2:$CN$428,'Unchained Indices'!CF$2,0)/VLOOKUP($C54,'Hist Data'!$A$2:$CN$428,'Unchained Indices'!CF$2,0)-1</f>
        <v>#N/A</v>
      </c>
      <c r="CG55" t="e">
        <f>VLOOKUP($C55,'Hist Data'!$A$2:$CN$428,'Unchained Indices'!CG$2,0)/VLOOKUP($C54,'Hist Data'!$A$2:$CN$428,'Unchained Indices'!CG$2,0)-1</f>
        <v>#N/A</v>
      </c>
      <c r="CH55" t="e">
        <f>VLOOKUP($C55,'Hist Data'!$A$2:$CN$428,'Unchained Indices'!CH$2,0)/VLOOKUP($C54,'Hist Data'!$A$2:$CN$428,'Unchained Indices'!CH$2,0)-1</f>
        <v>#N/A</v>
      </c>
      <c r="CI55" t="e">
        <f>VLOOKUP($C55,'Hist Data'!$A$2:$CN$428,'Unchained Indices'!CI$2,0)/VLOOKUP($C54,'Hist Data'!$A$2:$CN$428,'Unchained Indices'!CI$2,0)-1</f>
        <v>#N/A</v>
      </c>
      <c r="CJ55" t="e">
        <f>VLOOKUP($C55,'Hist Data'!$A$2:$CN$428,'Unchained Indices'!CJ$2,0)/VLOOKUP($C54,'Hist Data'!$A$2:$CN$428,'Unchained Indices'!CJ$2,0)-1</f>
        <v>#N/A</v>
      </c>
      <c r="CK55" t="e">
        <f>VLOOKUP($C55,'Hist Data'!$A$2:$CN$428,'Unchained Indices'!CK$2,0)/VLOOKUP($C54,'Hist Data'!$A$2:$CN$428,'Unchained Indices'!CK$2,0)-1</f>
        <v>#N/A</v>
      </c>
      <c r="CL55" t="e">
        <f>VLOOKUP($C55,'Hist Data'!$A$2:$CN$428,'Unchained Indices'!CL$2,0)/VLOOKUP($C54,'Hist Data'!$A$2:$CN$428,'Unchained Indices'!CL$2,0)-1</f>
        <v>#N/A</v>
      </c>
      <c r="CM55" t="e">
        <f>VLOOKUP($C55,'Hist Data'!$A$2:$CN$428,'Unchained Indices'!CM$2,0)/VLOOKUP($C54,'Hist Data'!$A$2:$CN$428,'Unchained Indices'!CM$2,0)-1</f>
        <v>#N/A</v>
      </c>
      <c r="CN55" t="e">
        <f>VLOOKUP($C55,'Hist Data'!$A$2:$CN$428,'Unchained Indices'!CN$2,0)/VLOOKUP($C54,'Hist Data'!$A$2:$CN$428,'Unchained Indices'!CN$2,0)-1</f>
        <v>#N/A</v>
      </c>
      <c r="CO55" t="e">
        <f>VLOOKUP($C55,'Hist Data'!$A$2:$CN$428,'Unchained Indices'!CO$2,0)/VLOOKUP($C54,'Hist Data'!$A$2:$CN$428,'Unchained Indices'!CO$2,0)-1</f>
        <v>#N/A</v>
      </c>
      <c r="CP55" t="e">
        <f>VLOOKUP($C55,'Hist Data'!$A$2:$CN$428,'Unchained Indices'!CP$2,0)/VLOOKUP($C54,'Hist Data'!$A$2:$CN$428,'Unchained Indices'!CP$2,0)-1</f>
        <v>#N/A</v>
      </c>
    </row>
    <row r="56" spans="3:94" x14ac:dyDescent="0.25">
      <c r="C56" s="6">
        <f t="shared" si="10"/>
        <v>44927</v>
      </c>
      <c r="D56" t="e">
        <f>VLOOKUP($C56,'Hist Data'!$A$2:$CN$428,'Unchained Indices'!D$2,0)/VLOOKUP($C55,'Hist Data'!$A$2:$CN$428,'Unchained Indices'!D$2,0)-1</f>
        <v>#N/A</v>
      </c>
      <c r="E56" t="e">
        <f>VLOOKUP($C56,'Hist Data'!$A$2:$CN$428,'Unchained Indices'!E$2,0)/VLOOKUP($C55,'Hist Data'!$A$2:$CN$428,'Unchained Indices'!E$2,0)-1</f>
        <v>#N/A</v>
      </c>
      <c r="F56" t="e">
        <f>VLOOKUP($C56,'Hist Data'!$A$2:$CN$428,'Unchained Indices'!F$2,0)/VLOOKUP($C55,'Hist Data'!$A$2:$CN$428,'Unchained Indices'!F$2,0)-1</f>
        <v>#N/A</v>
      </c>
      <c r="G56" t="e">
        <f>VLOOKUP($C56,'Hist Data'!$A$2:$CN$428,'Unchained Indices'!G$2,0)/VLOOKUP($C55,'Hist Data'!$A$2:$CN$428,'Unchained Indices'!G$2,0)-1</f>
        <v>#N/A</v>
      </c>
      <c r="H56" t="e">
        <f>VLOOKUP($C56,'Hist Data'!$A$2:$CN$428,'Unchained Indices'!H$2,0)/VLOOKUP($C55,'Hist Data'!$A$2:$CN$428,'Unchained Indices'!H$2,0)-1</f>
        <v>#N/A</v>
      </c>
      <c r="I56" t="e">
        <f>VLOOKUP($C56,'Hist Data'!$A$2:$CN$428,'Unchained Indices'!I$2,0)/VLOOKUP($C55,'Hist Data'!$A$2:$CN$428,'Unchained Indices'!I$2,0)-1</f>
        <v>#N/A</v>
      </c>
      <c r="J56" t="e">
        <f>VLOOKUP($C56,'Hist Data'!$A$2:$CN$428,'Unchained Indices'!J$2,0)/VLOOKUP($C55,'Hist Data'!$A$2:$CN$428,'Unchained Indices'!J$2,0)-1</f>
        <v>#N/A</v>
      </c>
      <c r="K56" t="e">
        <f>VLOOKUP($C56,'Hist Data'!$A$2:$CN$428,'Unchained Indices'!K$2,0)/VLOOKUP($C55,'Hist Data'!$A$2:$CN$428,'Unchained Indices'!K$2,0)-1</f>
        <v>#N/A</v>
      </c>
      <c r="L56" t="e">
        <f>VLOOKUP($C56,'Hist Data'!$A$2:$CN$428,'Unchained Indices'!L$2,0)/VLOOKUP($C55,'Hist Data'!$A$2:$CN$428,'Unchained Indices'!L$2,0)-1</f>
        <v>#N/A</v>
      </c>
      <c r="M56" t="e">
        <f>VLOOKUP($C56,'Hist Data'!$A$2:$CN$428,'Unchained Indices'!M$2,0)/VLOOKUP($C55,'Hist Data'!$A$2:$CN$428,'Unchained Indices'!M$2,0)-1</f>
        <v>#N/A</v>
      </c>
      <c r="N56" t="e">
        <f>VLOOKUP($C56,'Hist Data'!$A$2:$CN$428,'Unchained Indices'!N$2,0)/VLOOKUP($C55,'Hist Data'!$A$2:$CN$428,'Unchained Indices'!N$2,0)-1</f>
        <v>#N/A</v>
      </c>
      <c r="O56" t="e">
        <f>VLOOKUP($C56,'Hist Data'!$A$2:$CN$428,'Unchained Indices'!O$2,0)/VLOOKUP($C55,'Hist Data'!$A$2:$CN$428,'Unchained Indices'!O$2,0)-1</f>
        <v>#N/A</v>
      </c>
      <c r="P56" t="e">
        <f>VLOOKUP($C56,'Hist Data'!$A$2:$CN$428,'Unchained Indices'!P$2,0)/VLOOKUP($C55,'Hist Data'!$A$2:$CN$428,'Unchained Indices'!P$2,0)-1</f>
        <v>#N/A</v>
      </c>
      <c r="Q56" t="e">
        <f>VLOOKUP($C56,'Hist Data'!$A$2:$CN$428,'Unchained Indices'!Q$2,0)/VLOOKUP($C55,'Hist Data'!$A$2:$CN$428,'Unchained Indices'!Q$2,0)-1</f>
        <v>#N/A</v>
      </c>
      <c r="R56" t="e">
        <f>VLOOKUP($C56,'Hist Data'!$A$2:$CN$428,'Unchained Indices'!R$2,0)/VLOOKUP($C55,'Hist Data'!$A$2:$CN$428,'Unchained Indices'!R$2,0)-1</f>
        <v>#N/A</v>
      </c>
      <c r="S56" t="e">
        <f>VLOOKUP($C56,'Hist Data'!$A$2:$CN$428,'Unchained Indices'!S$2,0)/VLOOKUP($C55,'Hist Data'!$A$2:$CN$428,'Unchained Indices'!S$2,0)-1</f>
        <v>#N/A</v>
      </c>
      <c r="T56" t="e">
        <f>VLOOKUP($C56,'Hist Data'!$A$2:$CN$428,'Unchained Indices'!T$2,0)/VLOOKUP($C55,'Hist Data'!$A$2:$CN$428,'Unchained Indices'!T$2,0)-1</f>
        <v>#N/A</v>
      </c>
      <c r="U56" t="e">
        <f>VLOOKUP($C56,'Hist Data'!$A$2:$CN$428,'Unchained Indices'!U$2,0)/VLOOKUP($C55,'Hist Data'!$A$2:$CN$428,'Unchained Indices'!U$2,0)-1</f>
        <v>#N/A</v>
      </c>
      <c r="V56" t="e">
        <f>VLOOKUP($C56,'Hist Data'!$A$2:$CN$428,'Unchained Indices'!V$2,0)/VLOOKUP($C55,'Hist Data'!$A$2:$CN$428,'Unchained Indices'!V$2,0)-1</f>
        <v>#N/A</v>
      </c>
      <c r="W56" t="e">
        <f>VLOOKUP($C56,'Hist Data'!$A$2:$CN$428,'Unchained Indices'!W$2,0)/VLOOKUP($C55,'Hist Data'!$A$2:$CN$428,'Unchained Indices'!W$2,0)-1</f>
        <v>#N/A</v>
      </c>
      <c r="X56" t="e">
        <f>VLOOKUP($C56,'Hist Data'!$A$2:$CN$428,'Unchained Indices'!X$2,0)/VLOOKUP($C55,'Hist Data'!$A$2:$CN$428,'Unchained Indices'!X$2,0)-1</f>
        <v>#N/A</v>
      </c>
      <c r="Y56" t="e">
        <f>VLOOKUP($C56,'Hist Data'!$A$2:$CN$428,'Unchained Indices'!Y$2,0)/VLOOKUP($C55,'Hist Data'!$A$2:$CN$428,'Unchained Indices'!Y$2,0)-1</f>
        <v>#N/A</v>
      </c>
      <c r="Z56" t="e">
        <f>VLOOKUP($C56,'Hist Data'!$A$2:$CN$428,'Unchained Indices'!Z$2,0)/VLOOKUP($C55,'Hist Data'!$A$2:$CN$428,'Unchained Indices'!Z$2,0)-1</f>
        <v>#N/A</v>
      </c>
      <c r="AA56" t="e">
        <f>VLOOKUP($C56,'Hist Data'!$A$2:$CN$428,'Unchained Indices'!AA$2,0)/VLOOKUP($C55,'Hist Data'!$A$2:$CN$428,'Unchained Indices'!AA$2,0)-1</f>
        <v>#N/A</v>
      </c>
      <c r="AB56" t="e">
        <f>VLOOKUP($C56,'Hist Data'!$A$2:$CN$428,'Unchained Indices'!AB$2,0)/VLOOKUP($C55,'Hist Data'!$A$2:$CN$428,'Unchained Indices'!AB$2,0)-1</f>
        <v>#N/A</v>
      </c>
      <c r="AC56" t="e">
        <f>VLOOKUP($C56,'Hist Data'!$A$2:$CN$428,'Unchained Indices'!AC$2,0)/VLOOKUP($C55,'Hist Data'!$A$2:$CN$428,'Unchained Indices'!AC$2,0)-1</f>
        <v>#N/A</v>
      </c>
      <c r="AD56" t="e">
        <f>VLOOKUP($C56,'Hist Data'!$A$2:$CN$428,'Unchained Indices'!AD$2,0)/VLOOKUP($C55,'Hist Data'!$A$2:$CN$428,'Unchained Indices'!AD$2,0)-1</f>
        <v>#N/A</v>
      </c>
      <c r="AE56" t="e">
        <f>VLOOKUP($C56,'Hist Data'!$A$2:$CN$428,'Unchained Indices'!AE$2,0)/VLOOKUP($C55,'Hist Data'!$A$2:$CN$428,'Unchained Indices'!AE$2,0)-1</f>
        <v>#N/A</v>
      </c>
      <c r="AF56" t="e">
        <f>VLOOKUP($C56,'Hist Data'!$A$2:$CN$428,'Unchained Indices'!AF$2,0)/VLOOKUP($C55,'Hist Data'!$A$2:$CN$428,'Unchained Indices'!AF$2,0)-1</f>
        <v>#N/A</v>
      </c>
      <c r="AG56" t="e">
        <f>VLOOKUP($C56,'Hist Data'!$A$2:$CN$428,'Unchained Indices'!AG$2,0)/VLOOKUP($C55,'Hist Data'!$A$2:$CN$428,'Unchained Indices'!AG$2,0)-1</f>
        <v>#N/A</v>
      </c>
      <c r="AH56" t="e">
        <f>VLOOKUP($C56,'Hist Data'!$A$2:$CN$428,'Unchained Indices'!AH$2,0)/VLOOKUP($C55,'Hist Data'!$A$2:$CN$428,'Unchained Indices'!AH$2,0)-1</f>
        <v>#N/A</v>
      </c>
      <c r="AI56" t="e">
        <f>VLOOKUP($C56,'Hist Data'!$A$2:$CN$428,'Unchained Indices'!AI$2,0)/VLOOKUP($C55,'Hist Data'!$A$2:$CN$428,'Unchained Indices'!AI$2,0)-1</f>
        <v>#N/A</v>
      </c>
      <c r="AJ56" t="e">
        <f>VLOOKUP($C56,'Hist Data'!$A$2:$CN$428,'Unchained Indices'!AJ$2,0)/VLOOKUP($C55,'Hist Data'!$A$2:$CN$428,'Unchained Indices'!AJ$2,0)-1</f>
        <v>#N/A</v>
      </c>
      <c r="AK56" t="e">
        <f>VLOOKUP($C56,'Hist Data'!$A$2:$CN$428,'Unchained Indices'!AK$2,0)/VLOOKUP($C55,'Hist Data'!$A$2:$CN$428,'Unchained Indices'!AK$2,0)-1</f>
        <v>#N/A</v>
      </c>
      <c r="AL56" t="e">
        <f>VLOOKUP($C56,'Hist Data'!$A$2:$CN$428,'Unchained Indices'!AL$2,0)/VLOOKUP($C55,'Hist Data'!$A$2:$CN$428,'Unchained Indices'!AL$2,0)-1</f>
        <v>#N/A</v>
      </c>
      <c r="AM56" t="e">
        <f>VLOOKUP($C56,'Hist Data'!$A$2:$CN$428,'Unchained Indices'!AM$2,0)/VLOOKUP($C55,'Hist Data'!$A$2:$CN$428,'Unchained Indices'!AM$2,0)-1</f>
        <v>#N/A</v>
      </c>
      <c r="AN56" t="e">
        <f>VLOOKUP($C56,'Hist Data'!$A$2:$CN$428,'Unchained Indices'!AN$2,0)/VLOOKUP($C55,'Hist Data'!$A$2:$CN$428,'Unchained Indices'!AN$2,0)-1</f>
        <v>#N/A</v>
      </c>
      <c r="AO56" t="e">
        <f>VLOOKUP($C56,'Hist Data'!$A$2:$CN$428,'Unchained Indices'!AO$2,0)/VLOOKUP($C55,'Hist Data'!$A$2:$CN$428,'Unchained Indices'!AO$2,0)-1</f>
        <v>#N/A</v>
      </c>
      <c r="AP56" t="e">
        <f>VLOOKUP($C56,'Hist Data'!$A$2:$CN$428,'Unchained Indices'!AP$2,0)/VLOOKUP($C55,'Hist Data'!$A$2:$CN$428,'Unchained Indices'!AP$2,0)-1</f>
        <v>#N/A</v>
      </c>
      <c r="AQ56" t="e">
        <f>VLOOKUP($C56,'Hist Data'!$A$2:$CN$428,'Unchained Indices'!AQ$2,0)/VLOOKUP($C55,'Hist Data'!$A$2:$CN$428,'Unchained Indices'!AQ$2,0)-1</f>
        <v>#N/A</v>
      </c>
      <c r="AR56" t="e">
        <f>VLOOKUP($C56,'Hist Data'!$A$2:$CN$428,'Unchained Indices'!AR$2,0)/VLOOKUP($C55,'Hist Data'!$A$2:$CN$428,'Unchained Indices'!AR$2,0)-1</f>
        <v>#N/A</v>
      </c>
      <c r="AS56" t="e">
        <f>VLOOKUP($C56,'Hist Data'!$A$2:$CN$428,'Unchained Indices'!AS$2,0)/VLOOKUP($C55,'Hist Data'!$A$2:$CN$428,'Unchained Indices'!AS$2,0)-1</f>
        <v>#N/A</v>
      </c>
      <c r="AT56" t="e">
        <f>VLOOKUP($C56,'Hist Data'!$A$2:$CN$428,'Unchained Indices'!AT$2,0)/VLOOKUP($C55,'Hist Data'!$A$2:$CN$428,'Unchained Indices'!AT$2,0)-1</f>
        <v>#N/A</v>
      </c>
      <c r="AU56" t="e">
        <f>VLOOKUP($C56,'Hist Data'!$A$2:$CN$428,'Unchained Indices'!AU$2,0)/VLOOKUP($C55,'Hist Data'!$A$2:$CN$428,'Unchained Indices'!AU$2,0)-1</f>
        <v>#N/A</v>
      </c>
      <c r="AV56" t="e">
        <f>VLOOKUP($C56,'Hist Data'!$A$2:$CN$428,'Unchained Indices'!AV$2,0)/VLOOKUP($C55,'Hist Data'!$A$2:$CN$428,'Unchained Indices'!AV$2,0)-1</f>
        <v>#N/A</v>
      </c>
      <c r="AW56" t="e">
        <f>VLOOKUP($C56,'Hist Data'!$A$2:$CN$428,'Unchained Indices'!AW$2,0)/VLOOKUP($C55,'Hist Data'!$A$2:$CN$428,'Unchained Indices'!AW$2,0)-1</f>
        <v>#N/A</v>
      </c>
      <c r="AX56" t="e">
        <f>VLOOKUP($C56,'Hist Data'!$A$2:$CN$428,'Unchained Indices'!AX$2,0)/VLOOKUP($C55,'Hist Data'!$A$2:$CN$428,'Unchained Indices'!AX$2,0)-1</f>
        <v>#N/A</v>
      </c>
      <c r="AY56" t="e">
        <f>VLOOKUP($C56,'Hist Data'!$A$2:$CN$428,'Unchained Indices'!AY$2,0)/VLOOKUP($C55,'Hist Data'!$A$2:$CN$428,'Unchained Indices'!AY$2,0)-1</f>
        <v>#N/A</v>
      </c>
      <c r="AZ56" t="e">
        <f>VLOOKUP($C56,'Hist Data'!$A$2:$CN$428,'Unchained Indices'!AZ$2,0)/VLOOKUP($C55,'Hist Data'!$A$2:$CN$428,'Unchained Indices'!AZ$2,0)-1</f>
        <v>#N/A</v>
      </c>
      <c r="BA56" t="e">
        <f>VLOOKUP($C56,'Hist Data'!$A$2:$CN$428,'Unchained Indices'!BA$2,0)/VLOOKUP($C55,'Hist Data'!$A$2:$CN$428,'Unchained Indices'!BA$2,0)-1</f>
        <v>#N/A</v>
      </c>
      <c r="BB56" t="e">
        <f>VLOOKUP($C56,'Hist Data'!$A$2:$CN$428,'Unchained Indices'!BB$2,0)/VLOOKUP($C55,'Hist Data'!$A$2:$CN$428,'Unchained Indices'!BB$2,0)-1</f>
        <v>#N/A</v>
      </c>
      <c r="BC56" t="e">
        <f>VLOOKUP($C56,'Hist Data'!$A$2:$CN$428,'Unchained Indices'!BC$2,0)/VLOOKUP($C55,'Hist Data'!$A$2:$CN$428,'Unchained Indices'!BC$2,0)-1</f>
        <v>#N/A</v>
      </c>
      <c r="BD56" t="e">
        <f>VLOOKUP($C56,'Hist Data'!$A$2:$CN$428,'Unchained Indices'!BD$2,0)/VLOOKUP($C55,'Hist Data'!$A$2:$CN$428,'Unchained Indices'!BD$2,0)-1</f>
        <v>#N/A</v>
      </c>
      <c r="BE56" t="e">
        <f>VLOOKUP($C56,'Hist Data'!$A$2:$CN$428,'Unchained Indices'!BE$2,0)/VLOOKUP($C55,'Hist Data'!$A$2:$CN$428,'Unchained Indices'!BE$2,0)-1</f>
        <v>#N/A</v>
      </c>
      <c r="BF56" t="e">
        <f>VLOOKUP($C56,'Hist Data'!$A$2:$CN$428,'Unchained Indices'!BF$2,0)/VLOOKUP($C55,'Hist Data'!$A$2:$CN$428,'Unchained Indices'!BF$2,0)-1</f>
        <v>#N/A</v>
      </c>
      <c r="BG56" t="e">
        <f>VLOOKUP($C56,'Hist Data'!$A$2:$CN$428,'Unchained Indices'!BG$2,0)/VLOOKUP($C55,'Hist Data'!$A$2:$CN$428,'Unchained Indices'!BG$2,0)-1</f>
        <v>#N/A</v>
      </c>
      <c r="BH56" t="e">
        <f>VLOOKUP($C56,'Hist Data'!$A$2:$CN$428,'Unchained Indices'!BH$2,0)/VLOOKUP($C55,'Hist Data'!$A$2:$CN$428,'Unchained Indices'!BH$2,0)-1</f>
        <v>#N/A</v>
      </c>
      <c r="BI56" t="e">
        <f>VLOOKUP($C56,'Hist Data'!$A$2:$CN$428,'Unchained Indices'!BI$2,0)/VLOOKUP($C55,'Hist Data'!$A$2:$CN$428,'Unchained Indices'!BI$2,0)-1</f>
        <v>#N/A</v>
      </c>
      <c r="BJ56" t="e">
        <f>VLOOKUP($C56,'Hist Data'!$A$2:$CN$428,'Unchained Indices'!BJ$2,0)/VLOOKUP($C55,'Hist Data'!$A$2:$CN$428,'Unchained Indices'!BJ$2,0)-1</f>
        <v>#N/A</v>
      </c>
      <c r="BK56" t="e">
        <f>VLOOKUP($C56,'Hist Data'!$A$2:$CN$428,'Unchained Indices'!BK$2,0)/VLOOKUP($C55,'Hist Data'!$A$2:$CN$428,'Unchained Indices'!BK$2,0)-1</f>
        <v>#N/A</v>
      </c>
      <c r="BL56" t="e">
        <f>VLOOKUP($C56,'Hist Data'!$A$2:$CN$428,'Unchained Indices'!BL$2,0)/VLOOKUP($C55,'Hist Data'!$A$2:$CN$428,'Unchained Indices'!BL$2,0)-1</f>
        <v>#N/A</v>
      </c>
      <c r="BM56" t="e">
        <f>VLOOKUP($C56,'Hist Data'!$A$2:$CN$428,'Unchained Indices'!BM$2,0)/VLOOKUP($C55,'Hist Data'!$A$2:$CN$428,'Unchained Indices'!BM$2,0)-1</f>
        <v>#N/A</v>
      </c>
      <c r="BN56" t="e">
        <f>VLOOKUP($C56,'Hist Data'!$A$2:$CN$428,'Unchained Indices'!BN$2,0)/VLOOKUP($C55,'Hist Data'!$A$2:$CN$428,'Unchained Indices'!BN$2,0)-1</f>
        <v>#N/A</v>
      </c>
      <c r="BO56" t="e">
        <f>VLOOKUP($C56,'Hist Data'!$A$2:$CN$428,'Unchained Indices'!BO$2,0)/VLOOKUP($C55,'Hist Data'!$A$2:$CN$428,'Unchained Indices'!BO$2,0)-1</f>
        <v>#N/A</v>
      </c>
      <c r="BP56" t="e">
        <f>VLOOKUP($C56,'Hist Data'!$A$2:$CN$428,'Unchained Indices'!BP$2,0)/VLOOKUP($C55,'Hist Data'!$A$2:$CN$428,'Unchained Indices'!BP$2,0)-1</f>
        <v>#N/A</v>
      </c>
      <c r="BQ56" t="e">
        <f>VLOOKUP($C56,'Hist Data'!$A$2:$CN$428,'Unchained Indices'!BQ$2,0)/VLOOKUP($C55,'Hist Data'!$A$2:$CN$428,'Unchained Indices'!BQ$2,0)-1</f>
        <v>#N/A</v>
      </c>
      <c r="BR56" t="e">
        <f>VLOOKUP($C56,'Hist Data'!$A$2:$CN$428,'Unchained Indices'!BR$2,0)/VLOOKUP($C55,'Hist Data'!$A$2:$CN$428,'Unchained Indices'!BR$2,0)-1</f>
        <v>#N/A</v>
      </c>
      <c r="BS56" t="e">
        <f>VLOOKUP($C56,'Hist Data'!$A$2:$CN$428,'Unchained Indices'!BS$2,0)/VLOOKUP($C55,'Hist Data'!$A$2:$CN$428,'Unchained Indices'!BS$2,0)-1</f>
        <v>#N/A</v>
      </c>
      <c r="BT56" t="e">
        <f>VLOOKUP($C56,'Hist Data'!$A$2:$CN$428,'Unchained Indices'!BT$2,0)/VLOOKUP($C55,'Hist Data'!$A$2:$CN$428,'Unchained Indices'!BT$2,0)-1</f>
        <v>#N/A</v>
      </c>
      <c r="BU56" t="e">
        <f>VLOOKUP($C56,'Hist Data'!$A$2:$CN$428,'Unchained Indices'!BU$2,0)/VLOOKUP($C55,'Hist Data'!$A$2:$CN$428,'Unchained Indices'!BU$2,0)-1</f>
        <v>#N/A</v>
      </c>
      <c r="BV56" t="e">
        <f>VLOOKUP($C56,'Hist Data'!$A$2:$CN$428,'Unchained Indices'!BV$2,0)/VLOOKUP($C55,'Hist Data'!$A$2:$CN$428,'Unchained Indices'!BV$2,0)-1</f>
        <v>#N/A</v>
      </c>
      <c r="BW56" t="e">
        <f>VLOOKUP($C56,'Hist Data'!$A$2:$CN$428,'Unchained Indices'!BW$2,0)/VLOOKUP($C55,'Hist Data'!$A$2:$CN$428,'Unchained Indices'!BW$2,0)-1</f>
        <v>#N/A</v>
      </c>
      <c r="BX56" t="e">
        <f>VLOOKUP($C56,'Hist Data'!$A$2:$CN$428,'Unchained Indices'!BX$2,0)/VLOOKUP($C55,'Hist Data'!$A$2:$CN$428,'Unchained Indices'!BX$2,0)-1</f>
        <v>#N/A</v>
      </c>
      <c r="BY56" t="e">
        <f>VLOOKUP($C56,'Hist Data'!$A$2:$CN$428,'Unchained Indices'!BY$2,0)/VLOOKUP($C55,'Hist Data'!$A$2:$CN$428,'Unchained Indices'!BY$2,0)-1</f>
        <v>#N/A</v>
      </c>
      <c r="BZ56" t="e">
        <f>VLOOKUP($C56,'Hist Data'!$A$2:$CN$428,'Unchained Indices'!BZ$2,0)/VLOOKUP($C55,'Hist Data'!$A$2:$CN$428,'Unchained Indices'!BZ$2,0)-1</f>
        <v>#N/A</v>
      </c>
      <c r="CA56" t="e">
        <f>VLOOKUP($C56,'Hist Data'!$A$2:$CN$428,'Unchained Indices'!CA$2,0)/VLOOKUP($C55,'Hist Data'!$A$2:$CN$428,'Unchained Indices'!CA$2,0)-1</f>
        <v>#N/A</v>
      </c>
      <c r="CB56" t="e">
        <f>VLOOKUP($C56,'Hist Data'!$A$2:$CN$428,'Unchained Indices'!CB$2,0)/VLOOKUP($C55,'Hist Data'!$A$2:$CN$428,'Unchained Indices'!CB$2,0)-1</f>
        <v>#N/A</v>
      </c>
      <c r="CC56" t="e">
        <f>VLOOKUP($C56,'Hist Data'!$A$2:$CN$428,'Unchained Indices'!CC$2,0)/VLOOKUP($C55,'Hist Data'!$A$2:$CN$428,'Unchained Indices'!CC$2,0)-1</f>
        <v>#N/A</v>
      </c>
      <c r="CD56" t="e">
        <f>VLOOKUP($C56,'Hist Data'!$A$2:$CN$428,'Unchained Indices'!CD$2,0)/VLOOKUP($C55,'Hist Data'!$A$2:$CN$428,'Unchained Indices'!CD$2,0)-1</f>
        <v>#N/A</v>
      </c>
      <c r="CE56" t="e">
        <f>VLOOKUP($C56,'Hist Data'!$A$2:$CN$428,'Unchained Indices'!CE$2,0)/VLOOKUP($C55,'Hist Data'!$A$2:$CN$428,'Unchained Indices'!CE$2,0)-1</f>
        <v>#N/A</v>
      </c>
      <c r="CF56" t="e">
        <f>VLOOKUP($C56,'Hist Data'!$A$2:$CN$428,'Unchained Indices'!CF$2,0)/VLOOKUP($C55,'Hist Data'!$A$2:$CN$428,'Unchained Indices'!CF$2,0)-1</f>
        <v>#N/A</v>
      </c>
      <c r="CG56" t="e">
        <f>VLOOKUP($C56,'Hist Data'!$A$2:$CN$428,'Unchained Indices'!CG$2,0)/VLOOKUP($C55,'Hist Data'!$A$2:$CN$428,'Unchained Indices'!CG$2,0)-1</f>
        <v>#N/A</v>
      </c>
      <c r="CH56" t="e">
        <f>VLOOKUP($C56,'Hist Data'!$A$2:$CN$428,'Unchained Indices'!CH$2,0)/VLOOKUP($C55,'Hist Data'!$A$2:$CN$428,'Unchained Indices'!CH$2,0)-1</f>
        <v>#N/A</v>
      </c>
      <c r="CI56" t="e">
        <f>VLOOKUP($C56,'Hist Data'!$A$2:$CN$428,'Unchained Indices'!CI$2,0)/VLOOKUP($C55,'Hist Data'!$A$2:$CN$428,'Unchained Indices'!CI$2,0)-1</f>
        <v>#N/A</v>
      </c>
      <c r="CJ56" t="e">
        <f>VLOOKUP($C56,'Hist Data'!$A$2:$CN$428,'Unchained Indices'!CJ$2,0)/VLOOKUP($C55,'Hist Data'!$A$2:$CN$428,'Unchained Indices'!CJ$2,0)-1</f>
        <v>#N/A</v>
      </c>
      <c r="CK56" t="e">
        <f>VLOOKUP($C56,'Hist Data'!$A$2:$CN$428,'Unchained Indices'!CK$2,0)/VLOOKUP($C55,'Hist Data'!$A$2:$CN$428,'Unchained Indices'!CK$2,0)-1</f>
        <v>#N/A</v>
      </c>
      <c r="CL56" t="e">
        <f>VLOOKUP($C56,'Hist Data'!$A$2:$CN$428,'Unchained Indices'!CL$2,0)/VLOOKUP($C55,'Hist Data'!$A$2:$CN$428,'Unchained Indices'!CL$2,0)-1</f>
        <v>#N/A</v>
      </c>
      <c r="CM56" t="e">
        <f>VLOOKUP($C56,'Hist Data'!$A$2:$CN$428,'Unchained Indices'!CM$2,0)/VLOOKUP($C55,'Hist Data'!$A$2:$CN$428,'Unchained Indices'!CM$2,0)-1</f>
        <v>#N/A</v>
      </c>
      <c r="CN56" t="e">
        <f>VLOOKUP($C56,'Hist Data'!$A$2:$CN$428,'Unchained Indices'!CN$2,0)/VLOOKUP($C55,'Hist Data'!$A$2:$CN$428,'Unchained Indices'!CN$2,0)-1</f>
        <v>#N/A</v>
      </c>
      <c r="CO56" t="e">
        <f>VLOOKUP($C56,'Hist Data'!$A$2:$CN$428,'Unchained Indices'!CO$2,0)/VLOOKUP($C55,'Hist Data'!$A$2:$CN$428,'Unchained Indices'!CO$2,0)-1</f>
        <v>#N/A</v>
      </c>
      <c r="CP56" t="e">
        <f>VLOOKUP($C56,'Hist Data'!$A$2:$CN$428,'Unchained Indices'!CP$2,0)/VLOOKUP($C55,'Hist Data'!$A$2:$CN$428,'Unchained Indices'!CP$2,0)-1</f>
        <v>#N/A</v>
      </c>
    </row>
    <row r="57" spans="3:94" x14ac:dyDescent="0.25">
      <c r="C57" s="6">
        <f t="shared" si="10"/>
        <v>44958</v>
      </c>
      <c r="D57" t="e">
        <f>VLOOKUP($C57,'Hist Data'!$A$2:$CN$428,'Unchained Indices'!D$2,0)/VLOOKUP($C56,'Hist Data'!$A$2:$CN$428,'Unchained Indices'!D$2,0)-1</f>
        <v>#N/A</v>
      </c>
      <c r="E57" t="e">
        <f>VLOOKUP($C57,'Hist Data'!$A$2:$CN$428,'Unchained Indices'!E$2,0)/VLOOKUP($C56,'Hist Data'!$A$2:$CN$428,'Unchained Indices'!E$2,0)-1</f>
        <v>#N/A</v>
      </c>
      <c r="F57" t="e">
        <f>VLOOKUP($C57,'Hist Data'!$A$2:$CN$428,'Unchained Indices'!F$2,0)/VLOOKUP($C56,'Hist Data'!$A$2:$CN$428,'Unchained Indices'!F$2,0)-1</f>
        <v>#N/A</v>
      </c>
      <c r="G57" t="e">
        <f>VLOOKUP($C57,'Hist Data'!$A$2:$CN$428,'Unchained Indices'!G$2,0)/VLOOKUP($C56,'Hist Data'!$A$2:$CN$428,'Unchained Indices'!G$2,0)-1</f>
        <v>#N/A</v>
      </c>
      <c r="H57" t="e">
        <f>VLOOKUP($C57,'Hist Data'!$A$2:$CN$428,'Unchained Indices'!H$2,0)/VLOOKUP($C56,'Hist Data'!$A$2:$CN$428,'Unchained Indices'!H$2,0)-1</f>
        <v>#N/A</v>
      </c>
      <c r="I57" t="e">
        <f>VLOOKUP($C57,'Hist Data'!$A$2:$CN$428,'Unchained Indices'!I$2,0)/VLOOKUP($C56,'Hist Data'!$A$2:$CN$428,'Unchained Indices'!I$2,0)-1</f>
        <v>#N/A</v>
      </c>
      <c r="J57" t="e">
        <f>VLOOKUP($C57,'Hist Data'!$A$2:$CN$428,'Unchained Indices'!J$2,0)/VLOOKUP($C56,'Hist Data'!$A$2:$CN$428,'Unchained Indices'!J$2,0)-1</f>
        <v>#N/A</v>
      </c>
      <c r="K57" t="e">
        <f>VLOOKUP($C57,'Hist Data'!$A$2:$CN$428,'Unchained Indices'!K$2,0)/VLOOKUP($C56,'Hist Data'!$A$2:$CN$428,'Unchained Indices'!K$2,0)-1</f>
        <v>#N/A</v>
      </c>
      <c r="L57" t="e">
        <f>VLOOKUP($C57,'Hist Data'!$A$2:$CN$428,'Unchained Indices'!L$2,0)/VLOOKUP($C56,'Hist Data'!$A$2:$CN$428,'Unchained Indices'!L$2,0)-1</f>
        <v>#N/A</v>
      </c>
      <c r="M57" t="e">
        <f>VLOOKUP($C57,'Hist Data'!$A$2:$CN$428,'Unchained Indices'!M$2,0)/VLOOKUP($C56,'Hist Data'!$A$2:$CN$428,'Unchained Indices'!M$2,0)-1</f>
        <v>#N/A</v>
      </c>
      <c r="N57" t="e">
        <f>VLOOKUP($C57,'Hist Data'!$A$2:$CN$428,'Unchained Indices'!N$2,0)/VLOOKUP($C56,'Hist Data'!$A$2:$CN$428,'Unchained Indices'!N$2,0)-1</f>
        <v>#N/A</v>
      </c>
      <c r="O57" t="e">
        <f>VLOOKUP($C57,'Hist Data'!$A$2:$CN$428,'Unchained Indices'!O$2,0)/VLOOKUP($C56,'Hist Data'!$A$2:$CN$428,'Unchained Indices'!O$2,0)-1</f>
        <v>#N/A</v>
      </c>
      <c r="P57" t="e">
        <f>VLOOKUP($C57,'Hist Data'!$A$2:$CN$428,'Unchained Indices'!P$2,0)/VLOOKUP($C56,'Hist Data'!$A$2:$CN$428,'Unchained Indices'!P$2,0)-1</f>
        <v>#N/A</v>
      </c>
      <c r="Q57" t="e">
        <f>VLOOKUP($C57,'Hist Data'!$A$2:$CN$428,'Unchained Indices'!Q$2,0)/VLOOKUP($C56,'Hist Data'!$A$2:$CN$428,'Unchained Indices'!Q$2,0)-1</f>
        <v>#N/A</v>
      </c>
      <c r="R57" t="e">
        <f>VLOOKUP($C57,'Hist Data'!$A$2:$CN$428,'Unchained Indices'!R$2,0)/VLOOKUP($C56,'Hist Data'!$A$2:$CN$428,'Unchained Indices'!R$2,0)-1</f>
        <v>#N/A</v>
      </c>
      <c r="S57" t="e">
        <f>VLOOKUP($C57,'Hist Data'!$A$2:$CN$428,'Unchained Indices'!S$2,0)/VLOOKUP($C56,'Hist Data'!$A$2:$CN$428,'Unchained Indices'!S$2,0)-1</f>
        <v>#N/A</v>
      </c>
      <c r="T57" t="e">
        <f>VLOOKUP($C57,'Hist Data'!$A$2:$CN$428,'Unchained Indices'!T$2,0)/VLOOKUP($C56,'Hist Data'!$A$2:$CN$428,'Unchained Indices'!T$2,0)-1</f>
        <v>#N/A</v>
      </c>
      <c r="U57" t="e">
        <f>VLOOKUP($C57,'Hist Data'!$A$2:$CN$428,'Unchained Indices'!U$2,0)/VLOOKUP($C56,'Hist Data'!$A$2:$CN$428,'Unchained Indices'!U$2,0)-1</f>
        <v>#N/A</v>
      </c>
      <c r="V57" t="e">
        <f>VLOOKUP($C57,'Hist Data'!$A$2:$CN$428,'Unchained Indices'!V$2,0)/VLOOKUP($C56,'Hist Data'!$A$2:$CN$428,'Unchained Indices'!V$2,0)-1</f>
        <v>#N/A</v>
      </c>
      <c r="W57" t="e">
        <f>VLOOKUP($C57,'Hist Data'!$A$2:$CN$428,'Unchained Indices'!W$2,0)/VLOOKUP($C56,'Hist Data'!$A$2:$CN$428,'Unchained Indices'!W$2,0)-1</f>
        <v>#N/A</v>
      </c>
      <c r="X57" t="e">
        <f>VLOOKUP($C57,'Hist Data'!$A$2:$CN$428,'Unchained Indices'!X$2,0)/VLOOKUP($C56,'Hist Data'!$A$2:$CN$428,'Unchained Indices'!X$2,0)-1</f>
        <v>#N/A</v>
      </c>
      <c r="Y57" t="e">
        <f>VLOOKUP($C57,'Hist Data'!$A$2:$CN$428,'Unchained Indices'!Y$2,0)/VLOOKUP($C56,'Hist Data'!$A$2:$CN$428,'Unchained Indices'!Y$2,0)-1</f>
        <v>#N/A</v>
      </c>
      <c r="Z57" t="e">
        <f>VLOOKUP($C57,'Hist Data'!$A$2:$CN$428,'Unchained Indices'!Z$2,0)/VLOOKUP($C56,'Hist Data'!$A$2:$CN$428,'Unchained Indices'!Z$2,0)-1</f>
        <v>#N/A</v>
      </c>
      <c r="AA57" t="e">
        <f>VLOOKUP($C57,'Hist Data'!$A$2:$CN$428,'Unchained Indices'!AA$2,0)/VLOOKUP($C56,'Hist Data'!$A$2:$CN$428,'Unchained Indices'!AA$2,0)-1</f>
        <v>#N/A</v>
      </c>
      <c r="AB57" t="e">
        <f>VLOOKUP($C57,'Hist Data'!$A$2:$CN$428,'Unchained Indices'!AB$2,0)/VLOOKUP($C56,'Hist Data'!$A$2:$CN$428,'Unchained Indices'!AB$2,0)-1</f>
        <v>#N/A</v>
      </c>
      <c r="AC57" t="e">
        <f>VLOOKUP($C57,'Hist Data'!$A$2:$CN$428,'Unchained Indices'!AC$2,0)/VLOOKUP($C56,'Hist Data'!$A$2:$CN$428,'Unchained Indices'!AC$2,0)-1</f>
        <v>#N/A</v>
      </c>
      <c r="AD57" t="e">
        <f>VLOOKUP($C57,'Hist Data'!$A$2:$CN$428,'Unchained Indices'!AD$2,0)/VLOOKUP($C56,'Hist Data'!$A$2:$CN$428,'Unchained Indices'!AD$2,0)-1</f>
        <v>#N/A</v>
      </c>
      <c r="AE57" t="e">
        <f>VLOOKUP($C57,'Hist Data'!$A$2:$CN$428,'Unchained Indices'!AE$2,0)/VLOOKUP($C56,'Hist Data'!$A$2:$CN$428,'Unchained Indices'!AE$2,0)-1</f>
        <v>#N/A</v>
      </c>
      <c r="AF57" t="e">
        <f>VLOOKUP($C57,'Hist Data'!$A$2:$CN$428,'Unchained Indices'!AF$2,0)/VLOOKUP($C56,'Hist Data'!$A$2:$CN$428,'Unchained Indices'!AF$2,0)-1</f>
        <v>#N/A</v>
      </c>
      <c r="AG57" t="e">
        <f>VLOOKUP($C57,'Hist Data'!$A$2:$CN$428,'Unchained Indices'!AG$2,0)/VLOOKUP($C56,'Hist Data'!$A$2:$CN$428,'Unchained Indices'!AG$2,0)-1</f>
        <v>#N/A</v>
      </c>
      <c r="AH57" t="e">
        <f>VLOOKUP($C57,'Hist Data'!$A$2:$CN$428,'Unchained Indices'!AH$2,0)/VLOOKUP($C56,'Hist Data'!$A$2:$CN$428,'Unchained Indices'!AH$2,0)-1</f>
        <v>#N/A</v>
      </c>
      <c r="AI57" t="e">
        <f>VLOOKUP($C57,'Hist Data'!$A$2:$CN$428,'Unchained Indices'!AI$2,0)/VLOOKUP($C56,'Hist Data'!$A$2:$CN$428,'Unchained Indices'!AI$2,0)-1</f>
        <v>#N/A</v>
      </c>
      <c r="AJ57" t="e">
        <f>VLOOKUP($C57,'Hist Data'!$A$2:$CN$428,'Unchained Indices'!AJ$2,0)/VLOOKUP($C56,'Hist Data'!$A$2:$CN$428,'Unchained Indices'!AJ$2,0)-1</f>
        <v>#N/A</v>
      </c>
      <c r="AK57" t="e">
        <f>VLOOKUP($C57,'Hist Data'!$A$2:$CN$428,'Unchained Indices'!AK$2,0)/VLOOKUP($C56,'Hist Data'!$A$2:$CN$428,'Unchained Indices'!AK$2,0)-1</f>
        <v>#N/A</v>
      </c>
      <c r="AL57" t="e">
        <f>VLOOKUP($C57,'Hist Data'!$A$2:$CN$428,'Unchained Indices'!AL$2,0)/VLOOKUP($C56,'Hist Data'!$A$2:$CN$428,'Unchained Indices'!AL$2,0)-1</f>
        <v>#N/A</v>
      </c>
      <c r="AM57" t="e">
        <f>VLOOKUP($C57,'Hist Data'!$A$2:$CN$428,'Unchained Indices'!AM$2,0)/VLOOKUP($C56,'Hist Data'!$A$2:$CN$428,'Unchained Indices'!AM$2,0)-1</f>
        <v>#N/A</v>
      </c>
      <c r="AN57" t="e">
        <f>VLOOKUP($C57,'Hist Data'!$A$2:$CN$428,'Unchained Indices'!AN$2,0)/VLOOKUP($C56,'Hist Data'!$A$2:$CN$428,'Unchained Indices'!AN$2,0)-1</f>
        <v>#N/A</v>
      </c>
      <c r="AO57" t="e">
        <f>VLOOKUP($C57,'Hist Data'!$A$2:$CN$428,'Unchained Indices'!AO$2,0)/VLOOKUP($C56,'Hist Data'!$A$2:$CN$428,'Unchained Indices'!AO$2,0)-1</f>
        <v>#N/A</v>
      </c>
      <c r="AP57" t="e">
        <f>VLOOKUP($C57,'Hist Data'!$A$2:$CN$428,'Unchained Indices'!AP$2,0)/VLOOKUP($C56,'Hist Data'!$A$2:$CN$428,'Unchained Indices'!AP$2,0)-1</f>
        <v>#N/A</v>
      </c>
      <c r="AQ57" t="e">
        <f>VLOOKUP($C57,'Hist Data'!$A$2:$CN$428,'Unchained Indices'!AQ$2,0)/VLOOKUP($C56,'Hist Data'!$A$2:$CN$428,'Unchained Indices'!AQ$2,0)-1</f>
        <v>#N/A</v>
      </c>
      <c r="AR57" t="e">
        <f>VLOOKUP($C57,'Hist Data'!$A$2:$CN$428,'Unchained Indices'!AR$2,0)/VLOOKUP($C56,'Hist Data'!$A$2:$CN$428,'Unchained Indices'!AR$2,0)-1</f>
        <v>#N/A</v>
      </c>
      <c r="AS57" t="e">
        <f>VLOOKUP($C57,'Hist Data'!$A$2:$CN$428,'Unchained Indices'!AS$2,0)/VLOOKUP($C56,'Hist Data'!$A$2:$CN$428,'Unchained Indices'!AS$2,0)-1</f>
        <v>#N/A</v>
      </c>
      <c r="AT57" t="e">
        <f>VLOOKUP($C57,'Hist Data'!$A$2:$CN$428,'Unchained Indices'!AT$2,0)/VLOOKUP($C56,'Hist Data'!$A$2:$CN$428,'Unchained Indices'!AT$2,0)-1</f>
        <v>#N/A</v>
      </c>
      <c r="AU57" t="e">
        <f>VLOOKUP($C57,'Hist Data'!$A$2:$CN$428,'Unchained Indices'!AU$2,0)/VLOOKUP($C56,'Hist Data'!$A$2:$CN$428,'Unchained Indices'!AU$2,0)-1</f>
        <v>#N/A</v>
      </c>
      <c r="AV57" t="e">
        <f>VLOOKUP($C57,'Hist Data'!$A$2:$CN$428,'Unchained Indices'!AV$2,0)/VLOOKUP($C56,'Hist Data'!$A$2:$CN$428,'Unchained Indices'!AV$2,0)-1</f>
        <v>#N/A</v>
      </c>
      <c r="AW57" t="e">
        <f>VLOOKUP($C57,'Hist Data'!$A$2:$CN$428,'Unchained Indices'!AW$2,0)/VLOOKUP($C56,'Hist Data'!$A$2:$CN$428,'Unchained Indices'!AW$2,0)-1</f>
        <v>#N/A</v>
      </c>
      <c r="AX57" t="e">
        <f>VLOOKUP($C57,'Hist Data'!$A$2:$CN$428,'Unchained Indices'!AX$2,0)/VLOOKUP($C56,'Hist Data'!$A$2:$CN$428,'Unchained Indices'!AX$2,0)-1</f>
        <v>#N/A</v>
      </c>
      <c r="AY57" t="e">
        <f>VLOOKUP($C57,'Hist Data'!$A$2:$CN$428,'Unchained Indices'!AY$2,0)/VLOOKUP($C56,'Hist Data'!$A$2:$CN$428,'Unchained Indices'!AY$2,0)-1</f>
        <v>#N/A</v>
      </c>
      <c r="AZ57" t="e">
        <f>VLOOKUP($C57,'Hist Data'!$A$2:$CN$428,'Unchained Indices'!AZ$2,0)/VLOOKUP($C56,'Hist Data'!$A$2:$CN$428,'Unchained Indices'!AZ$2,0)-1</f>
        <v>#N/A</v>
      </c>
      <c r="BA57" t="e">
        <f>VLOOKUP($C57,'Hist Data'!$A$2:$CN$428,'Unchained Indices'!BA$2,0)/VLOOKUP($C56,'Hist Data'!$A$2:$CN$428,'Unchained Indices'!BA$2,0)-1</f>
        <v>#N/A</v>
      </c>
      <c r="BB57" t="e">
        <f>VLOOKUP($C57,'Hist Data'!$A$2:$CN$428,'Unchained Indices'!BB$2,0)/VLOOKUP($C56,'Hist Data'!$A$2:$CN$428,'Unchained Indices'!BB$2,0)-1</f>
        <v>#N/A</v>
      </c>
      <c r="BC57" t="e">
        <f>VLOOKUP($C57,'Hist Data'!$A$2:$CN$428,'Unchained Indices'!BC$2,0)/VLOOKUP($C56,'Hist Data'!$A$2:$CN$428,'Unchained Indices'!BC$2,0)-1</f>
        <v>#N/A</v>
      </c>
      <c r="BD57" t="e">
        <f>VLOOKUP($C57,'Hist Data'!$A$2:$CN$428,'Unchained Indices'!BD$2,0)/VLOOKUP($C56,'Hist Data'!$A$2:$CN$428,'Unchained Indices'!BD$2,0)-1</f>
        <v>#N/A</v>
      </c>
      <c r="BE57" t="e">
        <f>VLOOKUP($C57,'Hist Data'!$A$2:$CN$428,'Unchained Indices'!BE$2,0)/VLOOKUP($C56,'Hist Data'!$A$2:$CN$428,'Unchained Indices'!BE$2,0)-1</f>
        <v>#N/A</v>
      </c>
      <c r="BF57" t="e">
        <f>VLOOKUP($C57,'Hist Data'!$A$2:$CN$428,'Unchained Indices'!BF$2,0)/VLOOKUP($C56,'Hist Data'!$A$2:$CN$428,'Unchained Indices'!BF$2,0)-1</f>
        <v>#N/A</v>
      </c>
      <c r="BG57" t="e">
        <f>VLOOKUP($C57,'Hist Data'!$A$2:$CN$428,'Unchained Indices'!BG$2,0)/VLOOKUP($C56,'Hist Data'!$A$2:$CN$428,'Unchained Indices'!BG$2,0)-1</f>
        <v>#N/A</v>
      </c>
      <c r="BH57" t="e">
        <f>VLOOKUP($C57,'Hist Data'!$A$2:$CN$428,'Unchained Indices'!BH$2,0)/VLOOKUP($C56,'Hist Data'!$A$2:$CN$428,'Unchained Indices'!BH$2,0)-1</f>
        <v>#N/A</v>
      </c>
      <c r="BI57" t="e">
        <f>VLOOKUP($C57,'Hist Data'!$A$2:$CN$428,'Unchained Indices'!BI$2,0)/VLOOKUP($C56,'Hist Data'!$A$2:$CN$428,'Unchained Indices'!BI$2,0)-1</f>
        <v>#N/A</v>
      </c>
      <c r="BJ57" t="e">
        <f>VLOOKUP($C57,'Hist Data'!$A$2:$CN$428,'Unchained Indices'!BJ$2,0)/VLOOKUP($C56,'Hist Data'!$A$2:$CN$428,'Unchained Indices'!BJ$2,0)-1</f>
        <v>#N/A</v>
      </c>
      <c r="BK57" t="e">
        <f>VLOOKUP($C57,'Hist Data'!$A$2:$CN$428,'Unchained Indices'!BK$2,0)/VLOOKUP($C56,'Hist Data'!$A$2:$CN$428,'Unchained Indices'!BK$2,0)-1</f>
        <v>#N/A</v>
      </c>
      <c r="BL57" t="e">
        <f>VLOOKUP($C57,'Hist Data'!$A$2:$CN$428,'Unchained Indices'!BL$2,0)/VLOOKUP($C56,'Hist Data'!$A$2:$CN$428,'Unchained Indices'!BL$2,0)-1</f>
        <v>#N/A</v>
      </c>
      <c r="BM57" t="e">
        <f>VLOOKUP($C57,'Hist Data'!$A$2:$CN$428,'Unchained Indices'!BM$2,0)/VLOOKUP($C56,'Hist Data'!$A$2:$CN$428,'Unchained Indices'!BM$2,0)-1</f>
        <v>#N/A</v>
      </c>
      <c r="BN57" t="e">
        <f>VLOOKUP($C57,'Hist Data'!$A$2:$CN$428,'Unchained Indices'!BN$2,0)/VLOOKUP($C56,'Hist Data'!$A$2:$CN$428,'Unchained Indices'!BN$2,0)-1</f>
        <v>#N/A</v>
      </c>
      <c r="BO57" t="e">
        <f>VLOOKUP($C57,'Hist Data'!$A$2:$CN$428,'Unchained Indices'!BO$2,0)/VLOOKUP($C56,'Hist Data'!$A$2:$CN$428,'Unchained Indices'!BO$2,0)-1</f>
        <v>#N/A</v>
      </c>
      <c r="BP57" t="e">
        <f>VLOOKUP($C57,'Hist Data'!$A$2:$CN$428,'Unchained Indices'!BP$2,0)/VLOOKUP($C56,'Hist Data'!$A$2:$CN$428,'Unchained Indices'!BP$2,0)-1</f>
        <v>#N/A</v>
      </c>
      <c r="BQ57" t="e">
        <f>VLOOKUP($C57,'Hist Data'!$A$2:$CN$428,'Unchained Indices'!BQ$2,0)/VLOOKUP($C56,'Hist Data'!$A$2:$CN$428,'Unchained Indices'!BQ$2,0)-1</f>
        <v>#N/A</v>
      </c>
      <c r="BR57" t="e">
        <f>VLOOKUP($C57,'Hist Data'!$A$2:$CN$428,'Unchained Indices'!BR$2,0)/VLOOKUP($C56,'Hist Data'!$A$2:$CN$428,'Unchained Indices'!BR$2,0)-1</f>
        <v>#N/A</v>
      </c>
      <c r="BS57" t="e">
        <f>VLOOKUP($C57,'Hist Data'!$A$2:$CN$428,'Unchained Indices'!BS$2,0)/VLOOKUP($C56,'Hist Data'!$A$2:$CN$428,'Unchained Indices'!BS$2,0)-1</f>
        <v>#N/A</v>
      </c>
      <c r="BT57" t="e">
        <f>VLOOKUP($C57,'Hist Data'!$A$2:$CN$428,'Unchained Indices'!BT$2,0)/VLOOKUP($C56,'Hist Data'!$A$2:$CN$428,'Unchained Indices'!BT$2,0)-1</f>
        <v>#N/A</v>
      </c>
      <c r="BU57" t="e">
        <f>VLOOKUP($C57,'Hist Data'!$A$2:$CN$428,'Unchained Indices'!BU$2,0)/VLOOKUP($C56,'Hist Data'!$A$2:$CN$428,'Unchained Indices'!BU$2,0)-1</f>
        <v>#N/A</v>
      </c>
      <c r="BV57" t="e">
        <f>VLOOKUP($C57,'Hist Data'!$A$2:$CN$428,'Unchained Indices'!BV$2,0)/VLOOKUP($C56,'Hist Data'!$A$2:$CN$428,'Unchained Indices'!BV$2,0)-1</f>
        <v>#N/A</v>
      </c>
      <c r="BW57" t="e">
        <f>VLOOKUP($C57,'Hist Data'!$A$2:$CN$428,'Unchained Indices'!BW$2,0)/VLOOKUP($C56,'Hist Data'!$A$2:$CN$428,'Unchained Indices'!BW$2,0)-1</f>
        <v>#N/A</v>
      </c>
      <c r="BX57" t="e">
        <f>VLOOKUP($C57,'Hist Data'!$A$2:$CN$428,'Unchained Indices'!BX$2,0)/VLOOKUP($C56,'Hist Data'!$A$2:$CN$428,'Unchained Indices'!BX$2,0)-1</f>
        <v>#N/A</v>
      </c>
      <c r="BY57" t="e">
        <f>VLOOKUP($C57,'Hist Data'!$A$2:$CN$428,'Unchained Indices'!BY$2,0)/VLOOKUP($C56,'Hist Data'!$A$2:$CN$428,'Unchained Indices'!BY$2,0)-1</f>
        <v>#N/A</v>
      </c>
      <c r="BZ57" t="e">
        <f>VLOOKUP($C57,'Hist Data'!$A$2:$CN$428,'Unchained Indices'!BZ$2,0)/VLOOKUP($C56,'Hist Data'!$A$2:$CN$428,'Unchained Indices'!BZ$2,0)-1</f>
        <v>#N/A</v>
      </c>
      <c r="CA57" t="e">
        <f>VLOOKUP($C57,'Hist Data'!$A$2:$CN$428,'Unchained Indices'!CA$2,0)/VLOOKUP($C56,'Hist Data'!$A$2:$CN$428,'Unchained Indices'!CA$2,0)-1</f>
        <v>#N/A</v>
      </c>
      <c r="CB57" t="e">
        <f>VLOOKUP($C57,'Hist Data'!$A$2:$CN$428,'Unchained Indices'!CB$2,0)/VLOOKUP($C56,'Hist Data'!$A$2:$CN$428,'Unchained Indices'!CB$2,0)-1</f>
        <v>#N/A</v>
      </c>
      <c r="CC57" t="e">
        <f>VLOOKUP($C57,'Hist Data'!$A$2:$CN$428,'Unchained Indices'!CC$2,0)/VLOOKUP($C56,'Hist Data'!$A$2:$CN$428,'Unchained Indices'!CC$2,0)-1</f>
        <v>#N/A</v>
      </c>
      <c r="CD57" t="e">
        <f>VLOOKUP($C57,'Hist Data'!$A$2:$CN$428,'Unchained Indices'!CD$2,0)/VLOOKUP($C56,'Hist Data'!$A$2:$CN$428,'Unchained Indices'!CD$2,0)-1</f>
        <v>#N/A</v>
      </c>
      <c r="CE57" t="e">
        <f>VLOOKUP($C57,'Hist Data'!$A$2:$CN$428,'Unchained Indices'!CE$2,0)/VLOOKUP($C56,'Hist Data'!$A$2:$CN$428,'Unchained Indices'!CE$2,0)-1</f>
        <v>#N/A</v>
      </c>
      <c r="CF57" t="e">
        <f>VLOOKUP($C57,'Hist Data'!$A$2:$CN$428,'Unchained Indices'!CF$2,0)/VLOOKUP($C56,'Hist Data'!$A$2:$CN$428,'Unchained Indices'!CF$2,0)-1</f>
        <v>#N/A</v>
      </c>
      <c r="CG57" t="e">
        <f>VLOOKUP($C57,'Hist Data'!$A$2:$CN$428,'Unchained Indices'!CG$2,0)/VLOOKUP($C56,'Hist Data'!$A$2:$CN$428,'Unchained Indices'!CG$2,0)-1</f>
        <v>#N/A</v>
      </c>
      <c r="CH57" t="e">
        <f>VLOOKUP($C57,'Hist Data'!$A$2:$CN$428,'Unchained Indices'!CH$2,0)/VLOOKUP($C56,'Hist Data'!$A$2:$CN$428,'Unchained Indices'!CH$2,0)-1</f>
        <v>#N/A</v>
      </c>
      <c r="CI57" t="e">
        <f>VLOOKUP($C57,'Hist Data'!$A$2:$CN$428,'Unchained Indices'!CI$2,0)/VLOOKUP($C56,'Hist Data'!$A$2:$CN$428,'Unchained Indices'!CI$2,0)-1</f>
        <v>#N/A</v>
      </c>
      <c r="CJ57" t="e">
        <f>VLOOKUP($C57,'Hist Data'!$A$2:$CN$428,'Unchained Indices'!CJ$2,0)/VLOOKUP($C56,'Hist Data'!$A$2:$CN$428,'Unchained Indices'!CJ$2,0)-1</f>
        <v>#N/A</v>
      </c>
      <c r="CK57" t="e">
        <f>VLOOKUP($C57,'Hist Data'!$A$2:$CN$428,'Unchained Indices'!CK$2,0)/VLOOKUP($C56,'Hist Data'!$A$2:$CN$428,'Unchained Indices'!CK$2,0)-1</f>
        <v>#N/A</v>
      </c>
      <c r="CL57" t="e">
        <f>VLOOKUP($C57,'Hist Data'!$A$2:$CN$428,'Unchained Indices'!CL$2,0)/VLOOKUP($C56,'Hist Data'!$A$2:$CN$428,'Unchained Indices'!CL$2,0)-1</f>
        <v>#N/A</v>
      </c>
      <c r="CM57" t="e">
        <f>VLOOKUP($C57,'Hist Data'!$A$2:$CN$428,'Unchained Indices'!CM$2,0)/VLOOKUP($C56,'Hist Data'!$A$2:$CN$428,'Unchained Indices'!CM$2,0)-1</f>
        <v>#N/A</v>
      </c>
      <c r="CN57" t="e">
        <f>VLOOKUP($C57,'Hist Data'!$A$2:$CN$428,'Unchained Indices'!CN$2,0)/VLOOKUP($C56,'Hist Data'!$A$2:$CN$428,'Unchained Indices'!CN$2,0)-1</f>
        <v>#N/A</v>
      </c>
      <c r="CO57" t="e">
        <f>VLOOKUP($C57,'Hist Data'!$A$2:$CN$428,'Unchained Indices'!CO$2,0)/VLOOKUP($C56,'Hist Data'!$A$2:$CN$428,'Unchained Indices'!CO$2,0)-1</f>
        <v>#N/A</v>
      </c>
      <c r="CP57" t="e">
        <f>VLOOKUP($C57,'Hist Data'!$A$2:$CN$428,'Unchained Indices'!CP$2,0)/VLOOKUP($C56,'Hist Data'!$A$2:$CN$428,'Unchained Indices'!CP$2,0)-1</f>
        <v>#N/A</v>
      </c>
    </row>
    <row r="58" spans="3:94" x14ac:dyDescent="0.25">
      <c r="C58" s="6">
        <f t="shared" si="10"/>
        <v>44986</v>
      </c>
      <c r="D58" t="e">
        <f>VLOOKUP($C58,'Hist Data'!$A$2:$CN$428,'Unchained Indices'!D$2,0)/VLOOKUP($C57,'Hist Data'!$A$2:$CN$428,'Unchained Indices'!D$2,0)-1</f>
        <v>#N/A</v>
      </c>
      <c r="E58" t="e">
        <f>VLOOKUP($C58,'Hist Data'!$A$2:$CN$428,'Unchained Indices'!E$2,0)/VLOOKUP($C57,'Hist Data'!$A$2:$CN$428,'Unchained Indices'!E$2,0)-1</f>
        <v>#N/A</v>
      </c>
      <c r="F58" t="e">
        <f>VLOOKUP($C58,'Hist Data'!$A$2:$CN$428,'Unchained Indices'!F$2,0)/VLOOKUP($C57,'Hist Data'!$A$2:$CN$428,'Unchained Indices'!F$2,0)-1</f>
        <v>#N/A</v>
      </c>
      <c r="G58" t="e">
        <f>VLOOKUP($C58,'Hist Data'!$A$2:$CN$428,'Unchained Indices'!G$2,0)/VLOOKUP($C57,'Hist Data'!$A$2:$CN$428,'Unchained Indices'!G$2,0)-1</f>
        <v>#N/A</v>
      </c>
      <c r="H58" t="e">
        <f>VLOOKUP($C58,'Hist Data'!$A$2:$CN$428,'Unchained Indices'!H$2,0)/VLOOKUP($C57,'Hist Data'!$A$2:$CN$428,'Unchained Indices'!H$2,0)-1</f>
        <v>#N/A</v>
      </c>
      <c r="I58" t="e">
        <f>VLOOKUP($C58,'Hist Data'!$A$2:$CN$428,'Unchained Indices'!I$2,0)/VLOOKUP($C57,'Hist Data'!$A$2:$CN$428,'Unchained Indices'!I$2,0)-1</f>
        <v>#N/A</v>
      </c>
      <c r="J58" t="e">
        <f>VLOOKUP($C58,'Hist Data'!$A$2:$CN$428,'Unchained Indices'!J$2,0)/VLOOKUP($C57,'Hist Data'!$A$2:$CN$428,'Unchained Indices'!J$2,0)-1</f>
        <v>#N/A</v>
      </c>
      <c r="K58" t="e">
        <f>VLOOKUP($C58,'Hist Data'!$A$2:$CN$428,'Unchained Indices'!K$2,0)/VLOOKUP($C57,'Hist Data'!$A$2:$CN$428,'Unchained Indices'!K$2,0)-1</f>
        <v>#N/A</v>
      </c>
      <c r="L58" t="e">
        <f>VLOOKUP($C58,'Hist Data'!$A$2:$CN$428,'Unchained Indices'!L$2,0)/VLOOKUP($C57,'Hist Data'!$A$2:$CN$428,'Unchained Indices'!L$2,0)-1</f>
        <v>#N/A</v>
      </c>
      <c r="M58" t="e">
        <f>VLOOKUP($C58,'Hist Data'!$A$2:$CN$428,'Unchained Indices'!M$2,0)/VLOOKUP($C57,'Hist Data'!$A$2:$CN$428,'Unchained Indices'!M$2,0)-1</f>
        <v>#N/A</v>
      </c>
      <c r="N58" t="e">
        <f>VLOOKUP($C58,'Hist Data'!$A$2:$CN$428,'Unchained Indices'!N$2,0)/VLOOKUP($C57,'Hist Data'!$A$2:$CN$428,'Unchained Indices'!N$2,0)-1</f>
        <v>#N/A</v>
      </c>
      <c r="O58" t="e">
        <f>VLOOKUP($C58,'Hist Data'!$A$2:$CN$428,'Unchained Indices'!O$2,0)/VLOOKUP($C57,'Hist Data'!$A$2:$CN$428,'Unchained Indices'!O$2,0)-1</f>
        <v>#N/A</v>
      </c>
      <c r="P58" t="e">
        <f>VLOOKUP($C58,'Hist Data'!$A$2:$CN$428,'Unchained Indices'!P$2,0)/VLOOKUP($C57,'Hist Data'!$A$2:$CN$428,'Unchained Indices'!P$2,0)-1</f>
        <v>#N/A</v>
      </c>
      <c r="Q58" t="e">
        <f>VLOOKUP($C58,'Hist Data'!$A$2:$CN$428,'Unchained Indices'!Q$2,0)/VLOOKUP($C57,'Hist Data'!$A$2:$CN$428,'Unchained Indices'!Q$2,0)-1</f>
        <v>#N/A</v>
      </c>
      <c r="R58" t="e">
        <f>VLOOKUP($C58,'Hist Data'!$A$2:$CN$428,'Unchained Indices'!R$2,0)/VLOOKUP($C57,'Hist Data'!$A$2:$CN$428,'Unchained Indices'!R$2,0)-1</f>
        <v>#N/A</v>
      </c>
      <c r="S58" t="e">
        <f>VLOOKUP($C58,'Hist Data'!$A$2:$CN$428,'Unchained Indices'!S$2,0)/VLOOKUP($C57,'Hist Data'!$A$2:$CN$428,'Unchained Indices'!S$2,0)-1</f>
        <v>#N/A</v>
      </c>
      <c r="T58" t="e">
        <f>VLOOKUP($C58,'Hist Data'!$A$2:$CN$428,'Unchained Indices'!T$2,0)/VLOOKUP($C57,'Hist Data'!$A$2:$CN$428,'Unchained Indices'!T$2,0)-1</f>
        <v>#N/A</v>
      </c>
      <c r="U58" t="e">
        <f>VLOOKUP($C58,'Hist Data'!$A$2:$CN$428,'Unchained Indices'!U$2,0)/VLOOKUP($C57,'Hist Data'!$A$2:$CN$428,'Unchained Indices'!U$2,0)-1</f>
        <v>#N/A</v>
      </c>
      <c r="V58" t="e">
        <f>VLOOKUP($C58,'Hist Data'!$A$2:$CN$428,'Unchained Indices'!V$2,0)/VLOOKUP($C57,'Hist Data'!$A$2:$CN$428,'Unchained Indices'!V$2,0)-1</f>
        <v>#N/A</v>
      </c>
      <c r="W58" t="e">
        <f>VLOOKUP($C58,'Hist Data'!$A$2:$CN$428,'Unchained Indices'!W$2,0)/VLOOKUP($C57,'Hist Data'!$A$2:$CN$428,'Unchained Indices'!W$2,0)-1</f>
        <v>#N/A</v>
      </c>
      <c r="X58" t="e">
        <f>VLOOKUP($C58,'Hist Data'!$A$2:$CN$428,'Unchained Indices'!X$2,0)/VLOOKUP($C57,'Hist Data'!$A$2:$CN$428,'Unchained Indices'!X$2,0)-1</f>
        <v>#N/A</v>
      </c>
      <c r="Y58" t="e">
        <f>VLOOKUP($C58,'Hist Data'!$A$2:$CN$428,'Unchained Indices'!Y$2,0)/VLOOKUP($C57,'Hist Data'!$A$2:$CN$428,'Unchained Indices'!Y$2,0)-1</f>
        <v>#N/A</v>
      </c>
      <c r="Z58" t="e">
        <f>VLOOKUP($C58,'Hist Data'!$A$2:$CN$428,'Unchained Indices'!Z$2,0)/VLOOKUP($C57,'Hist Data'!$A$2:$CN$428,'Unchained Indices'!Z$2,0)-1</f>
        <v>#N/A</v>
      </c>
      <c r="AA58" t="e">
        <f>VLOOKUP($C58,'Hist Data'!$A$2:$CN$428,'Unchained Indices'!AA$2,0)/VLOOKUP($C57,'Hist Data'!$A$2:$CN$428,'Unchained Indices'!AA$2,0)-1</f>
        <v>#N/A</v>
      </c>
      <c r="AB58" t="e">
        <f>VLOOKUP($C58,'Hist Data'!$A$2:$CN$428,'Unchained Indices'!AB$2,0)/VLOOKUP($C57,'Hist Data'!$A$2:$CN$428,'Unchained Indices'!AB$2,0)-1</f>
        <v>#N/A</v>
      </c>
      <c r="AC58" t="e">
        <f>VLOOKUP($C58,'Hist Data'!$A$2:$CN$428,'Unchained Indices'!AC$2,0)/VLOOKUP($C57,'Hist Data'!$A$2:$CN$428,'Unchained Indices'!AC$2,0)-1</f>
        <v>#N/A</v>
      </c>
      <c r="AD58" t="e">
        <f>VLOOKUP($C58,'Hist Data'!$A$2:$CN$428,'Unchained Indices'!AD$2,0)/VLOOKUP($C57,'Hist Data'!$A$2:$CN$428,'Unchained Indices'!AD$2,0)-1</f>
        <v>#N/A</v>
      </c>
      <c r="AE58" t="e">
        <f>VLOOKUP($C58,'Hist Data'!$A$2:$CN$428,'Unchained Indices'!AE$2,0)/VLOOKUP($C57,'Hist Data'!$A$2:$CN$428,'Unchained Indices'!AE$2,0)-1</f>
        <v>#N/A</v>
      </c>
      <c r="AF58" t="e">
        <f>VLOOKUP($C58,'Hist Data'!$A$2:$CN$428,'Unchained Indices'!AF$2,0)/VLOOKUP($C57,'Hist Data'!$A$2:$CN$428,'Unchained Indices'!AF$2,0)-1</f>
        <v>#N/A</v>
      </c>
      <c r="AG58" t="e">
        <f>VLOOKUP($C58,'Hist Data'!$A$2:$CN$428,'Unchained Indices'!AG$2,0)/VLOOKUP($C57,'Hist Data'!$A$2:$CN$428,'Unchained Indices'!AG$2,0)-1</f>
        <v>#N/A</v>
      </c>
      <c r="AH58" t="e">
        <f>VLOOKUP($C58,'Hist Data'!$A$2:$CN$428,'Unchained Indices'!AH$2,0)/VLOOKUP($C57,'Hist Data'!$A$2:$CN$428,'Unchained Indices'!AH$2,0)-1</f>
        <v>#N/A</v>
      </c>
      <c r="AI58" t="e">
        <f>VLOOKUP($C58,'Hist Data'!$A$2:$CN$428,'Unchained Indices'!AI$2,0)/VLOOKUP($C57,'Hist Data'!$A$2:$CN$428,'Unchained Indices'!AI$2,0)-1</f>
        <v>#N/A</v>
      </c>
      <c r="AJ58" t="e">
        <f>VLOOKUP($C58,'Hist Data'!$A$2:$CN$428,'Unchained Indices'!AJ$2,0)/VLOOKUP($C57,'Hist Data'!$A$2:$CN$428,'Unchained Indices'!AJ$2,0)-1</f>
        <v>#N/A</v>
      </c>
      <c r="AK58" t="e">
        <f>VLOOKUP($C58,'Hist Data'!$A$2:$CN$428,'Unchained Indices'!AK$2,0)/VLOOKUP($C57,'Hist Data'!$A$2:$CN$428,'Unchained Indices'!AK$2,0)-1</f>
        <v>#N/A</v>
      </c>
      <c r="AL58" t="e">
        <f>VLOOKUP($C58,'Hist Data'!$A$2:$CN$428,'Unchained Indices'!AL$2,0)/VLOOKUP($C57,'Hist Data'!$A$2:$CN$428,'Unchained Indices'!AL$2,0)-1</f>
        <v>#N/A</v>
      </c>
      <c r="AM58" t="e">
        <f>VLOOKUP($C58,'Hist Data'!$A$2:$CN$428,'Unchained Indices'!AM$2,0)/VLOOKUP($C57,'Hist Data'!$A$2:$CN$428,'Unchained Indices'!AM$2,0)-1</f>
        <v>#N/A</v>
      </c>
      <c r="AN58" t="e">
        <f>VLOOKUP($C58,'Hist Data'!$A$2:$CN$428,'Unchained Indices'!AN$2,0)/VLOOKUP($C57,'Hist Data'!$A$2:$CN$428,'Unchained Indices'!AN$2,0)-1</f>
        <v>#N/A</v>
      </c>
      <c r="AO58" t="e">
        <f>VLOOKUP($C58,'Hist Data'!$A$2:$CN$428,'Unchained Indices'!AO$2,0)/VLOOKUP($C57,'Hist Data'!$A$2:$CN$428,'Unchained Indices'!AO$2,0)-1</f>
        <v>#N/A</v>
      </c>
      <c r="AP58" t="e">
        <f>VLOOKUP($C58,'Hist Data'!$A$2:$CN$428,'Unchained Indices'!AP$2,0)/VLOOKUP($C57,'Hist Data'!$A$2:$CN$428,'Unchained Indices'!AP$2,0)-1</f>
        <v>#N/A</v>
      </c>
      <c r="AQ58" t="e">
        <f>VLOOKUP($C58,'Hist Data'!$A$2:$CN$428,'Unchained Indices'!AQ$2,0)/VLOOKUP($C57,'Hist Data'!$A$2:$CN$428,'Unchained Indices'!AQ$2,0)-1</f>
        <v>#N/A</v>
      </c>
      <c r="AR58" t="e">
        <f>VLOOKUP($C58,'Hist Data'!$A$2:$CN$428,'Unchained Indices'!AR$2,0)/VLOOKUP($C57,'Hist Data'!$A$2:$CN$428,'Unchained Indices'!AR$2,0)-1</f>
        <v>#N/A</v>
      </c>
      <c r="AS58" t="e">
        <f>VLOOKUP($C58,'Hist Data'!$A$2:$CN$428,'Unchained Indices'!AS$2,0)/VLOOKUP($C57,'Hist Data'!$A$2:$CN$428,'Unchained Indices'!AS$2,0)-1</f>
        <v>#N/A</v>
      </c>
      <c r="AT58" t="e">
        <f>VLOOKUP($C58,'Hist Data'!$A$2:$CN$428,'Unchained Indices'!AT$2,0)/VLOOKUP($C57,'Hist Data'!$A$2:$CN$428,'Unchained Indices'!AT$2,0)-1</f>
        <v>#N/A</v>
      </c>
      <c r="AU58" t="e">
        <f>VLOOKUP($C58,'Hist Data'!$A$2:$CN$428,'Unchained Indices'!AU$2,0)/VLOOKUP($C57,'Hist Data'!$A$2:$CN$428,'Unchained Indices'!AU$2,0)-1</f>
        <v>#N/A</v>
      </c>
      <c r="AV58" t="e">
        <f>VLOOKUP($C58,'Hist Data'!$A$2:$CN$428,'Unchained Indices'!AV$2,0)/VLOOKUP($C57,'Hist Data'!$A$2:$CN$428,'Unchained Indices'!AV$2,0)-1</f>
        <v>#N/A</v>
      </c>
      <c r="AW58" t="e">
        <f>VLOOKUP($C58,'Hist Data'!$A$2:$CN$428,'Unchained Indices'!AW$2,0)/VLOOKUP($C57,'Hist Data'!$A$2:$CN$428,'Unchained Indices'!AW$2,0)-1</f>
        <v>#N/A</v>
      </c>
      <c r="AX58" t="e">
        <f>VLOOKUP($C58,'Hist Data'!$A$2:$CN$428,'Unchained Indices'!AX$2,0)/VLOOKUP($C57,'Hist Data'!$A$2:$CN$428,'Unchained Indices'!AX$2,0)-1</f>
        <v>#N/A</v>
      </c>
      <c r="AY58" t="e">
        <f>VLOOKUP($C58,'Hist Data'!$A$2:$CN$428,'Unchained Indices'!AY$2,0)/VLOOKUP($C57,'Hist Data'!$A$2:$CN$428,'Unchained Indices'!AY$2,0)-1</f>
        <v>#N/A</v>
      </c>
      <c r="AZ58" t="e">
        <f>VLOOKUP($C58,'Hist Data'!$A$2:$CN$428,'Unchained Indices'!AZ$2,0)/VLOOKUP($C57,'Hist Data'!$A$2:$CN$428,'Unchained Indices'!AZ$2,0)-1</f>
        <v>#N/A</v>
      </c>
      <c r="BA58" t="e">
        <f>VLOOKUP($C58,'Hist Data'!$A$2:$CN$428,'Unchained Indices'!BA$2,0)/VLOOKUP($C57,'Hist Data'!$A$2:$CN$428,'Unchained Indices'!BA$2,0)-1</f>
        <v>#N/A</v>
      </c>
      <c r="BB58" t="e">
        <f>VLOOKUP($C58,'Hist Data'!$A$2:$CN$428,'Unchained Indices'!BB$2,0)/VLOOKUP($C57,'Hist Data'!$A$2:$CN$428,'Unchained Indices'!BB$2,0)-1</f>
        <v>#N/A</v>
      </c>
      <c r="BC58" t="e">
        <f>VLOOKUP($C58,'Hist Data'!$A$2:$CN$428,'Unchained Indices'!BC$2,0)/VLOOKUP($C57,'Hist Data'!$A$2:$CN$428,'Unchained Indices'!BC$2,0)-1</f>
        <v>#N/A</v>
      </c>
      <c r="BD58" t="e">
        <f>VLOOKUP($C58,'Hist Data'!$A$2:$CN$428,'Unchained Indices'!BD$2,0)/VLOOKUP($C57,'Hist Data'!$A$2:$CN$428,'Unchained Indices'!BD$2,0)-1</f>
        <v>#N/A</v>
      </c>
      <c r="BE58" t="e">
        <f>VLOOKUP($C58,'Hist Data'!$A$2:$CN$428,'Unchained Indices'!BE$2,0)/VLOOKUP($C57,'Hist Data'!$A$2:$CN$428,'Unchained Indices'!BE$2,0)-1</f>
        <v>#N/A</v>
      </c>
      <c r="BF58" t="e">
        <f>VLOOKUP($C58,'Hist Data'!$A$2:$CN$428,'Unchained Indices'!BF$2,0)/VLOOKUP($C57,'Hist Data'!$A$2:$CN$428,'Unchained Indices'!BF$2,0)-1</f>
        <v>#N/A</v>
      </c>
      <c r="BG58" t="e">
        <f>VLOOKUP($C58,'Hist Data'!$A$2:$CN$428,'Unchained Indices'!BG$2,0)/VLOOKUP($C57,'Hist Data'!$A$2:$CN$428,'Unchained Indices'!BG$2,0)-1</f>
        <v>#N/A</v>
      </c>
      <c r="BH58" t="e">
        <f>VLOOKUP($C58,'Hist Data'!$A$2:$CN$428,'Unchained Indices'!BH$2,0)/VLOOKUP($C57,'Hist Data'!$A$2:$CN$428,'Unchained Indices'!BH$2,0)-1</f>
        <v>#N/A</v>
      </c>
      <c r="BI58" t="e">
        <f>VLOOKUP($C58,'Hist Data'!$A$2:$CN$428,'Unchained Indices'!BI$2,0)/VLOOKUP($C57,'Hist Data'!$A$2:$CN$428,'Unchained Indices'!BI$2,0)-1</f>
        <v>#N/A</v>
      </c>
      <c r="BJ58" t="e">
        <f>VLOOKUP($C58,'Hist Data'!$A$2:$CN$428,'Unchained Indices'!BJ$2,0)/VLOOKUP($C57,'Hist Data'!$A$2:$CN$428,'Unchained Indices'!BJ$2,0)-1</f>
        <v>#N/A</v>
      </c>
      <c r="BK58" t="e">
        <f>VLOOKUP($C58,'Hist Data'!$A$2:$CN$428,'Unchained Indices'!BK$2,0)/VLOOKUP($C57,'Hist Data'!$A$2:$CN$428,'Unchained Indices'!BK$2,0)-1</f>
        <v>#N/A</v>
      </c>
      <c r="BL58" t="e">
        <f>VLOOKUP($C58,'Hist Data'!$A$2:$CN$428,'Unchained Indices'!BL$2,0)/VLOOKUP($C57,'Hist Data'!$A$2:$CN$428,'Unchained Indices'!BL$2,0)-1</f>
        <v>#N/A</v>
      </c>
      <c r="BM58" t="e">
        <f>VLOOKUP($C58,'Hist Data'!$A$2:$CN$428,'Unchained Indices'!BM$2,0)/VLOOKUP($C57,'Hist Data'!$A$2:$CN$428,'Unchained Indices'!BM$2,0)-1</f>
        <v>#N/A</v>
      </c>
      <c r="BN58" t="e">
        <f>VLOOKUP($C58,'Hist Data'!$A$2:$CN$428,'Unchained Indices'!BN$2,0)/VLOOKUP($C57,'Hist Data'!$A$2:$CN$428,'Unchained Indices'!BN$2,0)-1</f>
        <v>#N/A</v>
      </c>
      <c r="BO58" t="e">
        <f>VLOOKUP($C58,'Hist Data'!$A$2:$CN$428,'Unchained Indices'!BO$2,0)/VLOOKUP($C57,'Hist Data'!$A$2:$CN$428,'Unchained Indices'!BO$2,0)-1</f>
        <v>#N/A</v>
      </c>
      <c r="BP58" t="e">
        <f>VLOOKUP($C58,'Hist Data'!$A$2:$CN$428,'Unchained Indices'!BP$2,0)/VLOOKUP($C57,'Hist Data'!$A$2:$CN$428,'Unchained Indices'!BP$2,0)-1</f>
        <v>#N/A</v>
      </c>
      <c r="BQ58" t="e">
        <f>VLOOKUP($C58,'Hist Data'!$A$2:$CN$428,'Unchained Indices'!BQ$2,0)/VLOOKUP($C57,'Hist Data'!$A$2:$CN$428,'Unchained Indices'!BQ$2,0)-1</f>
        <v>#N/A</v>
      </c>
      <c r="BR58" t="e">
        <f>VLOOKUP($C58,'Hist Data'!$A$2:$CN$428,'Unchained Indices'!BR$2,0)/VLOOKUP($C57,'Hist Data'!$A$2:$CN$428,'Unchained Indices'!BR$2,0)-1</f>
        <v>#N/A</v>
      </c>
      <c r="BS58" t="e">
        <f>VLOOKUP($C58,'Hist Data'!$A$2:$CN$428,'Unchained Indices'!BS$2,0)/VLOOKUP($C57,'Hist Data'!$A$2:$CN$428,'Unchained Indices'!BS$2,0)-1</f>
        <v>#N/A</v>
      </c>
      <c r="BT58" t="e">
        <f>VLOOKUP($C58,'Hist Data'!$A$2:$CN$428,'Unchained Indices'!BT$2,0)/VLOOKUP($C57,'Hist Data'!$A$2:$CN$428,'Unchained Indices'!BT$2,0)-1</f>
        <v>#N/A</v>
      </c>
      <c r="BU58" t="e">
        <f>VLOOKUP($C58,'Hist Data'!$A$2:$CN$428,'Unchained Indices'!BU$2,0)/VLOOKUP($C57,'Hist Data'!$A$2:$CN$428,'Unchained Indices'!BU$2,0)-1</f>
        <v>#N/A</v>
      </c>
      <c r="BV58" t="e">
        <f>VLOOKUP($C58,'Hist Data'!$A$2:$CN$428,'Unchained Indices'!BV$2,0)/VLOOKUP($C57,'Hist Data'!$A$2:$CN$428,'Unchained Indices'!BV$2,0)-1</f>
        <v>#N/A</v>
      </c>
      <c r="BW58" t="e">
        <f>VLOOKUP($C58,'Hist Data'!$A$2:$CN$428,'Unchained Indices'!BW$2,0)/VLOOKUP($C57,'Hist Data'!$A$2:$CN$428,'Unchained Indices'!BW$2,0)-1</f>
        <v>#N/A</v>
      </c>
      <c r="BX58" t="e">
        <f>VLOOKUP($C58,'Hist Data'!$A$2:$CN$428,'Unchained Indices'!BX$2,0)/VLOOKUP($C57,'Hist Data'!$A$2:$CN$428,'Unchained Indices'!BX$2,0)-1</f>
        <v>#N/A</v>
      </c>
      <c r="BY58" t="e">
        <f>VLOOKUP($C58,'Hist Data'!$A$2:$CN$428,'Unchained Indices'!BY$2,0)/VLOOKUP($C57,'Hist Data'!$A$2:$CN$428,'Unchained Indices'!BY$2,0)-1</f>
        <v>#N/A</v>
      </c>
      <c r="BZ58" t="e">
        <f>VLOOKUP($C58,'Hist Data'!$A$2:$CN$428,'Unchained Indices'!BZ$2,0)/VLOOKUP($C57,'Hist Data'!$A$2:$CN$428,'Unchained Indices'!BZ$2,0)-1</f>
        <v>#N/A</v>
      </c>
      <c r="CA58" t="e">
        <f>VLOOKUP($C58,'Hist Data'!$A$2:$CN$428,'Unchained Indices'!CA$2,0)/VLOOKUP($C57,'Hist Data'!$A$2:$CN$428,'Unchained Indices'!CA$2,0)-1</f>
        <v>#N/A</v>
      </c>
      <c r="CB58" t="e">
        <f>VLOOKUP($C58,'Hist Data'!$A$2:$CN$428,'Unchained Indices'!CB$2,0)/VLOOKUP($C57,'Hist Data'!$A$2:$CN$428,'Unchained Indices'!CB$2,0)-1</f>
        <v>#N/A</v>
      </c>
      <c r="CC58" t="e">
        <f>VLOOKUP($C58,'Hist Data'!$A$2:$CN$428,'Unchained Indices'!CC$2,0)/VLOOKUP($C57,'Hist Data'!$A$2:$CN$428,'Unchained Indices'!CC$2,0)-1</f>
        <v>#N/A</v>
      </c>
      <c r="CD58" t="e">
        <f>VLOOKUP($C58,'Hist Data'!$A$2:$CN$428,'Unchained Indices'!CD$2,0)/VLOOKUP($C57,'Hist Data'!$A$2:$CN$428,'Unchained Indices'!CD$2,0)-1</f>
        <v>#N/A</v>
      </c>
      <c r="CE58" t="e">
        <f>VLOOKUP($C58,'Hist Data'!$A$2:$CN$428,'Unchained Indices'!CE$2,0)/VLOOKUP($C57,'Hist Data'!$A$2:$CN$428,'Unchained Indices'!CE$2,0)-1</f>
        <v>#N/A</v>
      </c>
      <c r="CF58" t="e">
        <f>VLOOKUP($C58,'Hist Data'!$A$2:$CN$428,'Unchained Indices'!CF$2,0)/VLOOKUP($C57,'Hist Data'!$A$2:$CN$428,'Unchained Indices'!CF$2,0)-1</f>
        <v>#N/A</v>
      </c>
      <c r="CG58" t="e">
        <f>VLOOKUP($C58,'Hist Data'!$A$2:$CN$428,'Unchained Indices'!CG$2,0)/VLOOKUP($C57,'Hist Data'!$A$2:$CN$428,'Unchained Indices'!CG$2,0)-1</f>
        <v>#N/A</v>
      </c>
      <c r="CH58" t="e">
        <f>VLOOKUP($C58,'Hist Data'!$A$2:$CN$428,'Unchained Indices'!CH$2,0)/VLOOKUP($C57,'Hist Data'!$A$2:$CN$428,'Unchained Indices'!CH$2,0)-1</f>
        <v>#N/A</v>
      </c>
      <c r="CI58" t="e">
        <f>VLOOKUP($C58,'Hist Data'!$A$2:$CN$428,'Unchained Indices'!CI$2,0)/VLOOKUP($C57,'Hist Data'!$A$2:$CN$428,'Unchained Indices'!CI$2,0)-1</f>
        <v>#N/A</v>
      </c>
      <c r="CJ58" t="e">
        <f>VLOOKUP($C58,'Hist Data'!$A$2:$CN$428,'Unchained Indices'!CJ$2,0)/VLOOKUP($C57,'Hist Data'!$A$2:$CN$428,'Unchained Indices'!CJ$2,0)-1</f>
        <v>#N/A</v>
      </c>
      <c r="CK58" t="e">
        <f>VLOOKUP($C58,'Hist Data'!$A$2:$CN$428,'Unchained Indices'!CK$2,0)/VLOOKUP($C57,'Hist Data'!$A$2:$CN$428,'Unchained Indices'!CK$2,0)-1</f>
        <v>#N/A</v>
      </c>
      <c r="CL58" t="e">
        <f>VLOOKUP($C58,'Hist Data'!$A$2:$CN$428,'Unchained Indices'!CL$2,0)/VLOOKUP($C57,'Hist Data'!$A$2:$CN$428,'Unchained Indices'!CL$2,0)-1</f>
        <v>#N/A</v>
      </c>
      <c r="CM58" t="e">
        <f>VLOOKUP($C58,'Hist Data'!$A$2:$CN$428,'Unchained Indices'!CM$2,0)/VLOOKUP($C57,'Hist Data'!$A$2:$CN$428,'Unchained Indices'!CM$2,0)-1</f>
        <v>#N/A</v>
      </c>
      <c r="CN58" t="e">
        <f>VLOOKUP($C58,'Hist Data'!$A$2:$CN$428,'Unchained Indices'!CN$2,0)/VLOOKUP($C57,'Hist Data'!$A$2:$CN$428,'Unchained Indices'!CN$2,0)-1</f>
        <v>#N/A</v>
      </c>
      <c r="CO58" t="e">
        <f>VLOOKUP($C58,'Hist Data'!$A$2:$CN$428,'Unchained Indices'!CO$2,0)/VLOOKUP($C57,'Hist Data'!$A$2:$CN$428,'Unchained Indices'!CO$2,0)-1</f>
        <v>#N/A</v>
      </c>
      <c r="CP58" t="e">
        <f>VLOOKUP($C58,'Hist Data'!$A$2:$CN$428,'Unchained Indices'!CP$2,0)/VLOOKUP($C57,'Hist Data'!$A$2:$CN$428,'Unchained Indices'!CP$2,0)-1</f>
        <v>#N/A</v>
      </c>
    </row>
    <row r="59" spans="3:94" x14ac:dyDescent="0.25">
      <c r="C59" s="6">
        <f t="shared" si="10"/>
        <v>45017</v>
      </c>
      <c r="D59" t="e">
        <f>VLOOKUP($C59,'Hist Data'!$A$2:$CN$428,'Unchained Indices'!D$2,0)/VLOOKUP($C58,'Hist Data'!$A$2:$CN$428,'Unchained Indices'!D$2,0)-1</f>
        <v>#N/A</v>
      </c>
      <c r="E59" t="e">
        <f>VLOOKUP($C59,'Hist Data'!$A$2:$CN$428,'Unchained Indices'!E$2,0)/VLOOKUP($C58,'Hist Data'!$A$2:$CN$428,'Unchained Indices'!E$2,0)-1</f>
        <v>#N/A</v>
      </c>
      <c r="F59" t="e">
        <f>VLOOKUP($C59,'Hist Data'!$A$2:$CN$428,'Unchained Indices'!F$2,0)/VLOOKUP($C58,'Hist Data'!$A$2:$CN$428,'Unchained Indices'!F$2,0)-1</f>
        <v>#N/A</v>
      </c>
      <c r="G59" t="e">
        <f>VLOOKUP($C59,'Hist Data'!$A$2:$CN$428,'Unchained Indices'!G$2,0)/VLOOKUP($C58,'Hist Data'!$A$2:$CN$428,'Unchained Indices'!G$2,0)-1</f>
        <v>#N/A</v>
      </c>
      <c r="H59" t="e">
        <f>VLOOKUP($C59,'Hist Data'!$A$2:$CN$428,'Unchained Indices'!H$2,0)/VLOOKUP($C58,'Hist Data'!$A$2:$CN$428,'Unchained Indices'!H$2,0)-1</f>
        <v>#N/A</v>
      </c>
      <c r="I59" t="e">
        <f>VLOOKUP($C59,'Hist Data'!$A$2:$CN$428,'Unchained Indices'!I$2,0)/VLOOKUP($C58,'Hist Data'!$A$2:$CN$428,'Unchained Indices'!I$2,0)-1</f>
        <v>#N/A</v>
      </c>
      <c r="J59" t="e">
        <f>VLOOKUP($C59,'Hist Data'!$A$2:$CN$428,'Unchained Indices'!J$2,0)/VLOOKUP($C58,'Hist Data'!$A$2:$CN$428,'Unchained Indices'!J$2,0)-1</f>
        <v>#N/A</v>
      </c>
      <c r="K59" t="e">
        <f>VLOOKUP($C59,'Hist Data'!$A$2:$CN$428,'Unchained Indices'!K$2,0)/VLOOKUP($C58,'Hist Data'!$A$2:$CN$428,'Unchained Indices'!K$2,0)-1</f>
        <v>#N/A</v>
      </c>
      <c r="L59" t="e">
        <f>VLOOKUP($C59,'Hist Data'!$A$2:$CN$428,'Unchained Indices'!L$2,0)/VLOOKUP($C58,'Hist Data'!$A$2:$CN$428,'Unchained Indices'!L$2,0)-1</f>
        <v>#N/A</v>
      </c>
      <c r="M59" t="e">
        <f>VLOOKUP($C59,'Hist Data'!$A$2:$CN$428,'Unchained Indices'!M$2,0)/VLOOKUP($C58,'Hist Data'!$A$2:$CN$428,'Unchained Indices'!M$2,0)-1</f>
        <v>#N/A</v>
      </c>
      <c r="N59" t="e">
        <f>VLOOKUP($C59,'Hist Data'!$A$2:$CN$428,'Unchained Indices'!N$2,0)/VLOOKUP($C58,'Hist Data'!$A$2:$CN$428,'Unchained Indices'!N$2,0)-1</f>
        <v>#N/A</v>
      </c>
      <c r="O59" t="e">
        <f>VLOOKUP($C59,'Hist Data'!$A$2:$CN$428,'Unchained Indices'!O$2,0)/VLOOKUP($C58,'Hist Data'!$A$2:$CN$428,'Unchained Indices'!O$2,0)-1</f>
        <v>#N/A</v>
      </c>
      <c r="P59" t="e">
        <f>VLOOKUP($C59,'Hist Data'!$A$2:$CN$428,'Unchained Indices'!P$2,0)/VLOOKUP($C58,'Hist Data'!$A$2:$CN$428,'Unchained Indices'!P$2,0)-1</f>
        <v>#N/A</v>
      </c>
      <c r="Q59" t="e">
        <f>VLOOKUP($C59,'Hist Data'!$A$2:$CN$428,'Unchained Indices'!Q$2,0)/VLOOKUP($C58,'Hist Data'!$A$2:$CN$428,'Unchained Indices'!Q$2,0)-1</f>
        <v>#N/A</v>
      </c>
      <c r="R59" t="e">
        <f>VLOOKUP($C59,'Hist Data'!$A$2:$CN$428,'Unchained Indices'!R$2,0)/VLOOKUP($C58,'Hist Data'!$A$2:$CN$428,'Unchained Indices'!R$2,0)-1</f>
        <v>#N/A</v>
      </c>
      <c r="S59" t="e">
        <f>VLOOKUP($C59,'Hist Data'!$A$2:$CN$428,'Unchained Indices'!S$2,0)/VLOOKUP($C58,'Hist Data'!$A$2:$CN$428,'Unchained Indices'!S$2,0)-1</f>
        <v>#N/A</v>
      </c>
      <c r="T59" t="e">
        <f>VLOOKUP($C59,'Hist Data'!$A$2:$CN$428,'Unchained Indices'!T$2,0)/VLOOKUP($C58,'Hist Data'!$A$2:$CN$428,'Unchained Indices'!T$2,0)-1</f>
        <v>#N/A</v>
      </c>
      <c r="U59" t="e">
        <f>VLOOKUP($C59,'Hist Data'!$A$2:$CN$428,'Unchained Indices'!U$2,0)/VLOOKUP($C58,'Hist Data'!$A$2:$CN$428,'Unchained Indices'!U$2,0)-1</f>
        <v>#N/A</v>
      </c>
      <c r="V59" t="e">
        <f>VLOOKUP($C59,'Hist Data'!$A$2:$CN$428,'Unchained Indices'!V$2,0)/VLOOKUP($C58,'Hist Data'!$A$2:$CN$428,'Unchained Indices'!V$2,0)-1</f>
        <v>#N/A</v>
      </c>
      <c r="W59" t="e">
        <f>VLOOKUP($C59,'Hist Data'!$A$2:$CN$428,'Unchained Indices'!W$2,0)/VLOOKUP($C58,'Hist Data'!$A$2:$CN$428,'Unchained Indices'!W$2,0)-1</f>
        <v>#N/A</v>
      </c>
      <c r="X59" t="e">
        <f>VLOOKUP($C59,'Hist Data'!$A$2:$CN$428,'Unchained Indices'!X$2,0)/VLOOKUP($C58,'Hist Data'!$A$2:$CN$428,'Unchained Indices'!X$2,0)-1</f>
        <v>#N/A</v>
      </c>
      <c r="Y59" t="e">
        <f>VLOOKUP($C59,'Hist Data'!$A$2:$CN$428,'Unchained Indices'!Y$2,0)/VLOOKUP($C58,'Hist Data'!$A$2:$CN$428,'Unchained Indices'!Y$2,0)-1</f>
        <v>#N/A</v>
      </c>
      <c r="Z59" t="e">
        <f>VLOOKUP($C59,'Hist Data'!$A$2:$CN$428,'Unchained Indices'!Z$2,0)/VLOOKUP($C58,'Hist Data'!$A$2:$CN$428,'Unchained Indices'!Z$2,0)-1</f>
        <v>#N/A</v>
      </c>
      <c r="AA59" t="e">
        <f>VLOOKUP($C59,'Hist Data'!$A$2:$CN$428,'Unchained Indices'!AA$2,0)/VLOOKUP($C58,'Hist Data'!$A$2:$CN$428,'Unchained Indices'!AA$2,0)-1</f>
        <v>#N/A</v>
      </c>
      <c r="AB59" t="e">
        <f>VLOOKUP($C59,'Hist Data'!$A$2:$CN$428,'Unchained Indices'!AB$2,0)/VLOOKUP($C58,'Hist Data'!$A$2:$CN$428,'Unchained Indices'!AB$2,0)-1</f>
        <v>#N/A</v>
      </c>
      <c r="AC59" t="e">
        <f>VLOOKUP($C59,'Hist Data'!$A$2:$CN$428,'Unchained Indices'!AC$2,0)/VLOOKUP($C58,'Hist Data'!$A$2:$CN$428,'Unchained Indices'!AC$2,0)-1</f>
        <v>#N/A</v>
      </c>
      <c r="AD59" t="e">
        <f>VLOOKUP($C59,'Hist Data'!$A$2:$CN$428,'Unchained Indices'!AD$2,0)/VLOOKUP($C58,'Hist Data'!$A$2:$CN$428,'Unchained Indices'!AD$2,0)-1</f>
        <v>#N/A</v>
      </c>
      <c r="AE59" t="e">
        <f>VLOOKUP($C59,'Hist Data'!$A$2:$CN$428,'Unchained Indices'!AE$2,0)/VLOOKUP($C58,'Hist Data'!$A$2:$CN$428,'Unchained Indices'!AE$2,0)-1</f>
        <v>#N/A</v>
      </c>
      <c r="AF59" t="e">
        <f>VLOOKUP($C59,'Hist Data'!$A$2:$CN$428,'Unchained Indices'!AF$2,0)/VLOOKUP($C58,'Hist Data'!$A$2:$CN$428,'Unchained Indices'!AF$2,0)-1</f>
        <v>#N/A</v>
      </c>
      <c r="AG59" t="e">
        <f>VLOOKUP($C59,'Hist Data'!$A$2:$CN$428,'Unchained Indices'!AG$2,0)/VLOOKUP($C58,'Hist Data'!$A$2:$CN$428,'Unchained Indices'!AG$2,0)-1</f>
        <v>#N/A</v>
      </c>
      <c r="AH59" t="e">
        <f>VLOOKUP($C59,'Hist Data'!$A$2:$CN$428,'Unchained Indices'!AH$2,0)/VLOOKUP($C58,'Hist Data'!$A$2:$CN$428,'Unchained Indices'!AH$2,0)-1</f>
        <v>#N/A</v>
      </c>
      <c r="AI59" t="e">
        <f>VLOOKUP($C59,'Hist Data'!$A$2:$CN$428,'Unchained Indices'!AI$2,0)/VLOOKUP($C58,'Hist Data'!$A$2:$CN$428,'Unchained Indices'!AI$2,0)-1</f>
        <v>#N/A</v>
      </c>
      <c r="AJ59" t="e">
        <f>VLOOKUP($C59,'Hist Data'!$A$2:$CN$428,'Unchained Indices'!AJ$2,0)/VLOOKUP($C58,'Hist Data'!$A$2:$CN$428,'Unchained Indices'!AJ$2,0)-1</f>
        <v>#N/A</v>
      </c>
      <c r="AK59" t="e">
        <f>VLOOKUP($C59,'Hist Data'!$A$2:$CN$428,'Unchained Indices'!AK$2,0)/VLOOKUP($C58,'Hist Data'!$A$2:$CN$428,'Unchained Indices'!AK$2,0)-1</f>
        <v>#N/A</v>
      </c>
      <c r="AL59" t="e">
        <f>VLOOKUP($C59,'Hist Data'!$A$2:$CN$428,'Unchained Indices'!AL$2,0)/VLOOKUP($C58,'Hist Data'!$A$2:$CN$428,'Unchained Indices'!AL$2,0)-1</f>
        <v>#N/A</v>
      </c>
      <c r="AM59" t="e">
        <f>VLOOKUP($C59,'Hist Data'!$A$2:$CN$428,'Unchained Indices'!AM$2,0)/VLOOKUP($C58,'Hist Data'!$A$2:$CN$428,'Unchained Indices'!AM$2,0)-1</f>
        <v>#N/A</v>
      </c>
      <c r="AN59" t="e">
        <f>VLOOKUP($C59,'Hist Data'!$A$2:$CN$428,'Unchained Indices'!AN$2,0)/VLOOKUP($C58,'Hist Data'!$A$2:$CN$428,'Unchained Indices'!AN$2,0)-1</f>
        <v>#N/A</v>
      </c>
      <c r="AO59" t="e">
        <f>VLOOKUP($C59,'Hist Data'!$A$2:$CN$428,'Unchained Indices'!AO$2,0)/VLOOKUP($C58,'Hist Data'!$A$2:$CN$428,'Unchained Indices'!AO$2,0)-1</f>
        <v>#N/A</v>
      </c>
      <c r="AP59" t="e">
        <f>VLOOKUP($C59,'Hist Data'!$A$2:$CN$428,'Unchained Indices'!AP$2,0)/VLOOKUP($C58,'Hist Data'!$A$2:$CN$428,'Unchained Indices'!AP$2,0)-1</f>
        <v>#N/A</v>
      </c>
      <c r="AQ59" t="e">
        <f>VLOOKUP($C59,'Hist Data'!$A$2:$CN$428,'Unchained Indices'!AQ$2,0)/VLOOKUP($C58,'Hist Data'!$A$2:$CN$428,'Unchained Indices'!AQ$2,0)-1</f>
        <v>#N/A</v>
      </c>
      <c r="AR59" t="e">
        <f>VLOOKUP($C59,'Hist Data'!$A$2:$CN$428,'Unchained Indices'!AR$2,0)/VLOOKUP($C58,'Hist Data'!$A$2:$CN$428,'Unchained Indices'!AR$2,0)-1</f>
        <v>#N/A</v>
      </c>
      <c r="AS59" t="e">
        <f>VLOOKUP($C59,'Hist Data'!$A$2:$CN$428,'Unchained Indices'!AS$2,0)/VLOOKUP($C58,'Hist Data'!$A$2:$CN$428,'Unchained Indices'!AS$2,0)-1</f>
        <v>#N/A</v>
      </c>
      <c r="AT59" t="e">
        <f>VLOOKUP($C59,'Hist Data'!$A$2:$CN$428,'Unchained Indices'!AT$2,0)/VLOOKUP($C58,'Hist Data'!$A$2:$CN$428,'Unchained Indices'!AT$2,0)-1</f>
        <v>#N/A</v>
      </c>
      <c r="AU59" t="e">
        <f>VLOOKUP($C59,'Hist Data'!$A$2:$CN$428,'Unchained Indices'!AU$2,0)/VLOOKUP($C58,'Hist Data'!$A$2:$CN$428,'Unchained Indices'!AU$2,0)-1</f>
        <v>#N/A</v>
      </c>
      <c r="AV59" t="e">
        <f>VLOOKUP($C59,'Hist Data'!$A$2:$CN$428,'Unchained Indices'!AV$2,0)/VLOOKUP($C58,'Hist Data'!$A$2:$CN$428,'Unchained Indices'!AV$2,0)-1</f>
        <v>#N/A</v>
      </c>
      <c r="AW59" t="e">
        <f>VLOOKUP($C59,'Hist Data'!$A$2:$CN$428,'Unchained Indices'!AW$2,0)/VLOOKUP($C58,'Hist Data'!$A$2:$CN$428,'Unchained Indices'!AW$2,0)-1</f>
        <v>#N/A</v>
      </c>
      <c r="AX59" t="e">
        <f>VLOOKUP($C59,'Hist Data'!$A$2:$CN$428,'Unchained Indices'!AX$2,0)/VLOOKUP($C58,'Hist Data'!$A$2:$CN$428,'Unchained Indices'!AX$2,0)-1</f>
        <v>#N/A</v>
      </c>
      <c r="AY59" t="e">
        <f>VLOOKUP($C59,'Hist Data'!$A$2:$CN$428,'Unchained Indices'!AY$2,0)/VLOOKUP($C58,'Hist Data'!$A$2:$CN$428,'Unchained Indices'!AY$2,0)-1</f>
        <v>#N/A</v>
      </c>
      <c r="AZ59" t="e">
        <f>VLOOKUP($C59,'Hist Data'!$A$2:$CN$428,'Unchained Indices'!AZ$2,0)/VLOOKUP($C58,'Hist Data'!$A$2:$CN$428,'Unchained Indices'!AZ$2,0)-1</f>
        <v>#N/A</v>
      </c>
      <c r="BA59" t="e">
        <f>VLOOKUP($C59,'Hist Data'!$A$2:$CN$428,'Unchained Indices'!BA$2,0)/VLOOKUP($C58,'Hist Data'!$A$2:$CN$428,'Unchained Indices'!BA$2,0)-1</f>
        <v>#N/A</v>
      </c>
      <c r="BB59" t="e">
        <f>VLOOKUP($C59,'Hist Data'!$A$2:$CN$428,'Unchained Indices'!BB$2,0)/VLOOKUP($C58,'Hist Data'!$A$2:$CN$428,'Unchained Indices'!BB$2,0)-1</f>
        <v>#N/A</v>
      </c>
      <c r="BC59" t="e">
        <f>VLOOKUP($C59,'Hist Data'!$A$2:$CN$428,'Unchained Indices'!BC$2,0)/VLOOKUP($C58,'Hist Data'!$A$2:$CN$428,'Unchained Indices'!BC$2,0)-1</f>
        <v>#N/A</v>
      </c>
      <c r="BD59" t="e">
        <f>VLOOKUP($C59,'Hist Data'!$A$2:$CN$428,'Unchained Indices'!BD$2,0)/VLOOKUP($C58,'Hist Data'!$A$2:$CN$428,'Unchained Indices'!BD$2,0)-1</f>
        <v>#N/A</v>
      </c>
      <c r="BE59" t="e">
        <f>VLOOKUP($C59,'Hist Data'!$A$2:$CN$428,'Unchained Indices'!BE$2,0)/VLOOKUP($C58,'Hist Data'!$A$2:$CN$428,'Unchained Indices'!BE$2,0)-1</f>
        <v>#N/A</v>
      </c>
      <c r="BF59" t="e">
        <f>VLOOKUP($C59,'Hist Data'!$A$2:$CN$428,'Unchained Indices'!BF$2,0)/VLOOKUP($C58,'Hist Data'!$A$2:$CN$428,'Unchained Indices'!BF$2,0)-1</f>
        <v>#N/A</v>
      </c>
      <c r="BG59" t="e">
        <f>VLOOKUP($C59,'Hist Data'!$A$2:$CN$428,'Unchained Indices'!BG$2,0)/VLOOKUP($C58,'Hist Data'!$A$2:$CN$428,'Unchained Indices'!BG$2,0)-1</f>
        <v>#N/A</v>
      </c>
      <c r="BH59" t="e">
        <f>VLOOKUP($C59,'Hist Data'!$A$2:$CN$428,'Unchained Indices'!BH$2,0)/VLOOKUP($C58,'Hist Data'!$A$2:$CN$428,'Unchained Indices'!BH$2,0)-1</f>
        <v>#N/A</v>
      </c>
      <c r="BI59" t="e">
        <f>VLOOKUP($C59,'Hist Data'!$A$2:$CN$428,'Unchained Indices'!BI$2,0)/VLOOKUP($C58,'Hist Data'!$A$2:$CN$428,'Unchained Indices'!BI$2,0)-1</f>
        <v>#N/A</v>
      </c>
      <c r="BJ59" t="e">
        <f>VLOOKUP($C59,'Hist Data'!$A$2:$CN$428,'Unchained Indices'!BJ$2,0)/VLOOKUP($C58,'Hist Data'!$A$2:$CN$428,'Unchained Indices'!BJ$2,0)-1</f>
        <v>#N/A</v>
      </c>
      <c r="BK59" t="e">
        <f>VLOOKUP($C59,'Hist Data'!$A$2:$CN$428,'Unchained Indices'!BK$2,0)/VLOOKUP($C58,'Hist Data'!$A$2:$CN$428,'Unchained Indices'!BK$2,0)-1</f>
        <v>#N/A</v>
      </c>
      <c r="BL59" t="e">
        <f>VLOOKUP($C59,'Hist Data'!$A$2:$CN$428,'Unchained Indices'!BL$2,0)/VLOOKUP($C58,'Hist Data'!$A$2:$CN$428,'Unchained Indices'!BL$2,0)-1</f>
        <v>#N/A</v>
      </c>
      <c r="BM59" t="e">
        <f>VLOOKUP($C59,'Hist Data'!$A$2:$CN$428,'Unchained Indices'!BM$2,0)/VLOOKUP($C58,'Hist Data'!$A$2:$CN$428,'Unchained Indices'!BM$2,0)-1</f>
        <v>#N/A</v>
      </c>
      <c r="BN59" t="e">
        <f>VLOOKUP($C59,'Hist Data'!$A$2:$CN$428,'Unchained Indices'!BN$2,0)/VLOOKUP($C58,'Hist Data'!$A$2:$CN$428,'Unchained Indices'!BN$2,0)-1</f>
        <v>#N/A</v>
      </c>
      <c r="BO59" t="e">
        <f>VLOOKUP($C59,'Hist Data'!$A$2:$CN$428,'Unchained Indices'!BO$2,0)/VLOOKUP($C58,'Hist Data'!$A$2:$CN$428,'Unchained Indices'!BO$2,0)-1</f>
        <v>#N/A</v>
      </c>
      <c r="BP59" t="e">
        <f>VLOOKUP($C59,'Hist Data'!$A$2:$CN$428,'Unchained Indices'!BP$2,0)/VLOOKUP($C58,'Hist Data'!$A$2:$CN$428,'Unchained Indices'!BP$2,0)-1</f>
        <v>#N/A</v>
      </c>
      <c r="BQ59" t="e">
        <f>VLOOKUP($C59,'Hist Data'!$A$2:$CN$428,'Unchained Indices'!BQ$2,0)/VLOOKUP($C58,'Hist Data'!$A$2:$CN$428,'Unchained Indices'!BQ$2,0)-1</f>
        <v>#N/A</v>
      </c>
      <c r="BR59" t="e">
        <f>VLOOKUP($C59,'Hist Data'!$A$2:$CN$428,'Unchained Indices'!BR$2,0)/VLOOKUP($C58,'Hist Data'!$A$2:$CN$428,'Unchained Indices'!BR$2,0)-1</f>
        <v>#N/A</v>
      </c>
      <c r="BS59" t="e">
        <f>VLOOKUP($C59,'Hist Data'!$A$2:$CN$428,'Unchained Indices'!BS$2,0)/VLOOKUP($C58,'Hist Data'!$A$2:$CN$428,'Unchained Indices'!BS$2,0)-1</f>
        <v>#N/A</v>
      </c>
      <c r="BT59" t="e">
        <f>VLOOKUP($C59,'Hist Data'!$A$2:$CN$428,'Unchained Indices'!BT$2,0)/VLOOKUP($C58,'Hist Data'!$A$2:$CN$428,'Unchained Indices'!BT$2,0)-1</f>
        <v>#N/A</v>
      </c>
      <c r="BU59" t="e">
        <f>VLOOKUP($C59,'Hist Data'!$A$2:$CN$428,'Unchained Indices'!BU$2,0)/VLOOKUP($C58,'Hist Data'!$A$2:$CN$428,'Unchained Indices'!BU$2,0)-1</f>
        <v>#N/A</v>
      </c>
      <c r="BV59" t="e">
        <f>VLOOKUP($C59,'Hist Data'!$A$2:$CN$428,'Unchained Indices'!BV$2,0)/VLOOKUP($C58,'Hist Data'!$A$2:$CN$428,'Unchained Indices'!BV$2,0)-1</f>
        <v>#N/A</v>
      </c>
      <c r="BW59" t="e">
        <f>VLOOKUP($C59,'Hist Data'!$A$2:$CN$428,'Unchained Indices'!BW$2,0)/VLOOKUP($C58,'Hist Data'!$A$2:$CN$428,'Unchained Indices'!BW$2,0)-1</f>
        <v>#N/A</v>
      </c>
      <c r="BX59" t="e">
        <f>VLOOKUP($C59,'Hist Data'!$A$2:$CN$428,'Unchained Indices'!BX$2,0)/VLOOKUP($C58,'Hist Data'!$A$2:$CN$428,'Unchained Indices'!BX$2,0)-1</f>
        <v>#N/A</v>
      </c>
      <c r="BY59" t="e">
        <f>VLOOKUP($C59,'Hist Data'!$A$2:$CN$428,'Unchained Indices'!BY$2,0)/VLOOKUP($C58,'Hist Data'!$A$2:$CN$428,'Unchained Indices'!BY$2,0)-1</f>
        <v>#N/A</v>
      </c>
      <c r="BZ59" t="e">
        <f>VLOOKUP($C59,'Hist Data'!$A$2:$CN$428,'Unchained Indices'!BZ$2,0)/VLOOKUP($C58,'Hist Data'!$A$2:$CN$428,'Unchained Indices'!BZ$2,0)-1</f>
        <v>#N/A</v>
      </c>
      <c r="CA59" t="e">
        <f>VLOOKUP($C59,'Hist Data'!$A$2:$CN$428,'Unchained Indices'!CA$2,0)/VLOOKUP($C58,'Hist Data'!$A$2:$CN$428,'Unchained Indices'!CA$2,0)-1</f>
        <v>#N/A</v>
      </c>
      <c r="CB59" t="e">
        <f>VLOOKUP($C59,'Hist Data'!$A$2:$CN$428,'Unchained Indices'!CB$2,0)/VLOOKUP($C58,'Hist Data'!$A$2:$CN$428,'Unchained Indices'!CB$2,0)-1</f>
        <v>#N/A</v>
      </c>
      <c r="CC59" t="e">
        <f>VLOOKUP($C59,'Hist Data'!$A$2:$CN$428,'Unchained Indices'!CC$2,0)/VLOOKUP($C58,'Hist Data'!$A$2:$CN$428,'Unchained Indices'!CC$2,0)-1</f>
        <v>#N/A</v>
      </c>
      <c r="CD59" t="e">
        <f>VLOOKUP($C59,'Hist Data'!$A$2:$CN$428,'Unchained Indices'!CD$2,0)/VLOOKUP($C58,'Hist Data'!$A$2:$CN$428,'Unchained Indices'!CD$2,0)-1</f>
        <v>#N/A</v>
      </c>
      <c r="CE59" t="e">
        <f>VLOOKUP($C59,'Hist Data'!$A$2:$CN$428,'Unchained Indices'!CE$2,0)/VLOOKUP($C58,'Hist Data'!$A$2:$CN$428,'Unchained Indices'!CE$2,0)-1</f>
        <v>#N/A</v>
      </c>
      <c r="CF59" t="e">
        <f>VLOOKUP($C59,'Hist Data'!$A$2:$CN$428,'Unchained Indices'!CF$2,0)/VLOOKUP($C58,'Hist Data'!$A$2:$CN$428,'Unchained Indices'!CF$2,0)-1</f>
        <v>#N/A</v>
      </c>
      <c r="CG59" t="e">
        <f>VLOOKUP($C59,'Hist Data'!$A$2:$CN$428,'Unchained Indices'!CG$2,0)/VLOOKUP($C58,'Hist Data'!$A$2:$CN$428,'Unchained Indices'!CG$2,0)-1</f>
        <v>#N/A</v>
      </c>
      <c r="CH59" t="e">
        <f>VLOOKUP($C59,'Hist Data'!$A$2:$CN$428,'Unchained Indices'!CH$2,0)/VLOOKUP($C58,'Hist Data'!$A$2:$CN$428,'Unchained Indices'!CH$2,0)-1</f>
        <v>#N/A</v>
      </c>
      <c r="CI59" t="e">
        <f>VLOOKUP($C59,'Hist Data'!$A$2:$CN$428,'Unchained Indices'!CI$2,0)/VLOOKUP($C58,'Hist Data'!$A$2:$CN$428,'Unchained Indices'!CI$2,0)-1</f>
        <v>#N/A</v>
      </c>
      <c r="CJ59" t="e">
        <f>VLOOKUP($C59,'Hist Data'!$A$2:$CN$428,'Unchained Indices'!CJ$2,0)/VLOOKUP($C58,'Hist Data'!$A$2:$CN$428,'Unchained Indices'!CJ$2,0)-1</f>
        <v>#N/A</v>
      </c>
      <c r="CK59" t="e">
        <f>VLOOKUP($C59,'Hist Data'!$A$2:$CN$428,'Unchained Indices'!CK$2,0)/VLOOKUP($C58,'Hist Data'!$A$2:$CN$428,'Unchained Indices'!CK$2,0)-1</f>
        <v>#N/A</v>
      </c>
      <c r="CL59" t="e">
        <f>VLOOKUP($C59,'Hist Data'!$A$2:$CN$428,'Unchained Indices'!CL$2,0)/VLOOKUP($C58,'Hist Data'!$A$2:$CN$428,'Unchained Indices'!CL$2,0)-1</f>
        <v>#N/A</v>
      </c>
      <c r="CM59" t="e">
        <f>VLOOKUP($C59,'Hist Data'!$A$2:$CN$428,'Unchained Indices'!CM$2,0)/VLOOKUP($C58,'Hist Data'!$A$2:$CN$428,'Unchained Indices'!CM$2,0)-1</f>
        <v>#N/A</v>
      </c>
      <c r="CN59" t="e">
        <f>VLOOKUP($C59,'Hist Data'!$A$2:$CN$428,'Unchained Indices'!CN$2,0)/VLOOKUP($C58,'Hist Data'!$A$2:$CN$428,'Unchained Indices'!CN$2,0)-1</f>
        <v>#N/A</v>
      </c>
      <c r="CO59" t="e">
        <f>VLOOKUP($C59,'Hist Data'!$A$2:$CN$428,'Unchained Indices'!CO$2,0)/VLOOKUP($C58,'Hist Data'!$A$2:$CN$428,'Unchained Indices'!CO$2,0)-1</f>
        <v>#N/A</v>
      </c>
      <c r="CP59" t="e">
        <f>VLOOKUP($C59,'Hist Data'!$A$2:$CN$428,'Unchained Indices'!CP$2,0)/VLOOKUP($C58,'Hist Data'!$A$2:$CN$428,'Unchained Indices'!CP$2,0)-1</f>
        <v>#N/A</v>
      </c>
    </row>
    <row r="60" spans="3:94" x14ac:dyDescent="0.25">
      <c r="C60" s="6">
        <f t="shared" si="10"/>
        <v>45047</v>
      </c>
      <c r="D60" t="e">
        <f>VLOOKUP($C60,'Hist Data'!$A$2:$CN$428,'Unchained Indices'!D$2,0)/VLOOKUP($C59,'Hist Data'!$A$2:$CN$428,'Unchained Indices'!D$2,0)-1</f>
        <v>#N/A</v>
      </c>
      <c r="E60" t="e">
        <f>VLOOKUP($C60,'Hist Data'!$A$2:$CN$428,'Unchained Indices'!E$2,0)/VLOOKUP($C59,'Hist Data'!$A$2:$CN$428,'Unchained Indices'!E$2,0)-1</f>
        <v>#N/A</v>
      </c>
      <c r="F60" t="e">
        <f>VLOOKUP($C60,'Hist Data'!$A$2:$CN$428,'Unchained Indices'!F$2,0)/VLOOKUP($C59,'Hist Data'!$A$2:$CN$428,'Unchained Indices'!F$2,0)-1</f>
        <v>#N/A</v>
      </c>
      <c r="G60" t="e">
        <f>VLOOKUP($C60,'Hist Data'!$A$2:$CN$428,'Unchained Indices'!G$2,0)/VLOOKUP($C59,'Hist Data'!$A$2:$CN$428,'Unchained Indices'!G$2,0)-1</f>
        <v>#N/A</v>
      </c>
      <c r="H60" t="e">
        <f>VLOOKUP($C60,'Hist Data'!$A$2:$CN$428,'Unchained Indices'!H$2,0)/VLOOKUP($C59,'Hist Data'!$A$2:$CN$428,'Unchained Indices'!H$2,0)-1</f>
        <v>#N/A</v>
      </c>
      <c r="I60" t="e">
        <f>VLOOKUP($C60,'Hist Data'!$A$2:$CN$428,'Unchained Indices'!I$2,0)/VLOOKUP($C59,'Hist Data'!$A$2:$CN$428,'Unchained Indices'!I$2,0)-1</f>
        <v>#N/A</v>
      </c>
      <c r="J60" t="e">
        <f>VLOOKUP($C60,'Hist Data'!$A$2:$CN$428,'Unchained Indices'!J$2,0)/VLOOKUP($C59,'Hist Data'!$A$2:$CN$428,'Unchained Indices'!J$2,0)-1</f>
        <v>#N/A</v>
      </c>
      <c r="K60" t="e">
        <f>VLOOKUP($C60,'Hist Data'!$A$2:$CN$428,'Unchained Indices'!K$2,0)/VLOOKUP($C59,'Hist Data'!$A$2:$CN$428,'Unchained Indices'!K$2,0)-1</f>
        <v>#N/A</v>
      </c>
      <c r="L60" t="e">
        <f>VLOOKUP($C60,'Hist Data'!$A$2:$CN$428,'Unchained Indices'!L$2,0)/VLOOKUP($C59,'Hist Data'!$A$2:$CN$428,'Unchained Indices'!L$2,0)-1</f>
        <v>#N/A</v>
      </c>
      <c r="M60" t="e">
        <f>VLOOKUP($C60,'Hist Data'!$A$2:$CN$428,'Unchained Indices'!M$2,0)/VLOOKUP($C59,'Hist Data'!$A$2:$CN$428,'Unchained Indices'!M$2,0)-1</f>
        <v>#N/A</v>
      </c>
      <c r="N60" t="e">
        <f>VLOOKUP($C60,'Hist Data'!$A$2:$CN$428,'Unchained Indices'!N$2,0)/VLOOKUP($C59,'Hist Data'!$A$2:$CN$428,'Unchained Indices'!N$2,0)-1</f>
        <v>#N/A</v>
      </c>
      <c r="O60" t="e">
        <f>VLOOKUP($C60,'Hist Data'!$A$2:$CN$428,'Unchained Indices'!O$2,0)/VLOOKUP($C59,'Hist Data'!$A$2:$CN$428,'Unchained Indices'!O$2,0)-1</f>
        <v>#N/A</v>
      </c>
      <c r="P60" t="e">
        <f>VLOOKUP($C60,'Hist Data'!$A$2:$CN$428,'Unchained Indices'!P$2,0)/VLOOKUP($C59,'Hist Data'!$A$2:$CN$428,'Unchained Indices'!P$2,0)-1</f>
        <v>#N/A</v>
      </c>
      <c r="Q60" t="e">
        <f>VLOOKUP($C60,'Hist Data'!$A$2:$CN$428,'Unchained Indices'!Q$2,0)/VLOOKUP($C59,'Hist Data'!$A$2:$CN$428,'Unchained Indices'!Q$2,0)-1</f>
        <v>#N/A</v>
      </c>
      <c r="R60" t="e">
        <f>VLOOKUP($C60,'Hist Data'!$A$2:$CN$428,'Unchained Indices'!R$2,0)/VLOOKUP($C59,'Hist Data'!$A$2:$CN$428,'Unchained Indices'!R$2,0)-1</f>
        <v>#N/A</v>
      </c>
      <c r="S60" t="e">
        <f>VLOOKUP($C60,'Hist Data'!$A$2:$CN$428,'Unchained Indices'!S$2,0)/VLOOKUP($C59,'Hist Data'!$A$2:$CN$428,'Unchained Indices'!S$2,0)-1</f>
        <v>#N/A</v>
      </c>
      <c r="T60" t="e">
        <f>VLOOKUP($C60,'Hist Data'!$A$2:$CN$428,'Unchained Indices'!T$2,0)/VLOOKUP($C59,'Hist Data'!$A$2:$CN$428,'Unchained Indices'!T$2,0)-1</f>
        <v>#N/A</v>
      </c>
      <c r="U60" t="e">
        <f>VLOOKUP($C60,'Hist Data'!$A$2:$CN$428,'Unchained Indices'!U$2,0)/VLOOKUP($C59,'Hist Data'!$A$2:$CN$428,'Unchained Indices'!U$2,0)-1</f>
        <v>#N/A</v>
      </c>
      <c r="V60" t="e">
        <f>VLOOKUP($C60,'Hist Data'!$A$2:$CN$428,'Unchained Indices'!V$2,0)/VLOOKUP($C59,'Hist Data'!$A$2:$CN$428,'Unchained Indices'!V$2,0)-1</f>
        <v>#N/A</v>
      </c>
      <c r="W60" t="e">
        <f>VLOOKUP($C60,'Hist Data'!$A$2:$CN$428,'Unchained Indices'!W$2,0)/VLOOKUP($C59,'Hist Data'!$A$2:$CN$428,'Unchained Indices'!W$2,0)-1</f>
        <v>#N/A</v>
      </c>
      <c r="X60" t="e">
        <f>VLOOKUP($C60,'Hist Data'!$A$2:$CN$428,'Unchained Indices'!X$2,0)/VLOOKUP($C59,'Hist Data'!$A$2:$CN$428,'Unchained Indices'!X$2,0)-1</f>
        <v>#N/A</v>
      </c>
      <c r="Y60" t="e">
        <f>VLOOKUP($C60,'Hist Data'!$A$2:$CN$428,'Unchained Indices'!Y$2,0)/VLOOKUP($C59,'Hist Data'!$A$2:$CN$428,'Unchained Indices'!Y$2,0)-1</f>
        <v>#N/A</v>
      </c>
      <c r="Z60" t="e">
        <f>VLOOKUP($C60,'Hist Data'!$A$2:$CN$428,'Unchained Indices'!Z$2,0)/VLOOKUP($C59,'Hist Data'!$A$2:$CN$428,'Unchained Indices'!Z$2,0)-1</f>
        <v>#N/A</v>
      </c>
      <c r="AA60" t="e">
        <f>VLOOKUP($C60,'Hist Data'!$A$2:$CN$428,'Unchained Indices'!AA$2,0)/VLOOKUP($C59,'Hist Data'!$A$2:$CN$428,'Unchained Indices'!AA$2,0)-1</f>
        <v>#N/A</v>
      </c>
      <c r="AB60" t="e">
        <f>VLOOKUP($C60,'Hist Data'!$A$2:$CN$428,'Unchained Indices'!AB$2,0)/VLOOKUP($C59,'Hist Data'!$A$2:$CN$428,'Unchained Indices'!AB$2,0)-1</f>
        <v>#N/A</v>
      </c>
      <c r="AC60" t="e">
        <f>VLOOKUP($C60,'Hist Data'!$A$2:$CN$428,'Unchained Indices'!AC$2,0)/VLOOKUP($C59,'Hist Data'!$A$2:$CN$428,'Unchained Indices'!AC$2,0)-1</f>
        <v>#N/A</v>
      </c>
      <c r="AD60" t="e">
        <f>VLOOKUP($C60,'Hist Data'!$A$2:$CN$428,'Unchained Indices'!AD$2,0)/VLOOKUP($C59,'Hist Data'!$A$2:$CN$428,'Unchained Indices'!AD$2,0)-1</f>
        <v>#N/A</v>
      </c>
      <c r="AE60" t="e">
        <f>VLOOKUP($C60,'Hist Data'!$A$2:$CN$428,'Unchained Indices'!AE$2,0)/VLOOKUP($C59,'Hist Data'!$A$2:$CN$428,'Unchained Indices'!AE$2,0)-1</f>
        <v>#N/A</v>
      </c>
      <c r="AF60" t="e">
        <f>VLOOKUP($C60,'Hist Data'!$A$2:$CN$428,'Unchained Indices'!AF$2,0)/VLOOKUP($C59,'Hist Data'!$A$2:$CN$428,'Unchained Indices'!AF$2,0)-1</f>
        <v>#N/A</v>
      </c>
      <c r="AG60" t="e">
        <f>VLOOKUP($C60,'Hist Data'!$A$2:$CN$428,'Unchained Indices'!AG$2,0)/VLOOKUP($C59,'Hist Data'!$A$2:$CN$428,'Unchained Indices'!AG$2,0)-1</f>
        <v>#N/A</v>
      </c>
      <c r="AH60" t="e">
        <f>VLOOKUP($C60,'Hist Data'!$A$2:$CN$428,'Unchained Indices'!AH$2,0)/VLOOKUP($C59,'Hist Data'!$A$2:$CN$428,'Unchained Indices'!AH$2,0)-1</f>
        <v>#N/A</v>
      </c>
      <c r="AI60" t="e">
        <f>VLOOKUP($C60,'Hist Data'!$A$2:$CN$428,'Unchained Indices'!AI$2,0)/VLOOKUP($C59,'Hist Data'!$A$2:$CN$428,'Unchained Indices'!AI$2,0)-1</f>
        <v>#N/A</v>
      </c>
      <c r="AJ60" t="e">
        <f>VLOOKUP($C60,'Hist Data'!$A$2:$CN$428,'Unchained Indices'!AJ$2,0)/VLOOKUP($C59,'Hist Data'!$A$2:$CN$428,'Unchained Indices'!AJ$2,0)-1</f>
        <v>#N/A</v>
      </c>
      <c r="AK60" t="e">
        <f>VLOOKUP($C60,'Hist Data'!$A$2:$CN$428,'Unchained Indices'!AK$2,0)/VLOOKUP($C59,'Hist Data'!$A$2:$CN$428,'Unchained Indices'!AK$2,0)-1</f>
        <v>#N/A</v>
      </c>
      <c r="AL60" t="e">
        <f>VLOOKUP($C60,'Hist Data'!$A$2:$CN$428,'Unchained Indices'!AL$2,0)/VLOOKUP($C59,'Hist Data'!$A$2:$CN$428,'Unchained Indices'!AL$2,0)-1</f>
        <v>#N/A</v>
      </c>
      <c r="AM60" t="e">
        <f>VLOOKUP($C60,'Hist Data'!$A$2:$CN$428,'Unchained Indices'!AM$2,0)/VLOOKUP($C59,'Hist Data'!$A$2:$CN$428,'Unchained Indices'!AM$2,0)-1</f>
        <v>#N/A</v>
      </c>
      <c r="AN60" t="e">
        <f>VLOOKUP($C60,'Hist Data'!$A$2:$CN$428,'Unchained Indices'!AN$2,0)/VLOOKUP($C59,'Hist Data'!$A$2:$CN$428,'Unchained Indices'!AN$2,0)-1</f>
        <v>#N/A</v>
      </c>
      <c r="AO60" t="e">
        <f>VLOOKUP($C60,'Hist Data'!$A$2:$CN$428,'Unchained Indices'!AO$2,0)/VLOOKUP($C59,'Hist Data'!$A$2:$CN$428,'Unchained Indices'!AO$2,0)-1</f>
        <v>#N/A</v>
      </c>
      <c r="AP60" t="e">
        <f>VLOOKUP($C60,'Hist Data'!$A$2:$CN$428,'Unchained Indices'!AP$2,0)/VLOOKUP($C59,'Hist Data'!$A$2:$CN$428,'Unchained Indices'!AP$2,0)-1</f>
        <v>#N/A</v>
      </c>
      <c r="AQ60" t="e">
        <f>VLOOKUP($C60,'Hist Data'!$A$2:$CN$428,'Unchained Indices'!AQ$2,0)/VLOOKUP($C59,'Hist Data'!$A$2:$CN$428,'Unchained Indices'!AQ$2,0)-1</f>
        <v>#N/A</v>
      </c>
      <c r="AR60" t="e">
        <f>VLOOKUP($C60,'Hist Data'!$A$2:$CN$428,'Unchained Indices'!AR$2,0)/VLOOKUP($C59,'Hist Data'!$A$2:$CN$428,'Unchained Indices'!AR$2,0)-1</f>
        <v>#N/A</v>
      </c>
      <c r="AS60" t="e">
        <f>VLOOKUP($C60,'Hist Data'!$A$2:$CN$428,'Unchained Indices'!AS$2,0)/VLOOKUP($C59,'Hist Data'!$A$2:$CN$428,'Unchained Indices'!AS$2,0)-1</f>
        <v>#N/A</v>
      </c>
      <c r="AT60" t="e">
        <f>VLOOKUP($C60,'Hist Data'!$A$2:$CN$428,'Unchained Indices'!AT$2,0)/VLOOKUP($C59,'Hist Data'!$A$2:$CN$428,'Unchained Indices'!AT$2,0)-1</f>
        <v>#N/A</v>
      </c>
      <c r="AU60" t="e">
        <f>VLOOKUP($C60,'Hist Data'!$A$2:$CN$428,'Unchained Indices'!AU$2,0)/VLOOKUP($C59,'Hist Data'!$A$2:$CN$428,'Unchained Indices'!AU$2,0)-1</f>
        <v>#N/A</v>
      </c>
      <c r="AV60" t="e">
        <f>VLOOKUP($C60,'Hist Data'!$A$2:$CN$428,'Unchained Indices'!AV$2,0)/VLOOKUP($C59,'Hist Data'!$A$2:$CN$428,'Unchained Indices'!AV$2,0)-1</f>
        <v>#N/A</v>
      </c>
      <c r="AW60" t="e">
        <f>VLOOKUP($C60,'Hist Data'!$A$2:$CN$428,'Unchained Indices'!AW$2,0)/VLOOKUP($C59,'Hist Data'!$A$2:$CN$428,'Unchained Indices'!AW$2,0)-1</f>
        <v>#N/A</v>
      </c>
      <c r="AX60" t="e">
        <f>VLOOKUP($C60,'Hist Data'!$A$2:$CN$428,'Unchained Indices'!AX$2,0)/VLOOKUP($C59,'Hist Data'!$A$2:$CN$428,'Unchained Indices'!AX$2,0)-1</f>
        <v>#N/A</v>
      </c>
      <c r="AY60" t="e">
        <f>VLOOKUP($C60,'Hist Data'!$A$2:$CN$428,'Unchained Indices'!AY$2,0)/VLOOKUP($C59,'Hist Data'!$A$2:$CN$428,'Unchained Indices'!AY$2,0)-1</f>
        <v>#N/A</v>
      </c>
      <c r="AZ60" t="e">
        <f>VLOOKUP($C60,'Hist Data'!$A$2:$CN$428,'Unchained Indices'!AZ$2,0)/VLOOKUP($C59,'Hist Data'!$A$2:$CN$428,'Unchained Indices'!AZ$2,0)-1</f>
        <v>#N/A</v>
      </c>
      <c r="BA60" t="e">
        <f>VLOOKUP($C60,'Hist Data'!$A$2:$CN$428,'Unchained Indices'!BA$2,0)/VLOOKUP($C59,'Hist Data'!$A$2:$CN$428,'Unchained Indices'!BA$2,0)-1</f>
        <v>#N/A</v>
      </c>
      <c r="BB60" t="e">
        <f>VLOOKUP($C60,'Hist Data'!$A$2:$CN$428,'Unchained Indices'!BB$2,0)/VLOOKUP($C59,'Hist Data'!$A$2:$CN$428,'Unchained Indices'!BB$2,0)-1</f>
        <v>#N/A</v>
      </c>
      <c r="BC60" t="e">
        <f>VLOOKUP($C60,'Hist Data'!$A$2:$CN$428,'Unchained Indices'!BC$2,0)/VLOOKUP($C59,'Hist Data'!$A$2:$CN$428,'Unchained Indices'!BC$2,0)-1</f>
        <v>#N/A</v>
      </c>
      <c r="BD60" t="e">
        <f>VLOOKUP($C60,'Hist Data'!$A$2:$CN$428,'Unchained Indices'!BD$2,0)/VLOOKUP($C59,'Hist Data'!$A$2:$CN$428,'Unchained Indices'!BD$2,0)-1</f>
        <v>#N/A</v>
      </c>
      <c r="BE60" t="e">
        <f>VLOOKUP($C60,'Hist Data'!$A$2:$CN$428,'Unchained Indices'!BE$2,0)/VLOOKUP($C59,'Hist Data'!$A$2:$CN$428,'Unchained Indices'!BE$2,0)-1</f>
        <v>#N/A</v>
      </c>
      <c r="BF60" t="e">
        <f>VLOOKUP($C60,'Hist Data'!$A$2:$CN$428,'Unchained Indices'!BF$2,0)/VLOOKUP($C59,'Hist Data'!$A$2:$CN$428,'Unchained Indices'!BF$2,0)-1</f>
        <v>#N/A</v>
      </c>
      <c r="BG60" t="e">
        <f>VLOOKUP($C60,'Hist Data'!$A$2:$CN$428,'Unchained Indices'!BG$2,0)/VLOOKUP($C59,'Hist Data'!$A$2:$CN$428,'Unchained Indices'!BG$2,0)-1</f>
        <v>#N/A</v>
      </c>
      <c r="BH60" t="e">
        <f>VLOOKUP($C60,'Hist Data'!$A$2:$CN$428,'Unchained Indices'!BH$2,0)/VLOOKUP($C59,'Hist Data'!$A$2:$CN$428,'Unchained Indices'!BH$2,0)-1</f>
        <v>#N/A</v>
      </c>
      <c r="BI60" t="e">
        <f>VLOOKUP($C60,'Hist Data'!$A$2:$CN$428,'Unchained Indices'!BI$2,0)/VLOOKUP($C59,'Hist Data'!$A$2:$CN$428,'Unchained Indices'!BI$2,0)-1</f>
        <v>#N/A</v>
      </c>
      <c r="BJ60" t="e">
        <f>VLOOKUP($C60,'Hist Data'!$A$2:$CN$428,'Unchained Indices'!BJ$2,0)/VLOOKUP($C59,'Hist Data'!$A$2:$CN$428,'Unchained Indices'!BJ$2,0)-1</f>
        <v>#N/A</v>
      </c>
      <c r="BK60" t="e">
        <f>VLOOKUP($C60,'Hist Data'!$A$2:$CN$428,'Unchained Indices'!BK$2,0)/VLOOKUP($C59,'Hist Data'!$A$2:$CN$428,'Unchained Indices'!BK$2,0)-1</f>
        <v>#N/A</v>
      </c>
      <c r="BL60" t="e">
        <f>VLOOKUP($C60,'Hist Data'!$A$2:$CN$428,'Unchained Indices'!BL$2,0)/VLOOKUP($C59,'Hist Data'!$A$2:$CN$428,'Unchained Indices'!BL$2,0)-1</f>
        <v>#N/A</v>
      </c>
      <c r="BM60" t="e">
        <f>VLOOKUP($C60,'Hist Data'!$A$2:$CN$428,'Unchained Indices'!BM$2,0)/VLOOKUP($C59,'Hist Data'!$A$2:$CN$428,'Unchained Indices'!BM$2,0)-1</f>
        <v>#N/A</v>
      </c>
      <c r="BN60" t="e">
        <f>VLOOKUP($C60,'Hist Data'!$A$2:$CN$428,'Unchained Indices'!BN$2,0)/VLOOKUP($C59,'Hist Data'!$A$2:$CN$428,'Unchained Indices'!BN$2,0)-1</f>
        <v>#N/A</v>
      </c>
      <c r="BO60" t="e">
        <f>VLOOKUP($C60,'Hist Data'!$A$2:$CN$428,'Unchained Indices'!BO$2,0)/VLOOKUP($C59,'Hist Data'!$A$2:$CN$428,'Unchained Indices'!BO$2,0)-1</f>
        <v>#N/A</v>
      </c>
      <c r="BP60" t="e">
        <f>VLOOKUP($C60,'Hist Data'!$A$2:$CN$428,'Unchained Indices'!BP$2,0)/VLOOKUP($C59,'Hist Data'!$A$2:$CN$428,'Unchained Indices'!BP$2,0)-1</f>
        <v>#N/A</v>
      </c>
      <c r="BQ60" t="e">
        <f>VLOOKUP($C60,'Hist Data'!$A$2:$CN$428,'Unchained Indices'!BQ$2,0)/VLOOKUP($C59,'Hist Data'!$A$2:$CN$428,'Unchained Indices'!BQ$2,0)-1</f>
        <v>#N/A</v>
      </c>
      <c r="BR60" t="e">
        <f>VLOOKUP($C60,'Hist Data'!$A$2:$CN$428,'Unchained Indices'!BR$2,0)/VLOOKUP($C59,'Hist Data'!$A$2:$CN$428,'Unchained Indices'!BR$2,0)-1</f>
        <v>#N/A</v>
      </c>
      <c r="BS60" t="e">
        <f>VLOOKUP($C60,'Hist Data'!$A$2:$CN$428,'Unchained Indices'!BS$2,0)/VLOOKUP($C59,'Hist Data'!$A$2:$CN$428,'Unchained Indices'!BS$2,0)-1</f>
        <v>#N/A</v>
      </c>
      <c r="BT60" t="e">
        <f>VLOOKUP($C60,'Hist Data'!$A$2:$CN$428,'Unchained Indices'!BT$2,0)/VLOOKUP($C59,'Hist Data'!$A$2:$CN$428,'Unchained Indices'!BT$2,0)-1</f>
        <v>#N/A</v>
      </c>
      <c r="BU60" t="e">
        <f>VLOOKUP($C60,'Hist Data'!$A$2:$CN$428,'Unchained Indices'!BU$2,0)/VLOOKUP($C59,'Hist Data'!$A$2:$CN$428,'Unchained Indices'!BU$2,0)-1</f>
        <v>#N/A</v>
      </c>
      <c r="BV60" t="e">
        <f>VLOOKUP($C60,'Hist Data'!$A$2:$CN$428,'Unchained Indices'!BV$2,0)/VLOOKUP($C59,'Hist Data'!$A$2:$CN$428,'Unchained Indices'!BV$2,0)-1</f>
        <v>#N/A</v>
      </c>
      <c r="BW60" t="e">
        <f>VLOOKUP($C60,'Hist Data'!$A$2:$CN$428,'Unchained Indices'!BW$2,0)/VLOOKUP($C59,'Hist Data'!$A$2:$CN$428,'Unchained Indices'!BW$2,0)-1</f>
        <v>#N/A</v>
      </c>
      <c r="BX60" t="e">
        <f>VLOOKUP($C60,'Hist Data'!$A$2:$CN$428,'Unchained Indices'!BX$2,0)/VLOOKUP($C59,'Hist Data'!$A$2:$CN$428,'Unchained Indices'!BX$2,0)-1</f>
        <v>#N/A</v>
      </c>
      <c r="BY60" t="e">
        <f>VLOOKUP($C60,'Hist Data'!$A$2:$CN$428,'Unchained Indices'!BY$2,0)/VLOOKUP($C59,'Hist Data'!$A$2:$CN$428,'Unchained Indices'!BY$2,0)-1</f>
        <v>#N/A</v>
      </c>
      <c r="BZ60" t="e">
        <f>VLOOKUP($C60,'Hist Data'!$A$2:$CN$428,'Unchained Indices'!BZ$2,0)/VLOOKUP($C59,'Hist Data'!$A$2:$CN$428,'Unchained Indices'!BZ$2,0)-1</f>
        <v>#N/A</v>
      </c>
      <c r="CA60" t="e">
        <f>VLOOKUP($C60,'Hist Data'!$A$2:$CN$428,'Unchained Indices'!CA$2,0)/VLOOKUP($C59,'Hist Data'!$A$2:$CN$428,'Unchained Indices'!CA$2,0)-1</f>
        <v>#N/A</v>
      </c>
      <c r="CB60" t="e">
        <f>VLOOKUP($C60,'Hist Data'!$A$2:$CN$428,'Unchained Indices'!CB$2,0)/VLOOKUP($C59,'Hist Data'!$A$2:$CN$428,'Unchained Indices'!CB$2,0)-1</f>
        <v>#N/A</v>
      </c>
      <c r="CC60" t="e">
        <f>VLOOKUP($C60,'Hist Data'!$A$2:$CN$428,'Unchained Indices'!CC$2,0)/VLOOKUP($C59,'Hist Data'!$A$2:$CN$428,'Unchained Indices'!CC$2,0)-1</f>
        <v>#N/A</v>
      </c>
      <c r="CD60" t="e">
        <f>VLOOKUP($C60,'Hist Data'!$A$2:$CN$428,'Unchained Indices'!CD$2,0)/VLOOKUP($C59,'Hist Data'!$A$2:$CN$428,'Unchained Indices'!CD$2,0)-1</f>
        <v>#N/A</v>
      </c>
      <c r="CE60" t="e">
        <f>VLOOKUP($C60,'Hist Data'!$A$2:$CN$428,'Unchained Indices'!CE$2,0)/VLOOKUP($C59,'Hist Data'!$A$2:$CN$428,'Unchained Indices'!CE$2,0)-1</f>
        <v>#N/A</v>
      </c>
      <c r="CF60" t="e">
        <f>VLOOKUP($C60,'Hist Data'!$A$2:$CN$428,'Unchained Indices'!CF$2,0)/VLOOKUP($C59,'Hist Data'!$A$2:$CN$428,'Unchained Indices'!CF$2,0)-1</f>
        <v>#N/A</v>
      </c>
      <c r="CG60" t="e">
        <f>VLOOKUP($C60,'Hist Data'!$A$2:$CN$428,'Unchained Indices'!CG$2,0)/VLOOKUP($C59,'Hist Data'!$A$2:$CN$428,'Unchained Indices'!CG$2,0)-1</f>
        <v>#N/A</v>
      </c>
      <c r="CH60" t="e">
        <f>VLOOKUP($C60,'Hist Data'!$A$2:$CN$428,'Unchained Indices'!CH$2,0)/VLOOKUP($C59,'Hist Data'!$A$2:$CN$428,'Unchained Indices'!CH$2,0)-1</f>
        <v>#N/A</v>
      </c>
      <c r="CI60" t="e">
        <f>VLOOKUP($C60,'Hist Data'!$A$2:$CN$428,'Unchained Indices'!CI$2,0)/VLOOKUP($C59,'Hist Data'!$A$2:$CN$428,'Unchained Indices'!CI$2,0)-1</f>
        <v>#N/A</v>
      </c>
      <c r="CJ60" t="e">
        <f>VLOOKUP($C60,'Hist Data'!$A$2:$CN$428,'Unchained Indices'!CJ$2,0)/VLOOKUP($C59,'Hist Data'!$A$2:$CN$428,'Unchained Indices'!CJ$2,0)-1</f>
        <v>#N/A</v>
      </c>
      <c r="CK60" t="e">
        <f>VLOOKUP($C60,'Hist Data'!$A$2:$CN$428,'Unchained Indices'!CK$2,0)/VLOOKUP($C59,'Hist Data'!$A$2:$CN$428,'Unchained Indices'!CK$2,0)-1</f>
        <v>#N/A</v>
      </c>
      <c r="CL60" t="e">
        <f>VLOOKUP($C60,'Hist Data'!$A$2:$CN$428,'Unchained Indices'!CL$2,0)/VLOOKUP($C59,'Hist Data'!$A$2:$CN$428,'Unchained Indices'!CL$2,0)-1</f>
        <v>#N/A</v>
      </c>
      <c r="CM60" t="e">
        <f>VLOOKUP($C60,'Hist Data'!$A$2:$CN$428,'Unchained Indices'!CM$2,0)/VLOOKUP($C59,'Hist Data'!$A$2:$CN$428,'Unchained Indices'!CM$2,0)-1</f>
        <v>#N/A</v>
      </c>
      <c r="CN60" t="e">
        <f>VLOOKUP($C60,'Hist Data'!$A$2:$CN$428,'Unchained Indices'!CN$2,0)/VLOOKUP($C59,'Hist Data'!$A$2:$CN$428,'Unchained Indices'!CN$2,0)-1</f>
        <v>#N/A</v>
      </c>
      <c r="CO60" t="e">
        <f>VLOOKUP($C60,'Hist Data'!$A$2:$CN$428,'Unchained Indices'!CO$2,0)/VLOOKUP($C59,'Hist Data'!$A$2:$CN$428,'Unchained Indices'!CO$2,0)-1</f>
        <v>#N/A</v>
      </c>
      <c r="CP60" t="e">
        <f>VLOOKUP($C60,'Hist Data'!$A$2:$CN$428,'Unchained Indices'!CP$2,0)/VLOOKUP($C59,'Hist Data'!$A$2:$CN$428,'Unchained Indices'!CP$2,0)-1</f>
        <v>#N/A</v>
      </c>
    </row>
    <row r="61" spans="3:94" x14ac:dyDescent="0.25">
      <c r="C61" s="6">
        <f t="shared" si="10"/>
        <v>45078</v>
      </c>
      <c r="D61" t="e">
        <f>VLOOKUP($C61,'Hist Data'!$A$2:$CN$428,'Unchained Indices'!D$2,0)/VLOOKUP($C60,'Hist Data'!$A$2:$CN$428,'Unchained Indices'!D$2,0)-1</f>
        <v>#N/A</v>
      </c>
      <c r="E61" t="e">
        <f>VLOOKUP($C61,'Hist Data'!$A$2:$CN$428,'Unchained Indices'!E$2,0)/VLOOKUP($C60,'Hist Data'!$A$2:$CN$428,'Unchained Indices'!E$2,0)-1</f>
        <v>#N/A</v>
      </c>
      <c r="F61" t="e">
        <f>VLOOKUP($C61,'Hist Data'!$A$2:$CN$428,'Unchained Indices'!F$2,0)/VLOOKUP($C60,'Hist Data'!$A$2:$CN$428,'Unchained Indices'!F$2,0)-1</f>
        <v>#N/A</v>
      </c>
      <c r="G61" t="e">
        <f>VLOOKUP($C61,'Hist Data'!$A$2:$CN$428,'Unchained Indices'!G$2,0)/VLOOKUP($C60,'Hist Data'!$A$2:$CN$428,'Unchained Indices'!G$2,0)-1</f>
        <v>#N/A</v>
      </c>
      <c r="H61" t="e">
        <f>VLOOKUP($C61,'Hist Data'!$A$2:$CN$428,'Unchained Indices'!H$2,0)/VLOOKUP($C60,'Hist Data'!$A$2:$CN$428,'Unchained Indices'!H$2,0)-1</f>
        <v>#N/A</v>
      </c>
      <c r="I61" t="e">
        <f>VLOOKUP($C61,'Hist Data'!$A$2:$CN$428,'Unchained Indices'!I$2,0)/VLOOKUP($C60,'Hist Data'!$A$2:$CN$428,'Unchained Indices'!I$2,0)-1</f>
        <v>#N/A</v>
      </c>
      <c r="J61" t="e">
        <f>VLOOKUP($C61,'Hist Data'!$A$2:$CN$428,'Unchained Indices'!J$2,0)/VLOOKUP($C60,'Hist Data'!$A$2:$CN$428,'Unchained Indices'!J$2,0)-1</f>
        <v>#N/A</v>
      </c>
      <c r="K61" t="e">
        <f>VLOOKUP($C61,'Hist Data'!$A$2:$CN$428,'Unchained Indices'!K$2,0)/VLOOKUP($C60,'Hist Data'!$A$2:$CN$428,'Unchained Indices'!K$2,0)-1</f>
        <v>#N/A</v>
      </c>
      <c r="L61" t="e">
        <f>VLOOKUP($C61,'Hist Data'!$A$2:$CN$428,'Unchained Indices'!L$2,0)/VLOOKUP($C60,'Hist Data'!$A$2:$CN$428,'Unchained Indices'!L$2,0)-1</f>
        <v>#N/A</v>
      </c>
      <c r="M61" t="e">
        <f>VLOOKUP($C61,'Hist Data'!$A$2:$CN$428,'Unchained Indices'!M$2,0)/VLOOKUP($C60,'Hist Data'!$A$2:$CN$428,'Unchained Indices'!M$2,0)-1</f>
        <v>#N/A</v>
      </c>
      <c r="N61" t="e">
        <f>VLOOKUP($C61,'Hist Data'!$A$2:$CN$428,'Unchained Indices'!N$2,0)/VLOOKUP($C60,'Hist Data'!$A$2:$CN$428,'Unchained Indices'!N$2,0)-1</f>
        <v>#N/A</v>
      </c>
      <c r="O61" t="e">
        <f>VLOOKUP($C61,'Hist Data'!$A$2:$CN$428,'Unchained Indices'!O$2,0)/VLOOKUP($C60,'Hist Data'!$A$2:$CN$428,'Unchained Indices'!O$2,0)-1</f>
        <v>#N/A</v>
      </c>
      <c r="P61" t="e">
        <f>VLOOKUP($C61,'Hist Data'!$A$2:$CN$428,'Unchained Indices'!P$2,0)/VLOOKUP($C60,'Hist Data'!$A$2:$CN$428,'Unchained Indices'!P$2,0)-1</f>
        <v>#N/A</v>
      </c>
      <c r="Q61" t="e">
        <f>VLOOKUP($C61,'Hist Data'!$A$2:$CN$428,'Unchained Indices'!Q$2,0)/VLOOKUP($C60,'Hist Data'!$A$2:$CN$428,'Unchained Indices'!Q$2,0)-1</f>
        <v>#N/A</v>
      </c>
      <c r="R61" t="e">
        <f>VLOOKUP($C61,'Hist Data'!$A$2:$CN$428,'Unchained Indices'!R$2,0)/VLOOKUP($C60,'Hist Data'!$A$2:$CN$428,'Unchained Indices'!R$2,0)-1</f>
        <v>#N/A</v>
      </c>
      <c r="S61" t="e">
        <f>VLOOKUP($C61,'Hist Data'!$A$2:$CN$428,'Unchained Indices'!S$2,0)/VLOOKUP($C60,'Hist Data'!$A$2:$CN$428,'Unchained Indices'!S$2,0)-1</f>
        <v>#N/A</v>
      </c>
      <c r="T61" t="e">
        <f>VLOOKUP($C61,'Hist Data'!$A$2:$CN$428,'Unchained Indices'!T$2,0)/VLOOKUP($C60,'Hist Data'!$A$2:$CN$428,'Unchained Indices'!T$2,0)-1</f>
        <v>#N/A</v>
      </c>
      <c r="U61" t="e">
        <f>VLOOKUP($C61,'Hist Data'!$A$2:$CN$428,'Unchained Indices'!U$2,0)/VLOOKUP($C60,'Hist Data'!$A$2:$CN$428,'Unchained Indices'!U$2,0)-1</f>
        <v>#N/A</v>
      </c>
      <c r="V61" t="e">
        <f>VLOOKUP($C61,'Hist Data'!$A$2:$CN$428,'Unchained Indices'!V$2,0)/VLOOKUP($C60,'Hist Data'!$A$2:$CN$428,'Unchained Indices'!V$2,0)-1</f>
        <v>#N/A</v>
      </c>
      <c r="W61" t="e">
        <f>VLOOKUP($C61,'Hist Data'!$A$2:$CN$428,'Unchained Indices'!W$2,0)/VLOOKUP($C60,'Hist Data'!$A$2:$CN$428,'Unchained Indices'!W$2,0)-1</f>
        <v>#N/A</v>
      </c>
      <c r="X61" t="e">
        <f>VLOOKUP($C61,'Hist Data'!$A$2:$CN$428,'Unchained Indices'!X$2,0)/VLOOKUP($C60,'Hist Data'!$A$2:$CN$428,'Unchained Indices'!X$2,0)-1</f>
        <v>#N/A</v>
      </c>
      <c r="Y61" t="e">
        <f>VLOOKUP($C61,'Hist Data'!$A$2:$CN$428,'Unchained Indices'!Y$2,0)/VLOOKUP($C60,'Hist Data'!$A$2:$CN$428,'Unchained Indices'!Y$2,0)-1</f>
        <v>#N/A</v>
      </c>
      <c r="Z61" t="e">
        <f>VLOOKUP($C61,'Hist Data'!$A$2:$CN$428,'Unchained Indices'!Z$2,0)/VLOOKUP($C60,'Hist Data'!$A$2:$CN$428,'Unchained Indices'!Z$2,0)-1</f>
        <v>#N/A</v>
      </c>
      <c r="AA61" t="e">
        <f>VLOOKUP($C61,'Hist Data'!$A$2:$CN$428,'Unchained Indices'!AA$2,0)/VLOOKUP($C60,'Hist Data'!$A$2:$CN$428,'Unchained Indices'!AA$2,0)-1</f>
        <v>#N/A</v>
      </c>
      <c r="AB61" t="e">
        <f>VLOOKUP($C61,'Hist Data'!$A$2:$CN$428,'Unchained Indices'!AB$2,0)/VLOOKUP($C60,'Hist Data'!$A$2:$CN$428,'Unchained Indices'!AB$2,0)-1</f>
        <v>#N/A</v>
      </c>
      <c r="AC61" t="e">
        <f>VLOOKUP($C61,'Hist Data'!$A$2:$CN$428,'Unchained Indices'!AC$2,0)/VLOOKUP($C60,'Hist Data'!$A$2:$CN$428,'Unchained Indices'!AC$2,0)-1</f>
        <v>#N/A</v>
      </c>
      <c r="AD61" t="e">
        <f>VLOOKUP($C61,'Hist Data'!$A$2:$CN$428,'Unchained Indices'!AD$2,0)/VLOOKUP($C60,'Hist Data'!$A$2:$CN$428,'Unchained Indices'!AD$2,0)-1</f>
        <v>#N/A</v>
      </c>
      <c r="AE61" t="e">
        <f>VLOOKUP($C61,'Hist Data'!$A$2:$CN$428,'Unchained Indices'!AE$2,0)/VLOOKUP($C60,'Hist Data'!$A$2:$CN$428,'Unchained Indices'!AE$2,0)-1</f>
        <v>#N/A</v>
      </c>
      <c r="AF61" t="e">
        <f>VLOOKUP($C61,'Hist Data'!$A$2:$CN$428,'Unchained Indices'!AF$2,0)/VLOOKUP($C60,'Hist Data'!$A$2:$CN$428,'Unchained Indices'!AF$2,0)-1</f>
        <v>#N/A</v>
      </c>
      <c r="AG61" t="e">
        <f>VLOOKUP($C61,'Hist Data'!$A$2:$CN$428,'Unchained Indices'!AG$2,0)/VLOOKUP($C60,'Hist Data'!$A$2:$CN$428,'Unchained Indices'!AG$2,0)-1</f>
        <v>#N/A</v>
      </c>
      <c r="AH61" t="e">
        <f>VLOOKUP($C61,'Hist Data'!$A$2:$CN$428,'Unchained Indices'!AH$2,0)/VLOOKUP($C60,'Hist Data'!$A$2:$CN$428,'Unchained Indices'!AH$2,0)-1</f>
        <v>#N/A</v>
      </c>
      <c r="AI61" t="e">
        <f>VLOOKUP($C61,'Hist Data'!$A$2:$CN$428,'Unchained Indices'!AI$2,0)/VLOOKUP($C60,'Hist Data'!$A$2:$CN$428,'Unchained Indices'!AI$2,0)-1</f>
        <v>#N/A</v>
      </c>
      <c r="AJ61" t="e">
        <f>VLOOKUP($C61,'Hist Data'!$A$2:$CN$428,'Unchained Indices'!AJ$2,0)/VLOOKUP($C60,'Hist Data'!$A$2:$CN$428,'Unchained Indices'!AJ$2,0)-1</f>
        <v>#N/A</v>
      </c>
      <c r="AK61" t="e">
        <f>VLOOKUP($C61,'Hist Data'!$A$2:$CN$428,'Unchained Indices'!AK$2,0)/VLOOKUP($C60,'Hist Data'!$A$2:$CN$428,'Unchained Indices'!AK$2,0)-1</f>
        <v>#N/A</v>
      </c>
      <c r="AL61" t="e">
        <f>VLOOKUP($C61,'Hist Data'!$A$2:$CN$428,'Unchained Indices'!AL$2,0)/VLOOKUP($C60,'Hist Data'!$A$2:$CN$428,'Unchained Indices'!AL$2,0)-1</f>
        <v>#N/A</v>
      </c>
      <c r="AM61" t="e">
        <f>VLOOKUP($C61,'Hist Data'!$A$2:$CN$428,'Unchained Indices'!AM$2,0)/VLOOKUP($C60,'Hist Data'!$A$2:$CN$428,'Unchained Indices'!AM$2,0)-1</f>
        <v>#N/A</v>
      </c>
      <c r="AN61" t="e">
        <f>VLOOKUP($C61,'Hist Data'!$A$2:$CN$428,'Unchained Indices'!AN$2,0)/VLOOKUP($C60,'Hist Data'!$A$2:$CN$428,'Unchained Indices'!AN$2,0)-1</f>
        <v>#N/A</v>
      </c>
      <c r="AO61" t="e">
        <f>VLOOKUP($C61,'Hist Data'!$A$2:$CN$428,'Unchained Indices'!AO$2,0)/VLOOKUP($C60,'Hist Data'!$A$2:$CN$428,'Unchained Indices'!AO$2,0)-1</f>
        <v>#N/A</v>
      </c>
      <c r="AP61" t="e">
        <f>VLOOKUP($C61,'Hist Data'!$A$2:$CN$428,'Unchained Indices'!AP$2,0)/VLOOKUP($C60,'Hist Data'!$A$2:$CN$428,'Unchained Indices'!AP$2,0)-1</f>
        <v>#N/A</v>
      </c>
      <c r="AQ61" t="e">
        <f>VLOOKUP($C61,'Hist Data'!$A$2:$CN$428,'Unchained Indices'!AQ$2,0)/VLOOKUP($C60,'Hist Data'!$A$2:$CN$428,'Unchained Indices'!AQ$2,0)-1</f>
        <v>#N/A</v>
      </c>
      <c r="AR61" t="e">
        <f>VLOOKUP($C61,'Hist Data'!$A$2:$CN$428,'Unchained Indices'!AR$2,0)/VLOOKUP($C60,'Hist Data'!$A$2:$CN$428,'Unchained Indices'!AR$2,0)-1</f>
        <v>#N/A</v>
      </c>
      <c r="AS61" t="e">
        <f>VLOOKUP($C61,'Hist Data'!$A$2:$CN$428,'Unchained Indices'!AS$2,0)/VLOOKUP($C60,'Hist Data'!$A$2:$CN$428,'Unchained Indices'!AS$2,0)-1</f>
        <v>#N/A</v>
      </c>
      <c r="AT61" t="e">
        <f>VLOOKUP($C61,'Hist Data'!$A$2:$CN$428,'Unchained Indices'!AT$2,0)/VLOOKUP($C60,'Hist Data'!$A$2:$CN$428,'Unchained Indices'!AT$2,0)-1</f>
        <v>#N/A</v>
      </c>
      <c r="AU61" t="e">
        <f>VLOOKUP($C61,'Hist Data'!$A$2:$CN$428,'Unchained Indices'!AU$2,0)/VLOOKUP($C60,'Hist Data'!$A$2:$CN$428,'Unchained Indices'!AU$2,0)-1</f>
        <v>#N/A</v>
      </c>
      <c r="AV61" t="e">
        <f>VLOOKUP($C61,'Hist Data'!$A$2:$CN$428,'Unchained Indices'!AV$2,0)/VLOOKUP($C60,'Hist Data'!$A$2:$CN$428,'Unchained Indices'!AV$2,0)-1</f>
        <v>#N/A</v>
      </c>
      <c r="AW61" t="e">
        <f>VLOOKUP($C61,'Hist Data'!$A$2:$CN$428,'Unchained Indices'!AW$2,0)/VLOOKUP($C60,'Hist Data'!$A$2:$CN$428,'Unchained Indices'!AW$2,0)-1</f>
        <v>#N/A</v>
      </c>
      <c r="AX61" t="e">
        <f>VLOOKUP($C61,'Hist Data'!$A$2:$CN$428,'Unchained Indices'!AX$2,0)/VLOOKUP($C60,'Hist Data'!$A$2:$CN$428,'Unchained Indices'!AX$2,0)-1</f>
        <v>#N/A</v>
      </c>
      <c r="AY61" t="e">
        <f>VLOOKUP($C61,'Hist Data'!$A$2:$CN$428,'Unchained Indices'!AY$2,0)/VLOOKUP($C60,'Hist Data'!$A$2:$CN$428,'Unchained Indices'!AY$2,0)-1</f>
        <v>#N/A</v>
      </c>
      <c r="AZ61" t="e">
        <f>VLOOKUP($C61,'Hist Data'!$A$2:$CN$428,'Unchained Indices'!AZ$2,0)/VLOOKUP($C60,'Hist Data'!$A$2:$CN$428,'Unchained Indices'!AZ$2,0)-1</f>
        <v>#N/A</v>
      </c>
      <c r="BA61" t="e">
        <f>VLOOKUP($C61,'Hist Data'!$A$2:$CN$428,'Unchained Indices'!BA$2,0)/VLOOKUP($C60,'Hist Data'!$A$2:$CN$428,'Unchained Indices'!BA$2,0)-1</f>
        <v>#N/A</v>
      </c>
      <c r="BB61" t="e">
        <f>VLOOKUP($C61,'Hist Data'!$A$2:$CN$428,'Unchained Indices'!BB$2,0)/VLOOKUP($C60,'Hist Data'!$A$2:$CN$428,'Unchained Indices'!BB$2,0)-1</f>
        <v>#N/A</v>
      </c>
      <c r="BC61" t="e">
        <f>VLOOKUP($C61,'Hist Data'!$A$2:$CN$428,'Unchained Indices'!BC$2,0)/VLOOKUP($C60,'Hist Data'!$A$2:$CN$428,'Unchained Indices'!BC$2,0)-1</f>
        <v>#N/A</v>
      </c>
      <c r="BD61" t="e">
        <f>VLOOKUP($C61,'Hist Data'!$A$2:$CN$428,'Unchained Indices'!BD$2,0)/VLOOKUP($C60,'Hist Data'!$A$2:$CN$428,'Unchained Indices'!BD$2,0)-1</f>
        <v>#N/A</v>
      </c>
      <c r="BE61" t="e">
        <f>VLOOKUP($C61,'Hist Data'!$A$2:$CN$428,'Unchained Indices'!BE$2,0)/VLOOKUP($C60,'Hist Data'!$A$2:$CN$428,'Unchained Indices'!BE$2,0)-1</f>
        <v>#N/A</v>
      </c>
      <c r="BF61" t="e">
        <f>VLOOKUP($C61,'Hist Data'!$A$2:$CN$428,'Unchained Indices'!BF$2,0)/VLOOKUP($C60,'Hist Data'!$A$2:$CN$428,'Unchained Indices'!BF$2,0)-1</f>
        <v>#N/A</v>
      </c>
      <c r="BG61" t="e">
        <f>VLOOKUP($C61,'Hist Data'!$A$2:$CN$428,'Unchained Indices'!BG$2,0)/VLOOKUP($C60,'Hist Data'!$A$2:$CN$428,'Unchained Indices'!BG$2,0)-1</f>
        <v>#N/A</v>
      </c>
      <c r="BH61" t="e">
        <f>VLOOKUP($C61,'Hist Data'!$A$2:$CN$428,'Unchained Indices'!BH$2,0)/VLOOKUP($C60,'Hist Data'!$A$2:$CN$428,'Unchained Indices'!BH$2,0)-1</f>
        <v>#N/A</v>
      </c>
      <c r="BI61" t="e">
        <f>VLOOKUP($C61,'Hist Data'!$A$2:$CN$428,'Unchained Indices'!BI$2,0)/VLOOKUP($C60,'Hist Data'!$A$2:$CN$428,'Unchained Indices'!BI$2,0)-1</f>
        <v>#N/A</v>
      </c>
      <c r="BJ61" t="e">
        <f>VLOOKUP($C61,'Hist Data'!$A$2:$CN$428,'Unchained Indices'!BJ$2,0)/VLOOKUP($C60,'Hist Data'!$A$2:$CN$428,'Unchained Indices'!BJ$2,0)-1</f>
        <v>#N/A</v>
      </c>
      <c r="BK61" t="e">
        <f>VLOOKUP($C61,'Hist Data'!$A$2:$CN$428,'Unchained Indices'!BK$2,0)/VLOOKUP($C60,'Hist Data'!$A$2:$CN$428,'Unchained Indices'!BK$2,0)-1</f>
        <v>#N/A</v>
      </c>
      <c r="BL61" t="e">
        <f>VLOOKUP($C61,'Hist Data'!$A$2:$CN$428,'Unchained Indices'!BL$2,0)/VLOOKUP($C60,'Hist Data'!$A$2:$CN$428,'Unchained Indices'!BL$2,0)-1</f>
        <v>#N/A</v>
      </c>
      <c r="BM61" t="e">
        <f>VLOOKUP($C61,'Hist Data'!$A$2:$CN$428,'Unchained Indices'!BM$2,0)/VLOOKUP($C60,'Hist Data'!$A$2:$CN$428,'Unchained Indices'!BM$2,0)-1</f>
        <v>#N/A</v>
      </c>
      <c r="BN61" t="e">
        <f>VLOOKUP($C61,'Hist Data'!$A$2:$CN$428,'Unchained Indices'!BN$2,0)/VLOOKUP($C60,'Hist Data'!$A$2:$CN$428,'Unchained Indices'!BN$2,0)-1</f>
        <v>#N/A</v>
      </c>
      <c r="BO61" t="e">
        <f>VLOOKUP($C61,'Hist Data'!$A$2:$CN$428,'Unchained Indices'!BO$2,0)/VLOOKUP($C60,'Hist Data'!$A$2:$CN$428,'Unchained Indices'!BO$2,0)-1</f>
        <v>#N/A</v>
      </c>
      <c r="BP61" t="e">
        <f>VLOOKUP($C61,'Hist Data'!$A$2:$CN$428,'Unchained Indices'!BP$2,0)/VLOOKUP($C60,'Hist Data'!$A$2:$CN$428,'Unchained Indices'!BP$2,0)-1</f>
        <v>#N/A</v>
      </c>
      <c r="BQ61" t="e">
        <f>VLOOKUP($C61,'Hist Data'!$A$2:$CN$428,'Unchained Indices'!BQ$2,0)/VLOOKUP($C60,'Hist Data'!$A$2:$CN$428,'Unchained Indices'!BQ$2,0)-1</f>
        <v>#N/A</v>
      </c>
      <c r="BR61" t="e">
        <f>VLOOKUP($C61,'Hist Data'!$A$2:$CN$428,'Unchained Indices'!BR$2,0)/VLOOKUP($C60,'Hist Data'!$A$2:$CN$428,'Unchained Indices'!BR$2,0)-1</f>
        <v>#N/A</v>
      </c>
      <c r="BS61" t="e">
        <f>VLOOKUP($C61,'Hist Data'!$A$2:$CN$428,'Unchained Indices'!BS$2,0)/VLOOKUP($C60,'Hist Data'!$A$2:$CN$428,'Unchained Indices'!BS$2,0)-1</f>
        <v>#N/A</v>
      </c>
      <c r="BT61" t="e">
        <f>VLOOKUP($C61,'Hist Data'!$A$2:$CN$428,'Unchained Indices'!BT$2,0)/VLOOKUP($C60,'Hist Data'!$A$2:$CN$428,'Unchained Indices'!BT$2,0)-1</f>
        <v>#N/A</v>
      </c>
      <c r="BU61" t="e">
        <f>VLOOKUP($C61,'Hist Data'!$A$2:$CN$428,'Unchained Indices'!BU$2,0)/VLOOKUP($C60,'Hist Data'!$A$2:$CN$428,'Unchained Indices'!BU$2,0)-1</f>
        <v>#N/A</v>
      </c>
      <c r="BV61" t="e">
        <f>VLOOKUP($C61,'Hist Data'!$A$2:$CN$428,'Unchained Indices'!BV$2,0)/VLOOKUP($C60,'Hist Data'!$A$2:$CN$428,'Unchained Indices'!BV$2,0)-1</f>
        <v>#N/A</v>
      </c>
      <c r="BW61" t="e">
        <f>VLOOKUP($C61,'Hist Data'!$A$2:$CN$428,'Unchained Indices'!BW$2,0)/VLOOKUP($C60,'Hist Data'!$A$2:$CN$428,'Unchained Indices'!BW$2,0)-1</f>
        <v>#N/A</v>
      </c>
      <c r="BX61" t="e">
        <f>VLOOKUP($C61,'Hist Data'!$A$2:$CN$428,'Unchained Indices'!BX$2,0)/VLOOKUP($C60,'Hist Data'!$A$2:$CN$428,'Unchained Indices'!BX$2,0)-1</f>
        <v>#N/A</v>
      </c>
      <c r="BY61" t="e">
        <f>VLOOKUP($C61,'Hist Data'!$A$2:$CN$428,'Unchained Indices'!BY$2,0)/VLOOKUP($C60,'Hist Data'!$A$2:$CN$428,'Unchained Indices'!BY$2,0)-1</f>
        <v>#N/A</v>
      </c>
      <c r="BZ61" t="e">
        <f>VLOOKUP($C61,'Hist Data'!$A$2:$CN$428,'Unchained Indices'!BZ$2,0)/VLOOKUP($C60,'Hist Data'!$A$2:$CN$428,'Unchained Indices'!BZ$2,0)-1</f>
        <v>#N/A</v>
      </c>
      <c r="CA61" t="e">
        <f>VLOOKUP($C61,'Hist Data'!$A$2:$CN$428,'Unchained Indices'!CA$2,0)/VLOOKUP($C60,'Hist Data'!$A$2:$CN$428,'Unchained Indices'!CA$2,0)-1</f>
        <v>#N/A</v>
      </c>
      <c r="CB61" t="e">
        <f>VLOOKUP($C61,'Hist Data'!$A$2:$CN$428,'Unchained Indices'!CB$2,0)/VLOOKUP($C60,'Hist Data'!$A$2:$CN$428,'Unchained Indices'!CB$2,0)-1</f>
        <v>#N/A</v>
      </c>
      <c r="CC61" t="e">
        <f>VLOOKUP($C61,'Hist Data'!$A$2:$CN$428,'Unchained Indices'!CC$2,0)/VLOOKUP($C60,'Hist Data'!$A$2:$CN$428,'Unchained Indices'!CC$2,0)-1</f>
        <v>#N/A</v>
      </c>
      <c r="CD61" t="e">
        <f>VLOOKUP($C61,'Hist Data'!$A$2:$CN$428,'Unchained Indices'!CD$2,0)/VLOOKUP($C60,'Hist Data'!$A$2:$CN$428,'Unchained Indices'!CD$2,0)-1</f>
        <v>#N/A</v>
      </c>
      <c r="CE61" t="e">
        <f>VLOOKUP($C61,'Hist Data'!$A$2:$CN$428,'Unchained Indices'!CE$2,0)/VLOOKUP($C60,'Hist Data'!$A$2:$CN$428,'Unchained Indices'!CE$2,0)-1</f>
        <v>#N/A</v>
      </c>
      <c r="CF61" t="e">
        <f>VLOOKUP($C61,'Hist Data'!$A$2:$CN$428,'Unchained Indices'!CF$2,0)/VLOOKUP($C60,'Hist Data'!$A$2:$CN$428,'Unchained Indices'!CF$2,0)-1</f>
        <v>#N/A</v>
      </c>
      <c r="CG61" t="e">
        <f>VLOOKUP($C61,'Hist Data'!$A$2:$CN$428,'Unchained Indices'!CG$2,0)/VLOOKUP($C60,'Hist Data'!$A$2:$CN$428,'Unchained Indices'!CG$2,0)-1</f>
        <v>#N/A</v>
      </c>
      <c r="CH61" t="e">
        <f>VLOOKUP($C61,'Hist Data'!$A$2:$CN$428,'Unchained Indices'!CH$2,0)/VLOOKUP($C60,'Hist Data'!$A$2:$CN$428,'Unchained Indices'!CH$2,0)-1</f>
        <v>#N/A</v>
      </c>
      <c r="CI61" t="e">
        <f>VLOOKUP($C61,'Hist Data'!$A$2:$CN$428,'Unchained Indices'!CI$2,0)/VLOOKUP($C60,'Hist Data'!$A$2:$CN$428,'Unchained Indices'!CI$2,0)-1</f>
        <v>#N/A</v>
      </c>
      <c r="CJ61" t="e">
        <f>VLOOKUP($C61,'Hist Data'!$A$2:$CN$428,'Unchained Indices'!CJ$2,0)/VLOOKUP($C60,'Hist Data'!$A$2:$CN$428,'Unchained Indices'!CJ$2,0)-1</f>
        <v>#N/A</v>
      </c>
      <c r="CK61" t="e">
        <f>VLOOKUP($C61,'Hist Data'!$A$2:$CN$428,'Unchained Indices'!CK$2,0)/VLOOKUP($C60,'Hist Data'!$A$2:$CN$428,'Unchained Indices'!CK$2,0)-1</f>
        <v>#N/A</v>
      </c>
      <c r="CL61" t="e">
        <f>VLOOKUP($C61,'Hist Data'!$A$2:$CN$428,'Unchained Indices'!CL$2,0)/VLOOKUP($C60,'Hist Data'!$A$2:$CN$428,'Unchained Indices'!CL$2,0)-1</f>
        <v>#N/A</v>
      </c>
      <c r="CM61" t="e">
        <f>VLOOKUP($C61,'Hist Data'!$A$2:$CN$428,'Unchained Indices'!CM$2,0)/VLOOKUP($C60,'Hist Data'!$A$2:$CN$428,'Unchained Indices'!CM$2,0)-1</f>
        <v>#N/A</v>
      </c>
      <c r="CN61" t="e">
        <f>VLOOKUP($C61,'Hist Data'!$A$2:$CN$428,'Unchained Indices'!CN$2,0)/VLOOKUP($C60,'Hist Data'!$A$2:$CN$428,'Unchained Indices'!CN$2,0)-1</f>
        <v>#N/A</v>
      </c>
      <c r="CO61" t="e">
        <f>VLOOKUP($C61,'Hist Data'!$A$2:$CN$428,'Unchained Indices'!CO$2,0)/VLOOKUP($C60,'Hist Data'!$A$2:$CN$428,'Unchained Indices'!CO$2,0)-1</f>
        <v>#N/A</v>
      </c>
      <c r="CP61" t="e">
        <f>VLOOKUP($C61,'Hist Data'!$A$2:$CN$428,'Unchained Indices'!CP$2,0)/VLOOKUP($C60,'Hist Data'!$A$2:$CN$428,'Unchained Indices'!CP$2,0)-1</f>
        <v>#N/A</v>
      </c>
    </row>
    <row r="62" spans="3:94" x14ac:dyDescent="0.25">
      <c r="C62" s="6">
        <f t="shared" si="10"/>
        <v>45108</v>
      </c>
      <c r="D62" t="e">
        <f>VLOOKUP($C62,'Hist Data'!$A$2:$CN$428,'Unchained Indices'!D$2,0)/VLOOKUP($C61,'Hist Data'!$A$2:$CN$428,'Unchained Indices'!D$2,0)-1</f>
        <v>#N/A</v>
      </c>
      <c r="E62" t="e">
        <f>VLOOKUP($C62,'Hist Data'!$A$2:$CN$428,'Unchained Indices'!E$2,0)/VLOOKUP($C61,'Hist Data'!$A$2:$CN$428,'Unchained Indices'!E$2,0)-1</f>
        <v>#N/A</v>
      </c>
      <c r="F62" t="e">
        <f>VLOOKUP($C62,'Hist Data'!$A$2:$CN$428,'Unchained Indices'!F$2,0)/VLOOKUP($C61,'Hist Data'!$A$2:$CN$428,'Unchained Indices'!F$2,0)-1</f>
        <v>#N/A</v>
      </c>
      <c r="G62" t="e">
        <f>VLOOKUP($C62,'Hist Data'!$A$2:$CN$428,'Unchained Indices'!G$2,0)/VLOOKUP($C61,'Hist Data'!$A$2:$CN$428,'Unchained Indices'!G$2,0)-1</f>
        <v>#N/A</v>
      </c>
      <c r="H62" t="e">
        <f>VLOOKUP($C62,'Hist Data'!$A$2:$CN$428,'Unchained Indices'!H$2,0)/VLOOKUP($C61,'Hist Data'!$A$2:$CN$428,'Unchained Indices'!H$2,0)-1</f>
        <v>#N/A</v>
      </c>
      <c r="I62" t="e">
        <f>VLOOKUP($C62,'Hist Data'!$A$2:$CN$428,'Unchained Indices'!I$2,0)/VLOOKUP($C61,'Hist Data'!$A$2:$CN$428,'Unchained Indices'!I$2,0)-1</f>
        <v>#N/A</v>
      </c>
      <c r="J62" t="e">
        <f>VLOOKUP($C62,'Hist Data'!$A$2:$CN$428,'Unchained Indices'!J$2,0)/VLOOKUP($C61,'Hist Data'!$A$2:$CN$428,'Unchained Indices'!J$2,0)-1</f>
        <v>#N/A</v>
      </c>
      <c r="K62" t="e">
        <f>VLOOKUP($C62,'Hist Data'!$A$2:$CN$428,'Unchained Indices'!K$2,0)/VLOOKUP($C61,'Hist Data'!$A$2:$CN$428,'Unchained Indices'!K$2,0)-1</f>
        <v>#N/A</v>
      </c>
      <c r="L62" t="e">
        <f>VLOOKUP($C62,'Hist Data'!$A$2:$CN$428,'Unchained Indices'!L$2,0)/VLOOKUP($C61,'Hist Data'!$A$2:$CN$428,'Unchained Indices'!L$2,0)-1</f>
        <v>#N/A</v>
      </c>
      <c r="M62" t="e">
        <f>VLOOKUP($C62,'Hist Data'!$A$2:$CN$428,'Unchained Indices'!M$2,0)/VLOOKUP($C61,'Hist Data'!$A$2:$CN$428,'Unchained Indices'!M$2,0)-1</f>
        <v>#N/A</v>
      </c>
      <c r="N62" t="e">
        <f>VLOOKUP($C62,'Hist Data'!$A$2:$CN$428,'Unchained Indices'!N$2,0)/VLOOKUP($C61,'Hist Data'!$A$2:$CN$428,'Unchained Indices'!N$2,0)-1</f>
        <v>#N/A</v>
      </c>
      <c r="O62" t="e">
        <f>VLOOKUP($C62,'Hist Data'!$A$2:$CN$428,'Unchained Indices'!O$2,0)/VLOOKUP($C61,'Hist Data'!$A$2:$CN$428,'Unchained Indices'!O$2,0)-1</f>
        <v>#N/A</v>
      </c>
      <c r="P62" t="e">
        <f>VLOOKUP($C62,'Hist Data'!$A$2:$CN$428,'Unchained Indices'!P$2,0)/VLOOKUP($C61,'Hist Data'!$A$2:$CN$428,'Unchained Indices'!P$2,0)-1</f>
        <v>#N/A</v>
      </c>
      <c r="Q62" t="e">
        <f>VLOOKUP($C62,'Hist Data'!$A$2:$CN$428,'Unchained Indices'!Q$2,0)/VLOOKUP($C61,'Hist Data'!$A$2:$CN$428,'Unchained Indices'!Q$2,0)-1</f>
        <v>#N/A</v>
      </c>
      <c r="R62" t="e">
        <f>VLOOKUP($C62,'Hist Data'!$A$2:$CN$428,'Unchained Indices'!R$2,0)/VLOOKUP($C61,'Hist Data'!$A$2:$CN$428,'Unchained Indices'!R$2,0)-1</f>
        <v>#N/A</v>
      </c>
      <c r="S62" t="e">
        <f>VLOOKUP($C62,'Hist Data'!$A$2:$CN$428,'Unchained Indices'!S$2,0)/VLOOKUP($C61,'Hist Data'!$A$2:$CN$428,'Unchained Indices'!S$2,0)-1</f>
        <v>#N/A</v>
      </c>
      <c r="T62" t="e">
        <f>VLOOKUP($C62,'Hist Data'!$A$2:$CN$428,'Unchained Indices'!T$2,0)/VLOOKUP($C61,'Hist Data'!$A$2:$CN$428,'Unchained Indices'!T$2,0)-1</f>
        <v>#N/A</v>
      </c>
      <c r="U62" t="e">
        <f>VLOOKUP($C62,'Hist Data'!$A$2:$CN$428,'Unchained Indices'!U$2,0)/VLOOKUP($C61,'Hist Data'!$A$2:$CN$428,'Unchained Indices'!U$2,0)-1</f>
        <v>#N/A</v>
      </c>
      <c r="V62" t="e">
        <f>VLOOKUP($C62,'Hist Data'!$A$2:$CN$428,'Unchained Indices'!V$2,0)/VLOOKUP($C61,'Hist Data'!$A$2:$CN$428,'Unchained Indices'!V$2,0)-1</f>
        <v>#N/A</v>
      </c>
      <c r="W62" t="e">
        <f>VLOOKUP($C62,'Hist Data'!$A$2:$CN$428,'Unchained Indices'!W$2,0)/VLOOKUP($C61,'Hist Data'!$A$2:$CN$428,'Unchained Indices'!W$2,0)-1</f>
        <v>#N/A</v>
      </c>
      <c r="X62" t="e">
        <f>VLOOKUP($C62,'Hist Data'!$A$2:$CN$428,'Unchained Indices'!X$2,0)/VLOOKUP($C61,'Hist Data'!$A$2:$CN$428,'Unchained Indices'!X$2,0)-1</f>
        <v>#N/A</v>
      </c>
      <c r="Y62" t="e">
        <f>VLOOKUP($C62,'Hist Data'!$A$2:$CN$428,'Unchained Indices'!Y$2,0)/VLOOKUP($C61,'Hist Data'!$A$2:$CN$428,'Unchained Indices'!Y$2,0)-1</f>
        <v>#N/A</v>
      </c>
      <c r="Z62" t="e">
        <f>VLOOKUP($C62,'Hist Data'!$A$2:$CN$428,'Unchained Indices'!Z$2,0)/VLOOKUP($C61,'Hist Data'!$A$2:$CN$428,'Unchained Indices'!Z$2,0)-1</f>
        <v>#N/A</v>
      </c>
      <c r="AA62" t="e">
        <f>VLOOKUP($C62,'Hist Data'!$A$2:$CN$428,'Unchained Indices'!AA$2,0)/VLOOKUP($C61,'Hist Data'!$A$2:$CN$428,'Unchained Indices'!AA$2,0)-1</f>
        <v>#N/A</v>
      </c>
      <c r="AB62" t="e">
        <f>VLOOKUP($C62,'Hist Data'!$A$2:$CN$428,'Unchained Indices'!AB$2,0)/VLOOKUP($C61,'Hist Data'!$A$2:$CN$428,'Unchained Indices'!AB$2,0)-1</f>
        <v>#N/A</v>
      </c>
      <c r="AC62" t="e">
        <f>VLOOKUP($C62,'Hist Data'!$A$2:$CN$428,'Unchained Indices'!AC$2,0)/VLOOKUP($C61,'Hist Data'!$A$2:$CN$428,'Unchained Indices'!AC$2,0)-1</f>
        <v>#N/A</v>
      </c>
      <c r="AD62" t="e">
        <f>VLOOKUP($C62,'Hist Data'!$A$2:$CN$428,'Unchained Indices'!AD$2,0)/VLOOKUP($C61,'Hist Data'!$A$2:$CN$428,'Unchained Indices'!AD$2,0)-1</f>
        <v>#N/A</v>
      </c>
      <c r="AE62" t="e">
        <f>VLOOKUP($C62,'Hist Data'!$A$2:$CN$428,'Unchained Indices'!AE$2,0)/VLOOKUP($C61,'Hist Data'!$A$2:$CN$428,'Unchained Indices'!AE$2,0)-1</f>
        <v>#N/A</v>
      </c>
      <c r="AF62" t="e">
        <f>VLOOKUP($C62,'Hist Data'!$A$2:$CN$428,'Unchained Indices'!AF$2,0)/VLOOKUP($C61,'Hist Data'!$A$2:$CN$428,'Unchained Indices'!AF$2,0)-1</f>
        <v>#N/A</v>
      </c>
      <c r="AG62" t="e">
        <f>VLOOKUP($C62,'Hist Data'!$A$2:$CN$428,'Unchained Indices'!AG$2,0)/VLOOKUP($C61,'Hist Data'!$A$2:$CN$428,'Unchained Indices'!AG$2,0)-1</f>
        <v>#N/A</v>
      </c>
      <c r="AH62" t="e">
        <f>VLOOKUP($C62,'Hist Data'!$A$2:$CN$428,'Unchained Indices'!AH$2,0)/VLOOKUP($C61,'Hist Data'!$A$2:$CN$428,'Unchained Indices'!AH$2,0)-1</f>
        <v>#N/A</v>
      </c>
      <c r="AI62" t="e">
        <f>VLOOKUP($C62,'Hist Data'!$A$2:$CN$428,'Unchained Indices'!AI$2,0)/VLOOKUP($C61,'Hist Data'!$A$2:$CN$428,'Unchained Indices'!AI$2,0)-1</f>
        <v>#N/A</v>
      </c>
      <c r="AJ62" t="e">
        <f>VLOOKUP($C62,'Hist Data'!$A$2:$CN$428,'Unchained Indices'!AJ$2,0)/VLOOKUP($C61,'Hist Data'!$A$2:$CN$428,'Unchained Indices'!AJ$2,0)-1</f>
        <v>#N/A</v>
      </c>
      <c r="AK62" t="e">
        <f>VLOOKUP($C62,'Hist Data'!$A$2:$CN$428,'Unchained Indices'!AK$2,0)/VLOOKUP($C61,'Hist Data'!$A$2:$CN$428,'Unchained Indices'!AK$2,0)-1</f>
        <v>#N/A</v>
      </c>
      <c r="AL62" t="e">
        <f>VLOOKUP($C62,'Hist Data'!$A$2:$CN$428,'Unchained Indices'!AL$2,0)/VLOOKUP($C61,'Hist Data'!$A$2:$CN$428,'Unchained Indices'!AL$2,0)-1</f>
        <v>#N/A</v>
      </c>
      <c r="AM62" t="e">
        <f>VLOOKUP($C62,'Hist Data'!$A$2:$CN$428,'Unchained Indices'!AM$2,0)/VLOOKUP($C61,'Hist Data'!$A$2:$CN$428,'Unchained Indices'!AM$2,0)-1</f>
        <v>#N/A</v>
      </c>
      <c r="AN62" t="e">
        <f>VLOOKUP($C62,'Hist Data'!$A$2:$CN$428,'Unchained Indices'!AN$2,0)/VLOOKUP($C61,'Hist Data'!$A$2:$CN$428,'Unchained Indices'!AN$2,0)-1</f>
        <v>#N/A</v>
      </c>
      <c r="AO62" t="e">
        <f>VLOOKUP($C62,'Hist Data'!$A$2:$CN$428,'Unchained Indices'!AO$2,0)/VLOOKUP($C61,'Hist Data'!$A$2:$CN$428,'Unchained Indices'!AO$2,0)-1</f>
        <v>#N/A</v>
      </c>
      <c r="AP62" t="e">
        <f>VLOOKUP($C62,'Hist Data'!$A$2:$CN$428,'Unchained Indices'!AP$2,0)/VLOOKUP($C61,'Hist Data'!$A$2:$CN$428,'Unchained Indices'!AP$2,0)-1</f>
        <v>#N/A</v>
      </c>
      <c r="AQ62" t="e">
        <f>VLOOKUP($C62,'Hist Data'!$A$2:$CN$428,'Unchained Indices'!AQ$2,0)/VLOOKUP($C61,'Hist Data'!$A$2:$CN$428,'Unchained Indices'!AQ$2,0)-1</f>
        <v>#N/A</v>
      </c>
      <c r="AR62" t="e">
        <f>VLOOKUP($C62,'Hist Data'!$A$2:$CN$428,'Unchained Indices'!AR$2,0)/VLOOKUP($C61,'Hist Data'!$A$2:$CN$428,'Unchained Indices'!AR$2,0)-1</f>
        <v>#N/A</v>
      </c>
      <c r="AS62" t="e">
        <f>VLOOKUP($C62,'Hist Data'!$A$2:$CN$428,'Unchained Indices'!AS$2,0)/VLOOKUP($C61,'Hist Data'!$A$2:$CN$428,'Unchained Indices'!AS$2,0)-1</f>
        <v>#N/A</v>
      </c>
      <c r="AT62" t="e">
        <f>VLOOKUP($C62,'Hist Data'!$A$2:$CN$428,'Unchained Indices'!AT$2,0)/VLOOKUP($C61,'Hist Data'!$A$2:$CN$428,'Unchained Indices'!AT$2,0)-1</f>
        <v>#N/A</v>
      </c>
      <c r="AU62" t="e">
        <f>VLOOKUP($C62,'Hist Data'!$A$2:$CN$428,'Unchained Indices'!AU$2,0)/VLOOKUP($C61,'Hist Data'!$A$2:$CN$428,'Unchained Indices'!AU$2,0)-1</f>
        <v>#N/A</v>
      </c>
      <c r="AV62" t="e">
        <f>VLOOKUP($C62,'Hist Data'!$A$2:$CN$428,'Unchained Indices'!AV$2,0)/VLOOKUP($C61,'Hist Data'!$A$2:$CN$428,'Unchained Indices'!AV$2,0)-1</f>
        <v>#N/A</v>
      </c>
      <c r="AW62" t="e">
        <f>VLOOKUP($C62,'Hist Data'!$A$2:$CN$428,'Unchained Indices'!AW$2,0)/VLOOKUP($C61,'Hist Data'!$A$2:$CN$428,'Unchained Indices'!AW$2,0)-1</f>
        <v>#N/A</v>
      </c>
      <c r="AX62" t="e">
        <f>VLOOKUP($C62,'Hist Data'!$A$2:$CN$428,'Unchained Indices'!AX$2,0)/VLOOKUP($C61,'Hist Data'!$A$2:$CN$428,'Unchained Indices'!AX$2,0)-1</f>
        <v>#N/A</v>
      </c>
      <c r="AY62" t="e">
        <f>VLOOKUP($C62,'Hist Data'!$A$2:$CN$428,'Unchained Indices'!AY$2,0)/VLOOKUP($C61,'Hist Data'!$A$2:$CN$428,'Unchained Indices'!AY$2,0)-1</f>
        <v>#N/A</v>
      </c>
      <c r="AZ62" t="e">
        <f>VLOOKUP($C62,'Hist Data'!$A$2:$CN$428,'Unchained Indices'!AZ$2,0)/VLOOKUP($C61,'Hist Data'!$A$2:$CN$428,'Unchained Indices'!AZ$2,0)-1</f>
        <v>#N/A</v>
      </c>
      <c r="BA62" t="e">
        <f>VLOOKUP($C62,'Hist Data'!$A$2:$CN$428,'Unchained Indices'!BA$2,0)/VLOOKUP($C61,'Hist Data'!$A$2:$CN$428,'Unchained Indices'!BA$2,0)-1</f>
        <v>#N/A</v>
      </c>
      <c r="BB62" t="e">
        <f>VLOOKUP($C62,'Hist Data'!$A$2:$CN$428,'Unchained Indices'!BB$2,0)/VLOOKUP($C61,'Hist Data'!$A$2:$CN$428,'Unchained Indices'!BB$2,0)-1</f>
        <v>#N/A</v>
      </c>
      <c r="BC62" t="e">
        <f>VLOOKUP($C62,'Hist Data'!$A$2:$CN$428,'Unchained Indices'!BC$2,0)/VLOOKUP($C61,'Hist Data'!$A$2:$CN$428,'Unchained Indices'!BC$2,0)-1</f>
        <v>#N/A</v>
      </c>
      <c r="BD62" t="e">
        <f>VLOOKUP($C62,'Hist Data'!$A$2:$CN$428,'Unchained Indices'!BD$2,0)/VLOOKUP($C61,'Hist Data'!$A$2:$CN$428,'Unchained Indices'!BD$2,0)-1</f>
        <v>#N/A</v>
      </c>
      <c r="BE62" t="e">
        <f>VLOOKUP($C62,'Hist Data'!$A$2:$CN$428,'Unchained Indices'!BE$2,0)/VLOOKUP($C61,'Hist Data'!$A$2:$CN$428,'Unchained Indices'!BE$2,0)-1</f>
        <v>#N/A</v>
      </c>
      <c r="BF62" t="e">
        <f>VLOOKUP($C62,'Hist Data'!$A$2:$CN$428,'Unchained Indices'!BF$2,0)/VLOOKUP($C61,'Hist Data'!$A$2:$CN$428,'Unchained Indices'!BF$2,0)-1</f>
        <v>#N/A</v>
      </c>
      <c r="BG62" t="e">
        <f>VLOOKUP($C62,'Hist Data'!$A$2:$CN$428,'Unchained Indices'!BG$2,0)/VLOOKUP($C61,'Hist Data'!$A$2:$CN$428,'Unchained Indices'!BG$2,0)-1</f>
        <v>#N/A</v>
      </c>
      <c r="BH62" t="e">
        <f>VLOOKUP($C62,'Hist Data'!$A$2:$CN$428,'Unchained Indices'!BH$2,0)/VLOOKUP($C61,'Hist Data'!$A$2:$CN$428,'Unchained Indices'!BH$2,0)-1</f>
        <v>#N/A</v>
      </c>
      <c r="BI62" t="e">
        <f>VLOOKUP($C62,'Hist Data'!$A$2:$CN$428,'Unchained Indices'!BI$2,0)/VLOOKUP($C61,'Hist Data'!$A$2:$CN$428,'Unchained Indices'!BI$2,0)-1</f>
        <v>#N/A</v>
      </c>
      <c r="BJ62" t="e">
        <f>VLOOKUP($C62,'Hist Data'!$A$2:$CN$428,'Unchained Indices'!BJ$2,0)/VLOOKUP($C61,'Hist Data'!$A$2:$CN$428,'Unchained Indices'!BJ$2,0)-1</f>
        <v>#N/A</v>
      </c>
      <c r="BK62" t="e">
        <f>VLOOKUP($C62,'Hist Data'!$A$2:$CN$428,'Unchained Indices'!BK$2,0)/VLOOKUP($C61,'Hist Data'!$A$2:$CN$428,'Unchained Indices'!BK$2,0)-1</f>
        <v>#N/A</v>
      </c>
      <c r="BL62" t="e">
        <f>VLOOKUP($C62,'Hist Data'!$A$2:$CN$428,'Unchained Indices'!BL$2,0)/VLOOKUP($C61,'Hist Data'!$A$2:$CN$428,'Unchained Indices'!BL$2,0)-1</f>
        <v>#N/A</v>
      </c>
      <c r="BM62" t="e">
        <f>VLOOKUP($C62,'Hist Data'!$A$2:$CN$428,'Unchained Indices'!BM$2,0)/VLOOKUP($C61,'Hist Data'!$A$2:$CN$428,'Unchained Indices'!BM$2,0)-1</f>
        <v>#N/A</v>
      </c>
      <c r="BN62" t="e">
        <f>VLOOKUP($C62,'Hist Data'!$A$2:$CN$428,'Unchained Indices'!BN$2,0)/VLOOKUP($C61,'Hist Data'!$A$2:$CN$428,'Unchained Indices'!BN$2,0)-1</f>
        <v>#N/A</v>
      </c>
      <c r="BO62" t="e">
        <f>VLOOKUP($C62,'Hist Data'!$A$2:$CN$428,'Unchained Indices'!BO$2,0)/VLOOKUP($C61,'Hist Data'!$A$2:$CN$428,'Unchained Indices'!BO$2,0)-1</f>
        <v>#N/A</v>
      </c>
      <c r="BP62" t="e">
        <f>VLOOKUP($C62,'Hist Data'!$A$2:$CN$428,'Unchained Indices'!BP$2,0)/VLOOKUP($C61,'Hist Data'!$A$2:$CN$428,'Unchained Indices'!BP$2,0)-1</f>
        <v>#N/A</v>
      </c>
      <c r="BQ62" t="e">
        <f>VLOOKUP($C62,'Hist Data'!$A$2:$CN$428,'Unchained Indices'!BQ$2,0)/VLOOKUP($C61,'Hist Data'!$A$2:$CN$428,'Unchained Indices'!BQ$2,0)-1</f>
        <v>#N/A</v>
      </c>
      <c r="BR62" t="e">
        <f>VLOOKUP($C62,'Hist Data'!$A$2:$CN$428,'Unchained Indices'!BR$2,0)/VLOOKUP($C61,'Hist Data'!$A$2:$CN$428,'Unchained Indices'!BR$2,0)-1</f>
        <v>#N/A</v>
      </c>
      <c r="BS62" t="e">
        <f>VLOOKUP($C62,'Hist Data'!$A$2:$CN$428,'Unchained Indices'!BS$2,0)/VLOOKUP($C61,'Hist Data'!$A$2:$CN$428,'Unchained Indices'!BS$2,0)-1</f>
        <v>#N/A</v>
      </c>
      <c r="BT62" t="e">
        <f>VLOOKUP($C62,'Hist Data'!$A$2:$CN$428,'Unchained Indices'!BT$2,0)/VLOOKUP($C61,'Hist Data'!$A$2:$CN$428,'Unchained Indices'!BT$2,0)-1</f>
        <v>#N/A</v>
      </c>
      <c r="BU62" t="e">
        <f>VLOOKUP($C62,'Hist Data'!$A$2:$CN$428,'Unchained Indices'!BU$2,0)/VLOOKUP($C61,'Hist Data'!$A$2:$CN$428,'Unchained Indices'!BU$2,0)-1</f>
        <v>#N/A</v>
      </c>
      <c r="BV62" t="e">
        <f>VLOOKUP($C62,'Hist Data'!$A$2:$CN$428,'Unchained Indices'!BV$2,0)/VLOOKUP($C61,'Hist Data'!$A$2:$CN$428,'Unchained Indices'!BV$2,0)-1</f>
        <v>#N/A</v>
      </c>
      <c r="BW62" t="e">
        <f>VLOOKUP($C62,'Hist Data'!$A$2:$CN$428,'Unchained Indices'!BW$2,0)/VLOOKUP($C61,'Hist Data'!$A$2:$CN$428,'Unchained Indices'!BW$2,0)-1</f>
        <v>#N/A</v>
      </c>
      <c r="BX62" t="e">
        <f>VLOOKUP($C62,'Hist Data'!$A$2:$CN$428,'Unchained Indices'!BX$2,0)/VLOOKUP($C61,'Hist Data'!$A$2:$CN$428,'Unchained Indices'!BX$2,0)-1</f>
        <v>#N/A</v>
      </c>
      <c r="BY62" t="e">
        <f>VLOOKUP($C62,'Hist Data'!$A$2:$CN$428,'Unchained Indices'!BY$2,0)/VLOOKUP($C61,'Hist Data'!$A$2:$CN$428,'Unchained Indices'!BY$2,0)-1</f>
        <v>#N/A</v>
      </c>
      <c r="BZ62" t="e">
        <f>VLOOKUP($C62,'Hist Data'!$A$2:$CN$428,'Unchained Indices'!BZ$2,0)/VLOOKUP($C61,'Hist Data'!$A$2:$CN$428,'Unchained Indices'!BZ$2,0)-1</f>
        <v>#N/A</v>
      </c>
      <c r="CA62" t="e">
        <f>VLOOKUP($C62,'Hist Data'!$A$2:$CN$428,'Unchained Indices'!CA$2,0)/VLOOKUP($C61,'Hist Data'!$A$2:$CN$428,'Unchained Indices'!CA$2,0)-1</f>
        <v>#N/A</v>
      </c>
      <c r="CB62" t="e">
        <f>VLOOKUP($C62,'Hist Data'!$A$2:$CN$428,'Unchained Indices'!CB$2,0)/VLOOKUP($C61,'Hist Data'!$A$2:$CN$428,'Unchained Indices'!CB$2,0)-1</f>
        <v>#N/A</v>
      </c>
      <c r="CC62" t="e">
        <f>VLOOKUP($C62,'Hist Data'!$A$2:$CN$428,'Unchained Indices'!CC$2,0)/VLOOKUP($C61,'Hist Data'!$A$2:$CN$428,'Unchained Indices'!CC$2,0)-1</f>
        <v>#N/A</v>
      </c>
      <c r="CD62" t="e">
        <f>VLOOKUP($C62,'Hist Data'!$A$2:$CN$428,'Unchained Indices'!CD$2,0)/VLOOKUP($C61,'Hist Data'!$A$2:$CN$428,'Unchained Indices'!CD$2,0)-1</f>
        <v>#N/A</v>
      </c>
      <c r="CE62" t="e">
        <f>VLOOKUP($C62,'Hist Data'!$A$2:$CN$428,'Unchained Indices'!CE$2,0)/VLOOKUP($C61,'Hist Data'!$A$2:$CN$428,'Unchained Indices'!CE$2,0)-1</f>
        <v>#N/A</v>
      </c>
      <c r="CF62" t="e">
        <f>VLOOKUP($C62,'Hist Data'!$A$2:$CN$428,'Unchained Indices'!CF$2,0)/VLOOKUP($C61,'Hist Data'!$A$2:$CN$428,'Unchained Indices'!CF$2,0)-1</f>
        <v>#N/A</v>
      </c>
      <c r="CG62" t="e">
        <f>VLOOKUP($C62,'Hist Data'!$A$2:$CN$428,'Unchained Indices'!CG$2,0)/VLOOKUP($C61,'Hist Data'!$A$2:$CN$428,'Unchained Indices'!CG$2,0)-1</f>
        <v>#N/A</v>
      </c>
      <c r="CH62" t="e">
        <f>VLOOKUP($C62,'Hist Data'!$A$2:$CN$428,'Unchained Indices'!CH$2,0)/VLOOKUP($C61,'Hist Data'!$A$2:$CN$428,'Unchained Indices'!CH$2,0)-1</f>
        <v>#N/A</v>
      </c>
      <c r="CI62" t="e">
        <f>VLOOKUP($C62,'Hist Data'!$A$2:$CN$428,'Unchained Indices'!CI$2,0)/VLOOKUP($C61,'Hist Data'!$A$2:$CN$428,'Unchained Indices'!CI$2,0)-1</f>
        <v>#N/A</v>
      </c>
      <c r="CJ62" t="e">
        <f>VLOOKUP($C62,'Hist Data'!$A$2:$CN$428,'Unchained Indices'!CJ$2,0)/VLOOKUP($C61,'Hist Data'!$A$2:$CN$428,'Unchained Indices'!CJ$2,0)-1</f>
        <v>#N/A</v>
      </c>
      <c r="CK62" t="e">
        <f>VLOOKUP($C62,'Hist Data'!$A$2:$CN$428,'Unchained Indices'!CK$2,0)/VLOOKUP($C61,'Hist Data'!$A$2:$CN$428,'Unchained Indices'!CK$2,0)-1</f>
        <v>#N/A</v>
      </c>
      <c r="CL62" t="e">
        <f>VLOOKUP($C62,'Hist Data'!$A$2:$CN$428,'Unchained Indices'!CL$2,0)/VLOOKUP($C61,'Hist Data'!$A$2:$CN$428,'Unchained Indices'!CL$2,0)-1</f>
        <v>#N/A</v>
      </c>
      <c r="CM62" t="e">
        <f>VLOOKUP($C62,'Hist Data'!$A$2:$CN$428,'Unchained Indices'!CM$2,0)/VLOOKUP($C61,'Hist Data'!$A$2:$CN$428,'Unchained Indices'!CM$2,0)-1</f>
        <v>#N/A</v>
      </c>
      <c r="CN62" t="e">
        <f>VLOOKUP($C62,'Hist Data'!$A$2:$CN$428,'Unchained Indices'!CN$2,0)/VLOOKUP($C61,'Hist Data'!$A$2:$CN$428,'Unchained Indices'!CN$2,0)-1</f>
        <v>#N/A</v>
      </c>
      <c r="CO62" t="e">
        <f>VLOOKUP($C62,'Hist Data'!$A$2:$CN$428,'Unchained Indices'!CO$2,0)/VLOOKUP($C61,'Hist Data'!$A$2:$CN$428,'Unchained Indices'!CO$2,0)-1</f>
        <v>#N/A</v>
      </c>
      <c r="CP62" t="e">
        <f>VLOOKUP($C62,'Hist Data'!$A$2:$CN$428,'Unchained Indices'!CP$2,0)/VLOOKUP($C61,'Hist Data'!$A$2:$CN$428,'Unchained Indices'!CP$2,0)-1</f>
        <v>#N/A</v>
      </c>
    </row>
    <row r="63" spans="3:94" x14ac:dyDescent="0.25">
      <c r="C63" s="6">
        <f t="shared" si="10"/>
        <v>45139</v>
      </c>
      <c r="D63" t="e">
        <f>VLOOKUP($C63,'Hist Data'!$A$2:$CN$428,'Unchained Indices'!D$2,0)/VLOOKUP($C62,'Hist Data'!$A$2:$CN$428,'Unchained Indices'!D$2,0)-1</f>
        <v>#N/A</v>
      </c>
      <c r="E63" t="e">
        <f>VLOOKUP($C63,'Hist Data'!$A$2:$CN$428,'Unchained Indices'!E$2,0)/VLOOKUP($C62,'Hist Data'!$A$2:$CN$428,'Unchained Indices'!E$2,0)-1</f>
        <v>#N/A</v>
      </c>
      <c r="F63" t="e">
        <f>VLOOKUP($C63,'Hist Data'!$A$2:$CN$428,'Unchained Indices'!F$2,0)/VLOOKUP($C62,'Hist Data'!$A$2:$CN$428,'Unchained Indices'!F$2,0)-1</f>
        <v>#N/A</v>
      </c>
      <c r="G63" t="e">
        <f>VLOOKUP($C63,'Hist Data'!$A$2:$CN$428,'Unchained Indices'!G$2,0)/VLOOKUP($C62,'Hist Data'!$A$2:$CN$428,'Unchained Indices'!G$2,0)-1</f>
        <v>#N/A</v>
      </c>
      <c r="H63" t="e">
        <f>VLOOKUP($C63,'Hist Data'!$A$2:$CN$428,'Unchained Indices'!H$2,0)/VLOOKUP($C62,'Hist Data'!$A$2:$CN$428,'Unchained Indices'!H$2,0)-1</f>
        <v>#N/A</v>
      </c>
      <c r="I63" t="e">
        <f>VLOOKUP($C63,'Hist Data'!$A$2:$CN$428,'Unchained Indices'!I$2,0)/VLOOKUP($C62,'Hist Data'!$A$2:$CN$428,'Unchained Indices'!I$2,0)-1</f>
        <v>#N/A</v>
      </c>
      <c r="J63" t="e">
        <f>VLOOKUP($C63,'Hist Data'!$A$2:$CN$428,'Unchained Indices'!J$2,0)/VLOOKUP($C62,'Hist Data'!$A$2:$CN$428,'Unchained Indices'!J$2,0)-1</f>
        <v>#N/A</v>
      </c>
      <c r="K63" t="e">
        <f>VLOOKUP($C63,'Hist Data'!$A$2:$CN$428,'Unchained Indices'!K$2,0)/VLOOKUP($C62,'Hist Data'!$A$2:$CN$428,'Unchained Indices'!K$2,0)-1</f>
        <v>#N/A</v>
      </c>
      <c r="L63" t="e">
        <f>VLOOKUP($C63,'Hist Data'!$A$2:$CN$428,'Unchained Indices'!L$2,0)/VLOOKUP($C62,'Hist Data'!$A$2:$CN$428,'Unchained Indices'!L$2,0)-1</f>
        <v>#N/A</v>
      </c>
      <c r="M63" t="e">
        <f>VLOOKUP($C63,'Hist Data'!$A$2:$CN$428,'Unchained Indices'!M$2,0)/VLOOKUP($C62,'Hist Data'!$A$2:$CN$428,'Unchained Indices'!M$2,0)-1</f>
        <v>#N/A</v>
      </c>
      <c r="N63" t="e">
        <f>VLOOKUP($C63,'Hist Data'!$A$2:$CN$428,'Unchained Indices'!N$2,0)/VLOOKUP($C62,'Hist Data'!$A$2:$CN$428,'Unchained Indices'!N$2,0)-1</f>
        <v>#N/A</v>
      </c>
      <c r="O63" t="e">
        <f>VLOOKUP($C63,'Hist Data'!$A$2:$CN$428,'Unchained Indices'!O$2,0)/VLOOKUP($C62,'Hist Data'!$A$2:$CN$428,'Unchained Indices'!O$2,0)-1</f>
        <v>#N/A</v>
      </c>
      <c r="P63" t="e">
        <f>VLOOKUP($C63,'Hist Data'!$A$2:$CN$428,'Unchained Indices'!P$2,0)/VLOOKUP($C62,'Hist Data'!$A$2:$CN$428,'Unchained Indices'!P$2,0)-1</f>
        <v>#N/A</v>
      </c>
      <c r="Q63" t="e">
        <f>VLOOKUP($C63,'Hist Data'!$A$2:$CN$428,'Unchained Indices'!Q$2,0)/VLOOKUP($C62,'Hist Data'!$A$2:$CN$428,'Unchained Indices'!Q$2,0)-1</f>
        <v>#N/A</v>
      </c>
      <c r="R63" t="e">
        <f>VLOOKUP($C63,'Hist Data'!$A$2:$CN$428,'Unchained Indices'!R$2,0)/VLOOKUP($C62,'Hist Data'!$A$2:$CN$428,'Unchained Indices'!R$2,0)-1</f>
        <v>#N/A</v>
      </c>
      <c r="S63" t="e">
        <f>VLOOKUP($C63,'Hist Data'!$A$2:$CN$428,'Unchained Indices'!S$2,0)/VLOOKUP($C62,'Hist Data'!$A$2:$CN$428,'Unchained Indices'!S$2,0)-1</f>
        <v>#N/A</v>
      </c>
      <c r="T63" t="e">
        <f>VLOOKUP($C63,'Hist Data'!$A$2:$CN$428,'Unchained Indices'!T$2,0)/VLOOKUP($C62,'Hist Data'!$A$2:$CN$428,'Unchained Indices'!T$2,0)-1</f>
        <v>#N/A</v>
      </c>
      <c r="U63" t="e">
        <f>VLOOKUP($C63,'Hist Data'!$A$2:$CN$428,'Unchained Indices'!U$2,0)/VLOOKUP($C62,'Hist Data'!$A$2:$CN$428,'Unchained Indices'!U$2,0)-1</f>
        <v>#N/A</v>
      </c>
      <c r="V63" t="e">
        <f>VLOOKUP($C63,'Hist Data'!$A$2:$CN$428,'Unchained Indices'!V$2,0)/VLOOKUP($C62,'Hist Data'!$A$2:$CN$428,'Unchained Indices'!V$2,0)-1</f>
        <v>#N/A</v>
      </c>
      <c r="W63" t="e">
        <f>VLOOKUP($C63,'Hist Data'!$A$2:$CN$428,'Unchained Indices'!W$2,0)/VLOOKUP($C62,'Hist Data'!$A$2:$CN$428,'Unchained Indices'!W$2,0)-1</f>
        <v>#N/A</v>
      </c>
      <c r="X63" t="e">
        <f>VLOOKUP($C63,'Hist Data'!$A$2:$CN$428,'Unchained Indices'!X$2,0)/VLOOKUP($C62,'Hist Data'!$A$2:$CN$428,'Unchained Indices'!X$2,0)-1</f>
        <v>#N/A</v>
      </c>
      <c r="Y63" t="e">
        <f>VLOOKUP($C63,'Hist Data'!$A$2:$CN$428,'Unchained Indices'!Y$2,0)/VLOOKUP($C62,'Hist Data'!$A$2:$CN$428,'Unchained Indices'!Y$2,0)-1</f>
        <v>#N/A</v>
      </c>
      <c r="Z63" t="e">
        <f>VLOOKUP($C63,'Hist Data'!$A$2:$CN$428,'Unchained Indices'!Z$2,0)/VLOOKUP($C62,'Hist Data'!$A$2:$CN$428,'Unchained Indices'!Z$2,0)-1</f>
        <v>#N/A</v>
      </c>
      <c r="AA63" t="e">
        <f>VLOOKUP($C63,'Hist Data'!$A$2:$CN$428,'Unchained Indices'!AA$2,0)/VLOOKUP($C62,'Hist Data'!$A$2:$CN$428,'Unchained Indices'!AA$2,0)-1</f>
        <v>#N/A</v>
      </c>
      <c r="AB63" t="e">
        <f>VLOOKUP($C63,'Hist Data'!$A$2:$CN$428,'Unchained Indices'!AB$2,0)/VLOOKUP($C62,'Hist Data'!$A$2:$CN$428,'Unchained Indices'!AB$2,0)-1</f>
        <v>#N/A</v>
      </c>
      <c r="AC63" t="e">
        <f>VLOOKUP($C63,'Hist Data'!$A$2:$CN$428,'Unchained Indices'!AC$2,0)/VLOOKUP($C62,'Hist Data'!$A$2:$CN$428,'Unchained Indices'!AC$2,0)-1</f>
        <v>#N/A</v>
      </c>
      <c r="AD63" t="e">
        <f>VLOOKUP($C63,'Hist Data'!$A$2:$CN$428,'Unchained Indices'!AD$2,0)/VLOOKUP($C62,'Hist Data'!$A$2:$CN$428,'Unchained Indices'!AD$2,0)-1</f>
        <v>#N/A</v>
      </c>
      <c r="AE63" t="e">
        <f>VLOOKUP($C63,'Hist Data'!$A$2:$CN$428,'Unchained Indices'!AE$2,0)/VLOOKUP($C62,'Hist Data'!$A$2:$CN$428,'Unchained Indices'!AE$2,0)-1</f>
        <v>#N/A</v>
      </c>
      <c r="AF63" t="e">
        <f>VLOOKUP($C63,'Hist Data'!$A$2:$CN$428,'Unchained Indices'!AF$2,0)/VLOOKUP($C62,'Hist Data'!$A$2:$CN$428,'Unchained Indices'!AF$2,0)-1</f>
        <v>#N/A</v>
      </c>
      <c r="AG63" t="e">
        <f>VLOOKUP($C63,'Hist Data'!$A$2:$CN$428,'Unchained Indices'!AG$2,0)/VLOOKUP($C62,'Hist Data'!$A$2:$CN$428,'Unchained Indices'!AG$2,0)-1</f>
        <v>#N/A</v>
      </c>
      <c r="AH63" t="e">
        <f>VLOOKUP($C63,'Hist Data'!$A$2:$CN$428,'Unchained Indices'!AH$2,0)/VLOOKUP($C62,'Hist Data'!$A$2:$CN$428,'Unchained Indices'!AH$2,0)-1</f>
        <v>#N/A</v>
      </c>
      <c r="AI63" t="e">
        <f>VLOOKUP($C63,'Hist Data'!$A$2:$CN$428,'Unchained Indices'!AI$2,0)/VLOOKUP($C62,'Hist Data'!$A$2:$CN$428,'Unchained Indices'!AI$2,0)-1</f>
        <v>#N/A</v>
      </c>
      <c r="AJ63" t="e">
        <f>VLOOKUP($C63,'Hist Data'!$A$2:$CN$428,'Unchained Indices'!AJ$2,0)/VLOOKUP($C62,'Hist Data'!$A$2:$CN$428,'Unchained Indices'!AJ$2,0)-1</f>
        <v>#N/A</v>
      </c>
      <c r="AK63" t="e">
        <f>VLOOKUP($C63,'Hist Data'!$A$2:$CN$428,'Unchained Indices'!AK$2,0)/VLOOKUP($C62,'Hist Data'!$A$2:$CN$428,'Unchained Indices'!AK$2,0)-1</f>
        <v>#N/A</v>
      </c>
      <c r="AL63" t="e">
        <f>VLOOKUP($C63,'Hist Data'!$A$2:$CN$428,'Unchained Indices'!AL$2,0)/VLOOKUP($C62,'Hist Data'!$A$2:$CN$428,'Unchained Indices'!AL$2,0)-1</f>
        <v>#N/A</v>
      </c>
      <c r="AM63" t="e">
        <f>VLOOKUP($C63,'Hist Data'!$A$2:$CN$428,'Unchained Indices'!AM$2,0)/VLOOKUP($C62,'Hist Data'!$A$2:$CN$428,'Unchained Indices'!AM$2,0)-1</f>
        <v>#N/A</v>
      </c>
      <c r="AN63" t="e">
        <f>VLOOKUP($C63,'Hist Data'!$A$2:$CN$428,'Unchained Indices'!AN$2,0)/VLOOKUP($C62,'Hist Data'!$A$2:$CN$428,'Unchained Indices'!AN$2,0)-1</f>
        <v>#N/A</v>
      </c>
      <c r="AO63" t="e">
        <f>VLOOKUP($C63,'Hist Data'!$A$2:$CN$428,'Unchained Indices'!AO$2,0)/VLOOKUP($C62,'Hist Data'!$A$2:$CN$428,'Unchained Indices'!AO$2,0)-1</f>
        <v>#N/A</v>
      </c>
      <c r="AP63" t="e">
        <f>VLOOKUP($C63,'Hist Data'!$A$2:$CN$428,'Unchained Indices'!AP$2,0)/VLOOKUP($C62,'Hist Data'!$A$2:$CN$428,'Unchained Indices'!AP$2,0)-1</f>
        <v>#N/A</v>
      </c>
      <c r="AQ63" t="e">
        <f>VLOOKUP($C63,'Hist Data'!$A$2:$CN$428,'Unchained Indices'!AQ$2,0)/VLOOKUP($C62,'Hist Data'!$A$2:$CN$428,'Unchained Indices'!AQ$2,0)-1</f>
        <v>#N/A</v>
      </c>
      <c r="AR63" t="e">
        <f>VLOOKUP($C63,'Hist Data'!$A$2:$CN$428,'Unchained Indices'!AR$2,0)/VLOOKUP($C62,'Hist Data'!$A$2:$CN$428,'Unchained Indices'!AR$2,0)-1</f>
        <v>#N/A</v>
      </c>
      <c r="AS63" t="e">
        <f>VLOOKUP($C63,'Hist Data'!$A$2:$CN$428,'Unchained Indices'!AS$2,0)/VLOOKUP($C62,'Hist Data'!$A$2:$CN$428,'Unchained Indices'!AS$2,0)-1</f>
        <v>#N/A</v>
      </c>
      <c r="AT63" t="e">
        <f>VLOOKUP($C63,'Hist Data'!$A$2:$CN$428,'Unchained Indices'!AT$2,0)/VLOOKUP($C62,'Hist Data'!$A$2:$CN$428,'Unchained Indices'!AT$2,0)-1</f>
        <v>#N/A</v>
      </c>
      <c r="AU63" t="e">
        <f>VLOOKUP($C63,'Hist Data'!$A$2:$CN$428,'Unchained Indices'!AU$2,0)/VLOOKUP($C62,'Hist Data'!$A$2:$CN$428,'Unchained Indices'!AU$2,0)-1</f>
        <v>#N/A</v>
      </c>
      <c r="AV63" t="e">
        <f>VLOOKUP($C63,'Hist Data'!$A$2:$CN$428,'Unchained Indices'!AV$2,0)/VLOOKUP($C62,'Hist Data'!$A$2:$CN$428,'Unchained Indices'!AV$2,0)-1</f>
        <v>#N/A</v>
      </c>
      <c r="AW63" t="e">
        <f>VLOOKUP($C63,'Hist Data'!$A$2:$CN$428,'Unchained Indices'!AW$2,0)/VLOOKUP($C62,'Hist Data'!$A$2:$CN$428,'Unchained Indices'!AW$2,0)-1</f>
        <v>#N/A</v>
      </c>
      <c r="AX63" t="e">
        <f>VLOOKUP($C63,'Hist Data'!$A$2:$CN$428,'Unchained Indices'!AX$2,0)/VLOOKUP($C62,'Hist Data'!$A$2:$CN$428,'Unchained Indices'!AX$2,0)-1</f>
        <v>#N/A</v>
      </c>
      <c r="AY63" t="e">
        <f>VLOOKUP($C63,'Hist Data'!$A$2:$CN$428,'Unchained Indices'!AY$2,0)/VLOOKUP($C62,'Hist Data'!$A$2:$CN$428,'Unchained Indices'!AY$2,0)-1</f>
        <v>#N/A</v>
      </c>
      <c r="AZ63" t="e">
        <f>VLOOKUP($C63,'Hist Data'!$A$2:$CN$428,'Unchained Indices'!AZ$2,0)/VLOOKUP($C62,'Hist Data'!$A$2:$CN$428,'Unchained Indices'!AZ$2,0)-1</f>
        <v>#N/A</v>
      </c>
      <c r="BA63" t="e">
        <f>VLOOKUP($C63,'Hist Data'!$A$2:$CN$428,'Unchained Indices'!BA$2,0)/VLOOKUP($C62,'Hist Data'!$A$2:$CN$428,'Unchained Indices'!BA$2,0)-1</f>
        <v>#N/A</v>
      </c>
      <c r="BB63" t="e">
        <f>VLOOKUP($C63,'Hist Data'!$A$2:$CN$428,'Unchained Indices'!BB$2,0)/VLOOKUP($C62,'Hist Data'!$A$2:$CN$428,'Unchained Indices'!BB$2,0)-1</f>
        <v>#N/A</v>
      </c>
      <c r="BC63" t="e">
        <f>VLOOKUP($C63,'Hist Data'!$A$2:$CN$428,'Unchained Indices'!BC$2,0)/VLOOKUP($C62,'Hist Data'!$A$2:$CN$428,'Unchained Indices'!BC$2,0)-1</f>
        <v>#N/A</v>
      </c>
      <c r="BD63" t="e">
        <f>VLOOKUP($C63,'Hist Data'!$A$2:$CN$428,'Unchained Indices'!BD$2,0)/VLOOKUP($C62,'Hist Data'!$A$2:$CN$428,'Unchained Indices'!BD$2,0)-1</f>
        <v>#N/A</v>
      </c>
      <c r="BE63" t="e">
        <f>VLOOKUP($C63,'Hist Data'!$A$2:$CN$428,'Unchained Indices'!BE$2,0)/VLOOKUP($C62,'Hist Data'!$A$2:$CN$428,'Unchained Indices'!BE$2,0)-1</f>
        <v>#N/A</v>
      </c>
      <c r="BF63" t="e">
        <f>VLOOKUP($C63,'Hist Data'!$A$2:$CN$428,'Unchained Indices'!BF$2,0)/VLOOKUP($C62,'Hist Data'!$A$2:$CN$428,'Unchained Indices'!BF$2,0)-1</f>
        <v>#N/A</v>
      </c>
      <c r="BG63" t="e">
        <f>VLOOKUP($C63,'Hist Data'!$A$2:$CN$428,'Unchained Indices'!BG$2,0)/VLOOKUP($C62,'Hist Data'!$A$2:$CN$428,'Unchained Indices'!BG$2,0)-1</f>
        <v>#N/A</v>
      </c>
      <c r="BH63" t="e">
        <f>VLOOKUP($C63,'Hist Data'!$A$2:$CN$428,'Unchained Indices'!BH$2,0)/VLOOKUP($C62,'Hist Data'!$A$2:$CN$428,'Unchained Indices'!BH$2,0)-1</f>
        <v>#N/A</v>
      </c>
      <c r="BI63" t="e">
        <f>VLOOKUP($C63,'Hist Data'!$A$2:$CN$428,'Unchained Indices'!BI$2,0)/VLOOKUP($C62,'Hist Data'!$A$2:$CN$428,'Unchained Indices'!BI$2,0)-1</f>
        <v>#N/A</v>
      </c>
      <c r="BJ63" t="e">
        <f>VLOOKUP($C63,'Hist Data'!$A$2:$CN$428,'Unchained Indices'!BJ$2,0)/VLOOKUP($C62,'Hist Data'!$A$2:$CN$428,'Unchained Indices'!BJ$2,0)-1</f>
        <v>#N/A</v>
      </c>
      <c r="BK63" t="e">
        <f>VLOOKUP($C63,'Hist Data'!$A$2:$CN$428,'Unchained Indices'!BK$2,0)/VLOOKUP($C62,'Hist Data'!$A$2:$CN$428,'Unchained Indices'!BK$2,0)-1</f>
        <v>#N/A</v>
      </c>
      <c r="BL63" t="e">
        <f>VLOOKUP($C63,'Hist Data'!$A$2:$CN$428,'Unchained Indices'!BL$2,0)/VLOOKUP($C62,'Hist Data'!$A$2:$CN$428,'Unchained Indices'!BL$2,0)-1</f>
        <v>#N/A</v>
      </c>
      <c r="BM63" t="e">
        <f>VLOOKUP($C63,'Hist Data'!$A$2:$CN$428,'Unchained Indices'!BM$2,0)/VLOOKUP($C62,'Hist Data'!$A$2:$CN$428,'Unchained Indices'!BM$2,0)-1</f>
        <v>#N/A</v>
      </c>
      <c r="BN63" t="e">
        <f>VLOOKUP($C63,'Hist Data'!$A$2:$CN$428,'Unchained Indices'!BN$2,0)/VLOOKUP($C62,'Hist Data'!$A$2:$CN$428,'Unchained Indices'!BN$2,0)-1</f>
        <v>#N/A</v>
      </c>
      <c r="BO63" t="e">
        <f>VLOOKUP($C63,'Hist Data'!$A$2:$CN$428,'Unchained Indices'!BO$2,0)/VLOOKUP($C62,'Hist Data'!$A$2:$CN$428,'Unchained Indices'!BO$2,0)-1</f>
        <v>#N/A</v>
      </c>
      <c r="BP63" t="e">
        <f>VLOOKUP($C63,'Hist Data'!$A$2:$CN$428,'Unchained Indices'!BP$2,0)/VLOOKUP($C62,'Hist Data'!$A$2:$CN$428,'Unchained Indices'!BP$2,0)-1</f>
        <v>#N/A</v>
      </c>
      <c r="BQ63" t="e">
        <f>VLOOKUP($C63,'Hist Data'!$A$2:$CN$428,'Unchained Indices'!BQ$2,0)/VLOOKUP($C62,'Hist Data'!$A$2:$CN$428,'Unchained Indices'!BQ$2,0)-1</f>
        <v>#N/A</v>
      </c>
      <c r="BR63" t="e">
        <f>VLOOKUP($C63,'Hist Data'!$A$2:$CN$428,'Unchained Indices'!BR$2,0)/VLOOKUP($C62,'Hist Data'!$A$2:$CN$428,'Unchained Indices'!BR$2,0)-1</f>
        <v>#N/A</v>
      </c>
      <c r="BS63" t="e">
        <f>VLOOKUP($C63,'Hist Data'!$A$2:$CN$428,'Unchained Indices'!BS$2,0)/VLOOKUP($C62,'Hist Data'!$A$2:$CN$428,'Unchained Indices'!BS$2,0)-1</f>
        <v>#N/A</v>
      </c>
      <c r="BT63" t="e">
        <f>VLOOKUP($C63,'Hist Data'!$A$2:$CN$428,'Unchained Indices'!BT$2,0)/VLOOKUP($C62,'Hist Data'!$A$2:$CN$428,'Unchained Indices'!BT$2,0)-1</f>
        <v>#N/A</v>
      </c>
      <c r="BU63" t="e">
        <f>VLOOKUP($C63,'Hist Data'!$A$2:$CN$428,'Unchained Indices'!BU$2,0)/VLOOKUP($C62,'Hist Data'!$A$2:$CN$428,'Unchained Indices'!BU$2,0)-1</f>
        <v>#N/A</v>
      </c>
      <c r="BV63" t="e">
        <f>VLOOKUP($C63,'Hist Data'!$A$2:$CN$428,'Unchained Indices'!BV$2,0)/VLOOKUP($C62,'Hist Data'!$A$2:$CN$428,'Unchained Indices'!BV$2,0)-1</f>
        <v>#N/A</v>
      </c>
      <c r="BW63" t="e">
        <f>VLOOKUP($C63,'Hist Data'!$A$2:$CN$428,'Unchained Indices'!BW$2,0)/VLOOKUP($C62,'Hist Data'!$A$2:$CN$428,'Unchained Indices'!BW$2,0)-1</f>
        <v>#N/A</v>
      </c>
      <c r="BX63" t="e">
        <f>VLOOKUP($C63,'Hist Data'!$A$2:$CN$428,'Unchained Indices'!BX$2,0)/VLOOKUP($C62,'Hist Data'!$A$2:$CN$428,'Unchained Indices'!BX$2,0)-1</f>
        <v>#N/A</v>
      </c>
      <c r="BY63" t="e">
        <f>VLOOKUP($C63,'Hist Data'!$A$2:$CN$428,'Unchained Indices'!BY$2,0)/VLOOKUP($C62,'Hist Data'!$A$2:$CN$428,'Unchained Indices'!BY$2,0)-1</f>
        <v>#N/A</v>
      </c>
      <c r="BZ63" t="e">
        <f>VLOOKUP($C63,'Hist Data'!$A$2:$CN$428,'Unchained Indices'!BZ$2,0)/VLOOKUP($C62,'Hist Data'!$A$2:$CN$428,'Unchained Indices'!BZ$2,0)-1</f>
        <v>#N/A</v>
      </c>
      <c r="CA63" t="e">
        <f>VLOOKUP($C63,'Hist Data'!$A$2:$CN$428,'Unchained Indices'!CA$2,0)/VLOOKUP($C62,'Hist Data'!$A$2:$CN$428,'Unchained Indices'!CA$2,0)-1</f>
        <v>#N/A</v>
      </c>
      <c r="CB63" t="e">
        <f>VLOOKUP($C63,'Hist Data'!$A$2:$CN$428,'Unchained Indices'!CB$2,0)/VLOOKUP($C62,'Hist Data'!$A$2:$CN$428,'Unchained Indices'!CB$2,0)-1</f>
        <v>#N/A</v>
      </c>
      <c r="CC63" t="e">
        <f>VLOOKUP($C63,'Hist Data'!$A$2:$CN$428,'Unchained Indices'!CC$2,0)/VLOOKUP($C62,'Hist Data'!$A$2:$CN$428,'Unchained Indices'!CC$2,0)-1</f>
        <v>#N/A</v>
      </c>
      <c r="CD63" t="e">
        <f>VLOOKUP($C63,'Hist Data'!$A$2:$CN$428,'Unchained Indices'!CD$2,0)/VLOOKUP($C62,'Hist Data'!$A$2:$CN$428,'Unchained Indices'!CD$2,0)-1</f>
        <v>#N/A</v>
      </c>
      <c r="CE63" t="e">
        <f>VLOOKUP($C63,'Hist Data'!$A$2:$CN$428,'Unchained Indices'!CE$2,0)/VLOOKUP($C62,'Hist Data'!$A$2:$CN$428,'Unchained Indices'!CE$2,0)-1</f>
        <v>#N/A</v>
      </c>
      <c r="CF63" t="e">
        <f>VLOOKUP($C63,'Hist Data'!$A$2:$CN$428,'Unchained Indices'!CF$2,0)/VLOOKUP($C62,'Hist Data'!$A$2:$CN$428,'Unchained Indices'!CF$2,0)-1</f>
        <v>#N/A</v>
      </c>
      <c r="CG63" t="e">
        <f>VLOOKUP($C63,'Hist Data'!$A$2:$CN$428,'Unchained Indices'!CG$2,0)/VLOOKUP($C62,'Hist Data'!$A$2:$CN$428,'Unchained Indices'!CG$2,0)-1</f>
        <v>#N/A</v>
      </c>
      <c r="CH63" t="e">
        <f>VLOOKUP($C63,'Hist Data'!$A$2:$CN$428,'Unchained Indices'!CH$2,0)/VLOOKUP($C62,'Hist Data'!$A$2:$CN$428,'Unchained Indices'!CH$2,0)-1</f>
        <v>#N/A</v>
      </c>
      <c r="CI63" t="e">
        <f>VLOOKUP($C63,'Hist Data'!$A$2:$CN$428,'Unchained Indices'!CI$2,0)/VLOOKUP($C62,'Hist Data'!$A$2:$CN$428,'Unchained Indices'!CI$2,0)-1</f>
        <v>#N/A</v>
      </c>
      <c r="CJ63" t="e">
        <f>VLOOKUP($C63,'Hist Data'!$A$2:$CN$428,'Unchained Indices'!CJ$2,0)/VLOOKUP($C62,'Hist Data'!$A$2:$CN$428,'Unchained Indices'!CJ$2,0)-1</f>
        <v>#N/A</v>
      </c>
      <c r="CK63" t="e">
        <f>VLOOKUP($C63,'Hist Data'!$A$2:$CN$428,'Unchained Indices'!CK$2,0)/VLOOKUP($C62,'Hist Data'!$A$2:$CN$428,'Unchained Indices'!CK$2,0)-1</f>
        <v>#N/A</v>
      </c>
      <c r="CL63" t="e">
        <f>VLOOKUP($C63,'Hist Data'!$A$2:$CN$428,'Unchained Indices'!CL$2,0)/VLOOKUP($C62,'Hist Data'!$A$2:$CN$428,'Unchained Indices'!CL$2,0)-1</f>
        <v>#N/A</v>
      </c>
      <c r="CM63" t="e">
        <f>VLOOKUP($C63,'Hist Data'!$A$2:$CN$428,'Unchained Indices'!CM$2,0)/VLOOKUP($C62,'Hist Data'!$A$2:$CN$428,'Unchained Indices'!CM$2,0)-1</f>
        <v>#N/A</v>
      </c>
      <c r="CN63" t="e">
        <f>VLOOKUP($C63,'Hist Data'!$A$2:$CN$428,'Unchained Indices'!CN$2,0)/VLOOKUP($C62,'Hist Data'!$A$2:$CN$428,'Unchained Indices'!CN$2,0)-1</f>
        <v>#N/A</v>
      </c>
      <c r="CO63" t="e">
        <f>VLOOKUP($C63,'Hist Data'!$A$2:$CN$428,'Unchained Indices'!CO$2,0)/VLOOKUP($C62,'Hist Data'!$A$2:$CN$428,'Unchained Indices'!CO$2,0)-1</f>
        <v>#N/A</v>
      </c>
      <c r="CP63" t="e">
        <f>VLOOKUP($C63,'Hist Data'!$A$2:$CN$428,'Unchained Indices'!CP$2,0)/VLOOKUP($C62,'Hist Data'!$A$2:$CN$428,'Unchained Indices'!CP$2,0)-1</f>
        <v>#N/A</v>
      </c>
    </row>
    <row r="64" spans="3:94" x14ac:dyDescent="0.25">
      <c r="C64" s="6">
        <f t="shared" si="10"/>
        <v>45170</v>
      </c>
      <c r="D64" t="e">
        <f>VLOOKUP($C64,'Hist Data'!$A$2:$CN$428,'Unchained Indices'!D$2,0)/VLOOKUP($C63,'Hist Data'!$A$2:$CN$428,'Unchained Indices'!D$2,0)-1</f>
        <v>#N/A</v>
      </c>
      <c r="E64" t="e">
        <f>VLOOKUP($C64,'Hist Data'!$A$2:$CN$428,'Unchained Indices'!E$2,0)/VLOOKUP($C63,'Hist Data'!$A$2:$CN$428,'Unchained Indices'!E$2,0)-1</f>
        <v>#N/A</v>
      </c>
      <c r="F64" t="e">
        <f>VLOOKUP($C64,'Hist Data'!$A$2:$CN$428,'Unchained Indices'!F$2,0)/VLOOKUP($C63,'Hist Data'!$A$2:$CN$428,'Unchained Indices'!F$2,0)-1</f>
        <v>#N/A</v>
      </c>
      <c r="G64" t="e">
        <f>VLOOKUP($C64,'Hist Data'!$A$2:$CN$428,'Unchained Indices'!G$2,0)/VLOOKUP($C63,'Hist Data'!$A$2:$CN$428,'Unchained Indices'!G$2,0)-1</f>
        <v>#N/A</v>
      </c>
      <c r="H64" t="e">
        <f>VLOOKUP($C64,'Hist Data'!$A$2:$CN$428,'Unchained Indices'!H$2,0)/VLOOKUP($C63,'Hist Data'!$A$2:$CN$428,'Unchained Indices'!H$2,0)-1</f>
        <v>#N/A</v>
      </c>
      <c r="I64" t="e">
        <f>VLOOKUP($C64,'Hist Data'!$A$2:$CN$428,'Unchained Indices'!I$2,0)/VLOOKUP($C63,'Hist Data'!$A$2:$CN$428,'Unchained Indices'!I$2,0)-1</f>
        <v>#N/A</v>
      </c>
      <c r="J64" t="e">
        <f>VLOOKUP($C64,'Hist Data'!$A$2:$CN$428,'Unchained Indices'!J$2,0)/VLOOKUP($C63,'Hist Data'!$A$2:$CN$428,'Unchained Indices'!J$2,0)-1</f>
        <v>#N/A</v>
      </c>
      <c r="K64" t="e">
        <f>VLOOKUP($C64,'Hist Data'!$A$2:$CN$428,'Unchained Indices'!K$2,0)/VLOOKUP($C63,'Hist Data'!$A$2:$CN$428,'Unchained Indices'!K$2,0)-1</f>
        <v>#N/A</v>
      </c>
      <c r="L64" t="e">
        <f>VLOOKUP($C64,'Hist Data'!$A$2:$CN$428,'Unchained Indices'!L$2,0)/VLOOKUP($C63,'Hist Data'!$A$2:$CN$428,'Unchained Indices'!L$2,0)-1</f>
        <v>#N/A</v>
      </c>
      <c r="M64" t="e">
        <f>VLOOKUP($C64,'Hist Data'!$A$2:$CN$428,'Unchained Indices'!M$2,0)/VLOOKUP($C63,'Hist Data'!$A$2:$CN$428,'Unchained Indices'!M$2,0)-1</f>
        <v>#N/A</v>
      </c>
      <c r="N64" t="e">
        <f>VLOOKUP($C64,'Hist Data'!$A$2:$CN$428,'Unchained Indices'!N$2,0)/VLOOKUP($C63,'Hist Data'!$A$2:$CN$428,'Unchained Indices'!N$2,0)-1</f>
        <v>#N/A</v>
      </c>
      <c r="O64" t="e">
        <f>VLOOKUP($C64,'Hist Data'!$A$2:$CN$428,'Unchained Indices'!O$2,0)/VLOOKUP($C63,'Hist Data'!$A$2:$CN$428,'Unchained Indices'!O$2,0)-1</f>
        <v>#N/A</v>
      </c>
      <c r="P64" t="e">
        <f>VLOOKUP($C64,'Hist Data'!$A$2:$CN$428,'Unchained Indices'!P$2,0)/VLOOKUP($C63,'Hist Data'!$A$2:$CN$428,'Unchained Indices'!P$2,0)-1</f>
        <v>#N/A</v>
      </c>
      <c r="Q64" t="e">
        <f>VLOOKUP($C64,'Hist Data'!$A$2:$CN$428,'Unchained Indices'!Q$2,0)/VLOOKUP($C63,'Hist Data'!$A$2:$CN$428,'Unchained Indices'!Q$2,0)-1</f>
        <v>#N/A</v>
      </c>
      <c r="R64" t="e">
        <f>VLOOKUP($C64,'Hist Data'!$A$2:$CN$428,'Unchained Indices'!R$2,0)/VLOOKUP($C63,'Hist Data'!$A$2:$CN$428,'Unchained Indices'!R$2,0)-1</f>
        <v>#N/A</v>
      </c>
      <c r="S64" t="e">
        <f>VLOOKUP($C64,'Hist Data'!$A$2:$CN$428,'Unchained Indices'!S$2,0)/VLOOKUP($C63,'Hist Data'!$A$2:$CN$428,'Unchained Indices'!S$2,0)-1</f>
        <v>#N/A</v>
      </c>
      <c r="T64" t="e">
        <f>VLOOKUP($C64,'Hist Data'!$A$2:$CN$428,'Unchained Indices'!T$2,0)/VLOOKUP($C63,'Hist Data'!$A$2:$CN$428,'Unchained Indices'!T$2,0)-1</f>
        <v>#N/A</v>
      </c>
      <c r="U64" t="e">
        <f>VLOOKUP($C64,'Hist Data'!$A$2:$CN$428,'Unchained Indices'!U$2,0)/VLOOKUP($C63,'Hist Data'!$A$2:$CN$428,'Unchained Indices'!U$2,0)-1</f>
        <v>#N/A</v>
      </c>
      <c r="V64" t="e">
        <f>VLOOKUP($C64,'Hist Data'!$A$2:$CN$428,'Unchained Indices'!V$2,0)/VLOOKUP($C63,'Hist Data'!$A$2:$CN$428,'Unchained Indices'!V$2,0)-1</f>
        <v>#N/A</v>
      </c>
      <c r="W64" t="e">
        <f>VLOOKUP($C64,'Hist Data'!$A$2:$CN$428,'Unchained Indices'!W$2,0)/VLOOKUP($C63,'Hist Data'!$A$2:$CN$428,'Unchained Indices'!W$2,0)-1</f>
        <v>#N/A</v>
      </c>
      <c r="X64" t="e">
        <f>VLOOKUP($C64,'Hist Data'!$A$2:$CN$428,'Unchained Indices'!X$2,0)/VLOOKUP($C63,'Hist Data'!$A$2:$CN$428,'Unchained Indices'!X$2,0)-1</f>
        <v>#N/A</v>
      </c>
      <c r="Y64" t="e">
        <f>VLOOKUP($C64,'Hist Data'!$A$2:$CN$428,'Unchained Indices'!Y$2,0)/VLOOKUP($C63,'Hist Data'!$A$2:$CN$428,'Unchained Indices'!Y$2,0)-1</f>
        <v>#N/A</v>
      </c>
      <c r="Z64" t="e">
        <f>VLOOKUP($C64,'Hist Data'!$A$2:$CN$428,'Unchained Indices'!Z$2,0)/VLOOKUP($C63,'Hist Data'!$A$2:$CN$428,'Unchained Indices'!Z$2,0)-1</f>
        <v>#N/A</v>
      </c>
      <c r="AA64" t="e">
        <f>VLOOKUP($C64,'Hist Data'!$A$2:$CN$428,'Unchained Indices'!AA$2,0)/VLOOKUP($C63,'Hist Data'!$A$2:$CN$428,'Unchained Indices'!AA$2,0)-1</f>
        <v>#N/A</v>
      </c>
      <c r="AB64" t="e">
        <f>VLOOKUP($C64,'Hist Data'!$A$2:$CN$428,'Unchained Indices'!AB$2,0)/VLOOKUP($C63,'Hist Data'!$A$2:$CN$428,'Unchained Indices'!AB$2,0)-1</f>
        <v>#N/A</v>
      </c>
      <c r="AC64" t="e">
        <f>VLOOKUP($C64,'Hist Data'!$A$2:$CN$428,'Unchained Indices'!AC$2,0)/VLOOKUP($C63,'Hist Data'!$A$2:$CN$428,'Unchained Indices'!AC$2,0)-1</f>
        <v>#N/A</v>
      </c>
      <c r="AD64" t="e">
        <f>VLOOKUP($C64,'Hist Data'!$A$2:$CN$428,'Unchained Indices'!AD$2,0)/VLOOKUP($C63,'Hist Data'!$A$2:$CN$428,'Unchained Indices'!AD$2,0)-1</f>
        <v>#N/A</v>
      </c>
      <c r="AE64" t="e">
        <f>VLOOKUP($C64,'Hist Data'!$A$2:$CN$428,'Unchained Indices'!AE$2,0)/VLOOKUP($C63,'Hist Data'!$A$2:$CN$428,'Unchained Indices'!AE$2,0)-1</f>
        <v>#N/A</v>
      </c>
      <c r="AF64" t="e">
        <f>VLOOKUP($C64,'Hist Data'!$A$2:$CN$428,'Unchained Indices'!AF$2,0)/VLOOKUP($C63,'Hist Data'!$A$2:$CN$428,'Unchained Indices'!AF$2,0)-1</f>
        <v>#N/A</v>
      </c>
      <c r="AG64" t="e">
        <f>VLOOKUP($C64,'Hist Data'!$A$2:$CN$428,'Unchained Indices'!AG$2,0)/VLOOKUP($C63,'Hist Data'!$A$2:$CN$428,'Unchained Indices'!AG$2,0)-1</f>
        <v>#N/A</v>
      </c>
      <c r="AH64" t="e">
        <f>VLOOKUP($C64,'Hist Data'!$A$2:$CN$428,'Unchained Indices'!AH$2,0)/VLOOKUP($C63,'Hist Data'!$A$2:$CN$428,'Unchained Indices'!AH$2,0)-1</f>
        <v>#N/A</v>
      </c>
      <c r="AI64" t="e">
        <f>VLOOKUP($C64,'Hist Data'!$A$2:$CN$428,'Unchained Indices'!AI$2,0)/VLOOKUP($C63,'Hist Data'!$A$2:$CN$428,'Unchained Indices'!AI$2,0)-1</f>
        <v>#N/A</v>
      </c>
      <c r="AJ64" t="e">
        <f>VLOOKUP($C64,'Hist Data'!$A$2:$CN$428,'Unchained Indices'!AJ$2,0)/VLOOKUP($C63,'Hist Data'!$A$2:$CN$428,'Unchained Indices'!AJ$2,0)-1</f>
        <v>#N/A</v>
      </c>
      <c r="AK64" t="e">
        <f>VLOOKUP($C64,'Hist Data'!$A$2:$CN$428,'Unchained Indices'!AK$2,0)/VLOOKUP($C63,'Hist Data'!$A$2:$CN$428,'Unchained Indices'!AK$2,0)-1</f>
        <v>#N/A</v>
      </c>
      <c r="AL64" t="e">
        <f>VLOOKUP($C64,'Hist Data'!$A$2:$CN$428,'Unchained Indices'!AL$2,0)/VLOOKUP($C63,'Hist Data'!$A$2:$CN$428,'Unchained Indices'!AL$2,0)-1</f>
        <v>#N/A</v>
      </c>
      <c r="AM64" t="e">
        <f>VLOOKUP($C64,'Hist Data'!$A$2:$CN$428,'Unchained Indices'!AM$2,0)/VLOOKUP($C63,'Hist Data'!$A$2:$CN$428,'Unchained Indices'!AM$2,0)-1</f>
        <v>#N/A</v>
      </c>
      <c r="AN64" t="e">
        <f>VLOOKUP($C64,'Hist Data'!$A$2:$CN$428,'Unchained Indices'!AN$2,0)/VLOOKUP($C63,'Hist Data'!$A$2:$CN$428,'Unchained Indices'!AN$2,0)-1</f>
        <v>#N/A</v>
      </c>
      <c r="AO64" t="e">
        <f>VLOOKUP($C64,'Hist Data'!$A$2:$CN$428,'Unchained Indices'!AO$2,0)/VLOOKUP($C63,'Hist Data'!$A$2:$CN$428,'Unchained Indices'!AO$2,0)-1</f>
        <v>#N/A</v>
      </c>
      <c r="AP64" t="e">
        <f>VLOOKUP($C64,'Hist Data'!$A$2:$CN$428,'Unchained Indices'!AP$2,0)/VLOOKUP($C63,'Hist Data'!$A$2:$CN$428,'Unchained Indices'!AP$2,0)-1</f>
        <v>#N/A</v>
      </c>
      <c r="AQ64" t="e">
        <f>VLOOKUP($C64,'Hist Data'!$A$2:$CN$428,'Unchained Indices'!AQ$2,0)/VLOOKUP($C63,'Hist Data'!$A$2:$CN$428,'Unchained Indices'!AQ$2,0)-1</f>
        <v>#N/A</v>
      </c>
      <c r="AR64" t="e">
        <f>VLOOKUP($C64,'Hist Data'!$A$2:$CN$428,'Unchained Indices'!AR$2,0)/VLOOKUP($C63,'Hist Data'!$A$2:$CN$428,'Unchained Indices'!AR$2,0)-1</f>
        <v>#N/A</v>
      </c>
      <c r="AS64" t="e">
        <f>VLOOKUP($C64,'Hist Data'!$A$2:$CN$428,'Unchained Indices'!AS$2,0)/VLOOKUP($C63,'Hist Data'!$A$2:$CN$428,'Unchained Indices'!AS$2,0)-1</f>
        <v>#N/A</v>
      </c>
      <c r="AT64" t="e">
        <f>VLOOKUP($C64,'Hist Data'!$A$2:$CN$428,'Unchained Indices'!AT$2,0)/VLOOKUP($C63,'Hist Data'!$A$2:$CN$428,'Unchained Indices'!AT$2,0)-1</f>
        <v>#N/A</v>
      </c>
      <c r="AU64" t="e">
        <f>VLOOKUP($C64,'Hist Data'!$A$2:$CN$428,'Unchained Indices'!AU$2,0)/VLOOKUP($C63,'Hist Data'!$A$2:$CN$428,'Unchained Indices'!AU$2,0)-1</f>
        <v>#N/A</v>
      </c>
      <c r="AV64" t="e">
        <f>VLOOKUP($C64,'Hist Data'!$A$2:$CN$428,'Unchained Indices'!AV$2,0)/VLOOKUP($C63,'Hist Data'!$A$2:$CN$428,'Unchained Indices'!AV$2,0)-1</f>
        <v>#N/A</v>
      </c>
      <c r="AW64" t="e">
        <f>VLOOKUP($C64,'Hist Data'!$A$2:$CN$428,'Unchained Indices'!AW$2,0)/VLOOKUP($C63,'Hist Data'!$A$2:$CN$428,'Unchained Indices'!AW$2,0)-1</f>
        <v>#N/A</v>
      </c>
      <c r="AX64" t="e">
        <f>VLOOKUP($C64,'Hist Data'!$A$2:$CN$428,'Unchained Indices'!AX$2,0)/VLOOKUP($C63,'Hist Data'!$A$2:$CN$428,'Unchained Indices'!AX$2,0)-1</f>
        <v>#N/A</v>
      </c>
      <c r="AY64" t="e">
        <f>VLOOKUP($C64,'Hist Data'!$A$2:$CN$428,'Unchained Indices'!AY$2,0)/VLOOKUP($C63,'Hist Data'!$A$2:$CN$428,'Unchained Indices'!AY$2,0)-1</f>
        <v>#N/A</v>
      </c>
      <c r="AZ64" t="e">
        <f>VLOOKUP($C64,'Hist Data'!$A$2:$CN$428,'Unchained Indices'!AZ$2,0)/VLOOKUP($C63,'Hist Data'!$A$2:$CN$428,'Unchained Indices'!AZ$2,0)-1</f>
        <v>#N/A</v>
      </c>
      <c r="BA64" t="e">
        <f>VLOOKUP($C64,'Hist Data'!$A$2:$CN$428,'Unchained Indices'!BA$2,0)/VLOOKUP($C63,'Hist Data'!$A$2:$CN$428,'Unchained Indices'!BA$2,0)-1</f>
        <v>#N/A</v>
      </c>
      <c r="BB64" t="e">
        <f>VLOOKUP($C64,'Hist Data'!$A$2:$CN$428,'Unchained Indices'!BB$2,0)/VLOOKUP($C63,'Hist Data'!$A$2:$CN$428,'Unchained Indices'!BB$2,0)-1</f>
        <v>#N/A</v>
      </c>
      <c r="BC64" t="e">
        <f>VLOOKUP($C64,'Hist Data'!$A$2:$CN$428,'Unchained Indices'!BC$2,0)/VLOOKUP($C63,'Hist Data'!$A$2:$CN$428,'Unchained Indices'!BC$2,0)-1</f>
        <v>#N/A</v>
      </c>
      <c r="BD64" t="e">
        <f>VLOOKUP($C64,'Hist Data'!$A$2:$CN$428,'Unchained Indices'!BD$2,0)/VLOOKUP($C63,'Hist Data'!$A$2:$CN$428,'Unchained Indices'!BD$2,0)-1</f>
        <v>#N/A</v>
      </c>
      <c r="BE64" t="e">
        <f>VLOOKUP($C64,'Hist Data'!$A$2:$CN$428,'Unchained Indices'!BE$2,0)/VLOOKUP($C63,'Hist Data'!$A$2:$CN$428,'Unchained Indices'!BE$2,0)-1</f>
        <v>#N/A</v>
      </c>
      <c r="BF64" t="e">
        <f>VLOOKUP($C64,'Hist Data'!$A$2:$CN$428,'Unchained Indices'!BF$2,0)/VLOOKUP($C63,'Hist Data'!$A$2:$CN$428,'Unchained Indices'!BF$2,0)-1</f>
        <v>#N/A</v>
      </c>
      <c r="BG64" t="e">
        <f>VLOOKUP($C64,'Hist Data'!$A$2:$CN$428,'Unchained Indices'!BG$2,0)/VLOOKUP($C63,'Hist Data'!$A$2:$CN$428,'Unchained Indices'!BG$2,0)-1</f>
        <v>#N/A</v>
      </c>
      <c r="BH64" t="e">
        <f>VLOOKUP($C64,'Hist Data'!$A$2:$CN$428,'Unchained Indices'!BH$2,0)/VLOOKUP($C63,'Hist Data'!$A$2:$CN$428,'Unchained Indices'!BH$2,0)-1</f>
        <v>#N/A</v>
      </c>
      <c r="BI64" t="e">
        <f>VLOOKUP($C64,'Hist Data'!$A$2:$CN$428,'Unchained Indices'!BI$2,0)/VLOOKUP($C63,'Hist Data'!$A$2:$CN$428,'Unchained Indices'!BI$2,0)-1</f>
        <v>#N/A</v>
      </c>
      <c r="BJ64" t="e">
        <f>VLOOKUP($C64,'Hist Data'!$A$2:$CN$428,'Unchained Indices'!BJ$2,0)/VLOOKUP($C63,'Hist Data'!$A$2:$CN$428,'Unchained Indices'!BJ$2,0)-1</f>
        <v>#N/A</v>
      </c>
      <c r="BK64" t="e">
        <f>VLOOKUP($C64,'Hist Data'!$A$2:$CN$428,'Unchained Indices'!BK$2,0)/VLOOKUP($C63,'Hist Data'!$A$2:$CN$428,'Unchained Indices'!BK$2,0)-1</f>
        <v>#N/A</v>
      </c>
      <c r="BL64" t="e">
        <f>VLOOKUP($C64,'Hist Data'!$A$2:$CN$428,'Unchained Indices'!BL$2,0)/VLOOKUP($C63,'Hist Data'!$A$2:$CN$428,'Unchained Indices'!BL$2,0)-1</f>
        <v>#N/A</v>
      </c>
      <c r="BM64" t="e">
        <f>VLOOKUP($C64,'Hist Data'!$A$2:$CN$428,'Unchained Indices'!BM$2,0)/VLOOKUP($C63,'Hist Data'!$A$2:$CN$428,'Unchained Indices'!BM$2,0)-1</f>
        <v>#N/A</v>
      </c>
      <c r="BN64" t="e">
        <f>VLOOKUP($C64,'Hist Data'!$A$2:$CN$428,'Unchained Indices'!BN$2,0)/VLOOKUP($C63,'Hist Data'!$A$2:$CN$428,'Unchained Indices'!BN$2,0)-1</f>
        <v>#N/A</v>
      </c>
      <c r="BO64" t="e">
        <f>VLOOKUP($C64,'Hist Data'!$A$2:$CN$428,'Unchained Indices'!BO$2,0)/VLOOKUP($C63,'Hist Data'!$A$2:$CN$428,'Unchained Indices'!BO$2,0)-1</f>
        <v>#N/A</v>
      </c>
      <c r="BP64" t="e">
        <f>VLOOKUP($C64,'Hist Data'!$A$2:$CN$428,'Unchained Indices'!BP$2,0)/VLOOKUP($C63,'Hist Data'!$A$2:$CN$428,'Unchained Indices'!BP$2,0)-1</f>
        <v>#N/A</v>
      </c>
      <c r="BQ64" t="e">
        <f>VLOOKUP($C64,'Hist Data'!$A$2:$CN$428,'Unchained Indices'!BQ$2,0)/VLOOKUP($C63,'Hist Data'!$A$2:$CN$428,'Unchained Indices'!BQ$2,0)-1</f>
        <v>#N/A</v>
      </c>
      <c r="BR64" t="e">
        <f>VLOOKUP($C64,'Hist Data'!$A$2:$CN$428,'Unchained Indices'!BR$2,0)/VLOOKUP($C63,'Hist Data'!$A$2:$CN$428,'Unchained Indices'!BR$2,0)-1</f>
        <v>#N/A</v>
      </c>
      <c r="BS64" t="e">
        <f>VLOOKUP($C64,'Hist Data'!$A$2:$CN$428,'Unchained Indices'!BS$2,0)/VLOOKUP($C63,'Hist Data'!$A$2:$CN$428,'Unchained Indices'!BS$2,0)-1</f>
        <v>#N/A</v>
      </c>
      <c r="BT64" t="e">
        <f>VLOOKUP($C64,'Hist Data'!$A$2:$CN$428,'Unchained Indices'!BT$2,0)/VLOOKUP($C63,'Hist Data'!$A$2:$CN$428,'Unchained Indices'!BT$2,0)-1</f>
        <v>#N/A</v>
      </c>
      <c r="BU64" t="e">
        <f>VLOOKUP($C64,'Hist Data'!$A$2:$CN$428,'Unchained Indices'!BU$2,0)/VLOOKUP($C63,'Hist Data'!$A$2:$CN$428,'Unchained Indices'!BU$2,0)-1</f>
        <v>#N/A</v>
      </c>
      <c r="BV64" t="e">
        <f>VLOOKUP($C64,'Hist Data'!$A$2:$CN$428,'Unchained Indices'!BV$2,0)/VLOOKUP($C63,'Hist Data'!$A$2:$CN$428,'Unchained Indices'!BV$2,0)-1</f>
        <v>#N/A</v>
      </c>
      <c r="BW64" t="e">
        <f>VLOOKUP($C64,'Hist Data'!$A$2:$CN$428,'Unchained Indices'!BW$2,0)/VLOOKUP($C63,'Hist Data'!$A$2:$CN$428,'Unchained Indices'!BW$2,0)-1</f>
        <v>#N/A</v>
      </c>
      <c r="BX64" t="e">
        <f>VLOOKUP($C64,'Hist Data'!$A$2:$CN$428,'Unchained Indices'!BX$2,0)/VLOOKUP($C63,'Hist Data'!$A$2:$CN$428,'Unchained Indices'!BX$2,0)-1</f>
        <v>#N/A</v>
      </c>
      <c r="BY64" t="e">
        <f>VLOOKUP($C64,'Hist Data'!$A$2:$CN$428,'Unchained Indices'!BY$2,0)/VLOOKUP($C63,'Hist Data'!$A$2:$CN$428,'Unchained Indices'!BY$2,0)-1</f>
        <v>#N/A</v>
      </c>
      <c r="BZ64" t="e">
        <f>VLOOKUP($C64,'Hist Data'!$A$2:$CN$428,'Unchained Indices'!BZ$2,0)/VLOOKUP($C63,'Hist Data'!$A$2:$CN$428,'Unchained Indices'!BZ$2,0)-1</f>
        <v>#N/A</v>
      </c>
      <c r="CA64" t="e">
        <f>VLOOKUP($C64,'Hist Data'!$A$2:$CN$428,'Unchained Indices'!CA$2,0)/VLOOKUP($C63,'Hist Data'!$A$2:$CN$428,'Unchained Indices'!CA$2,0)-1</f>
        <v>#N/A</v>
      </c>
      <c r="CB64" t="e">
        <f>VLOOKUP($C64,'Hist Data'!$A$2:$CN$428,'Unchained Indices'!CB$2,0)/VLOOKUP($C63,'Hist Data'!$A$2:$CN$428,'Unchained Indices'!CB$2,0)-1</f>
        <v>#N/A</v>
      </c>
      <c r="CC64" t="e">
        <f>VLOOKUP($C64,'Hist Data'!$A$2:$CN$428,'Unchained Indices'!CC$2,0)/VLOOKUP($C63,'Hist Data'!$A$2:$CN$428,'Unchained Indices'!CC$2,0)-1</f>
        <v>#N/A</v>
      </c>
      <c r="CD64" t="e">
        <f>VLOOKUP($C64,'Hist Data'!$A$2:$CN$428,'Unchained Indices'!CD$2,0)/VLOOKUP($C63,'Hist Data'!$A$2:$CN$428,'Unchained Indices'!CD$2,0)-1</f>
        <v>#N/A</v>
      </c>
      <c r="CE64" t="e">
        <f>VLOOKUP($C64,'Hist Data'!$A$2:$CN$428,'Unchained Indices'!CE$2,0)/VLOOKUP($C63,'Hist Data'!$A$2:$CN$428,'Unchained Indices'!CE$2,0)-1</f>
        <v>#N/A</v>
      </c>
      <c r="CF64" t="e">
        <f>VLOOKUP($C64,'Hist Data'!$A$2:$CN$428,'Unchained Indices'!CF$2,0)/VLOOKUP($C63,'Hist Data'!$A$2:$CN$428,'Unchained Indices'!CF$2,0)-1</f>
        <v>#N/A</v>
      </c>
      <c r="CG64" t="e">
        <f>VLOOKUP($C64,'Hist Data'!$A$2:$CN$428,'Unchained Indices'!CG$2,0)/VLOOKUP($C63,'Hist Data'!$A$2:$CN$428,'Unchained Indices'!CG$2,0)-1</f>
        <v>#N/A</v>
      </c>
      <c r="CH64" t="e">
        <f>VLOOKUP($C64,'Hist Data'!$A$2:$CN$428,'Unchained Indices'!CH$2,0)/VLOOKUP($C63,'Hist Data'!$A$2:$CN$428,'Unchained Indices'!CH$2,0)-1</f>
        <v>#N/A</v>
      </c>
      <c r="CI64" t="e">
        <f>VLOOKUP($C64,'Hist Data'!$A$2:$CN$428,'Unchained Indices'!CI$2,0)/VLOOKUP($C63,'Hist Data'!$A$2:$CN$428,'Unchained Indices'!CI$2,0)-1</f>
        <v>#N/A</v>
      </c>
      <c r="CJ64" t="e">
        <f>VLOOKUP($C64,'Hist Data'!$A$2:$CN$428,'Unchained Indices'!CJ$2,0)/VLOOKUP($C63,'Hist Data'!$A$2:$CN$428,'Unchained Indices'!CJ$2,0)-1</f>
        <v>#N/A</v>
      </c>
      <c r="CK64" t="e">
        <f>VLOOKUP($C64,'Hist Data'!$A$2:$CN$428,'Unchained Indices'!CK$2,0)/VLOOKUP($C63,'Hist Data'!$A$2:$CN$428,'Unchained Indices'!CK$2,0)-1</f>
        <v>#N/A</v>
      </c>
      <c r="CL64" t="e">
        <f>VLOOKUP($C64,'Hist Data'!$A$2:$CN$428,'Unchained Indices'!CL$2,0)/VLOOKUP($C63,'Hist Data'!$A$2:$CN$428,'Unchained Indices'!CL$2,0)-1</f>
        <v>#N/A</v>
      </c>
      <c r="CM64" t="e">
        <f>VLOOKUP($C64,'Hist Data'!$A$2:$CN$428,'Unchained Indices'!CM$2,0)/VLOOKUP($C63,'Hist Data'!$A$2:$CN$428,'Unchained Indices'!CM$2,0)-1</f>
        <v>#N/A</v>
      </c>
      <c r="CN64" t="e">
        <f>VLOOKUP($C64,'Hist Data'!$A$2:$CN$428,'Unchained Indices'!CN$2,0)/VLOOKUP($C63,'Hist Data'!$A$2:$CN$428,'Unchained Indices'!CN$2,0)-1</f>
        <v>#N/A</v>
      </c>
      <c r="CO64" t="e">
        <f>VLOOKUP($C64,'Hist Data'!$A$2:$CN$428,'Unchained Indices'!CO$2,0)/VLOOKUP($C63,'Hist Data'!$A$2:$CN$428,'Unchained Indices'!CO$2,0)-1</f>
        <v>#N/A</v>
      </c>
      <c r="CP64" t="e">
        <f>VLOOKUP($C64,'Hist Data'!$A$2:$CN$428,'Unchained Indices'!CP$2,0)/VLOOKUP($C63,'Hist Data'!$A$2:$CN$428,'Unchained Indices'!CP$2,0)-1</f>
        <v>#N/A</v>
      </c>
    </row>
    <row r="65" spans="1:94" x14ac:dyDescent="0.25">
      <c r="C65" s="6">
        <f t="shared" si="10"/>
        <v>45200</v>
      </c>
      <c r="D65" t="e">
        <f>VLOOKUP($C65,'Hist Data'!$A$2:$CN$428,'Unchained Indices'!D$2,0)/VLOOKUP($C64,'Hist Data'!$A$2:$CN$428,'Unchained Indices'!D$2,0)-1</f>
        <v>#N/A</v>
      </c>
      <c r="E65" t="e">
        <f>VLOOKUP($C65,'Hist Data'!$A$2:$CN$428,'Unchained Indices'!E$2,0)/VLOOKUP($C64,'Hist Data'!$A$2:$CN$428,'Unchained Indices'!E$2,0)-1</f>
        <v>#N/A</v>
      </c>
      <c r="F65" t="e">
        <f>VLOOKUP($C65,'Hist Data'!$A$2:$CN$428,'Unchained Indices'!F$2,0)/VLOOKUP($C64,'Hist Data'!$A$2:$CN$428,'Unchained Indices'!F$2,0)-1</f>
        <v>#N/A</v>
      </c>
      <c r="G65" t="e">
        <f>VLOOKUP($C65,'Hist Data'!$A$2:$CN$428,'Unchained Indices'!G$2,0)/VLOOKUP($C64,'Hist Data'!$A$2:$CN$428,'Unchained Indices'!G$2,0)-1</f>
        <v>#N/A</v>
      </c>
      <c r="H65" t="e">
        <f>VLOOKUP($C65,'Hist Data'!$A$2:$CN$428,'Unchained Indices'!H$2,0)/VLOOKUP($C64,'Hist Data'!$A$2:$CN$428,'Unchained Indices'!H$2,0)-1</f>
        <v>#N/A</v>
      </c>
      <c r="I65" t="e">
        <f>VLOOKUP($C65,'Hist Data'!$A$2:$CN$428,'Unchained Indices'!I$2,0)/VLOOKUP($C64,'Hist Data'!$A$2:$CN$428,'Unchained Indices'!I$2,0)-1</f>
        <v>#N/A</v>
      </c>
      <c r="J65" t="e">
        <f>VLOOKUP($C65,'Hist Data'!$A$2:$CN$428,'Unchained Indices'!J$2,0)/VLOOKUP($C64,'Hist Data'!$A$2:$CN$428,'Unchained Indices'!J$2,0)-1</f>
        <v>#N/A</v>
      </c>
      <c r="K65" t="e">
        <f>VLOOKUP($C65,'Hist Data'!$A$2:$CN$428,'Unchained Indices'!K$2,0)/VLOOKUP($C64,'Hist Data'!$A$2:$CN$428,'Unchained Indices'!K$2,0)-1</f>
        <v>#N/A</v>
      </c>
      <c r="L65" t="e">
        <f>VLOOKUP($C65,'Hist Data'!$A$2:$CN$428,'Unchained Indices'!L$2,0)/VLOOKUP($C64,'Hist Data'!$A$2:$CN$428,'Unchained Indices'!L$2,0)-1</f>
        <v>#N/A</v>
      </c>
      <c r="M65" t="e">
        <f>VLOOKUP($C65,'Hist Data'!$A$2:$CN$428,'Unchained Indices'!M$2,0)/VLOOKUP($C64,'Hist Data'!$A$2:$CN$428,'Unchained Indices'!M$2,0)-1</f>
        <v>#N/A</v>
      </c>
      <c r="N65" t="e">
        <f>VLOOKUP($C65,'Hist Data'!$A$2:$CN$428,'Unchained Indices'!N$2,0)/VLOOKUP($C64,'Hist Data'!$A$2:$CN$428,'Unchained Indices'!N$2,0)-1</f>
        <v>#N/A</v>
      </c>
      <c r="O65" t="e">
        <f>VLOOKUP($C65,'Hist Data'!$A$2:$CN$428,'Unchained Indices'!O$2,0)/VLOOKUP($C64,'Hist Data'!$A$2:$CN$428,'Unchained Indices'!O$2,0)-1</f>
        <v>#N/A</v>
      </c>
      <c r="P65" t="e">
        <f>VLOOKUP($C65,'Hist Data'!$A$2:$CN$428,'Unchained Indices'!P$2,0)/VLOOKUP($C64,'Hist Data'!$A$2:$CN$428,'Unchained Indices'!P$2,0)-1</f>
        <v>#N/A</v>
      </c>
      <c r="Q65" t="e">
        <f>VLOOKUP($C65,'Hist Data'!$A$2:$CN$428,'Unchained Indices'!Q$2,0)/VLOOKUP($C64,'Hist Data'!$A$2:$CN$428,'Unchained Indices'!Q$2,0)-1</f>
        <v>#N/A</v>
      </c>
      <c r="R65" t="e">
        <f>VLOOKUP($C65,'Hist Data'!$A$2:$CN$428,'Unchained Indices'!R$2,0)/VLOOKUP($C64,'Hist Data'!$A$2:$CN$428,'Unchained Indices'!R$2,0)-1</f>
        <v>#N/A</v>
      </c>
      <c r="S65" t="e">
        <f>VLOOKUP($C65,'Hist Data'!$A$2:$CN$428,'Unchained Indices'!S$2,0)/VLOOKUP($C64,'Hist Data'!$A$2:$CN$428,'Unchained Indices'!S$2,0)-1</f>
        <v>#N/A</v>
      </c>
      <c r="T65" t="e">
        <f>VLOOKUP($C65,'Hist Data'!$A$2:$CN$428,'Unchained Indices'!T$2,0)/VLOOKUP($C64,'Hist Data'!$A$2:$CN$428,'Unchained Indices'!T$2,0)-1</f>
        <v>#N/A</v>
      </c>
      <c r="U65" t="e">
        <f>VLOOKUP($C65,'Hist Data'!$A$2:$CN$428,'Unchained Indices'!U$2,0)/VLOOKUP($C64,'Hist Data'!$A$2:$CN$428,'Unchained Indices'!U$2,0)-1</f>
        <v>#N/A</v>
      </c>
      <c r="V65" t="e">
        <f>VLOOKUP($C65,'Hist Data'!$A$2:$CN$428,'Unchained Indices'!V$2,0)/VLOOKUP($C64,'Hist Data'!$A$2:$CN$428,'Unchained Indices'!V$2,0)-1</f>
        <v>#N/A</v>
      </c>
      <c r="W65" t="e">
        <f>VLOOKUP($C65,'Hist Data'!$A$2:$CN$428,'Unchained Indices'!W$2,0)/VLOOKUP($C64,'Hist Data'!$A$2:$CN$428,'Unchained Indices'!W$2,0)-1</f>
        <v>#N/A</v>
      </c>
      <c r="X65" t="e">
        <f>VLOOKUP($C65,'Hist Data'!$A$2:$CN$428,'Unchained Indices'!X$2,0)/VLOOKUP($C64,'Hist Data'!$A$2:$CN$428,'Unchained Indices'!X$2,0)-1</f>
        <v>#N/A</v>
      </c>
      <c r="Y65" t="e">
        <f>VLOOKUP($C65,'Hist Data'!$A$2:$CN$428,'Unchained Indices'!Y$2,0)/VLOOKUP($C64,'Hist Data'!$A$2:$CN$428,'Unchained Indices'!Y$2,0)-1</f>
        <v>#N/A</v>
      </c>
      <c r="Z65" t="e">
        <f>VLOOKUP($C65,'Hist Data'!$A$2:$CN$428,'Unchained Indices'!Z$2,0)/VLOOKUP($C64,'Hist Data'!$A$2:$CN$428,'Unchained Indices'!Z$2,0)-1</f>
        <v>#N/A</v>
      </c>
      <c r="AA65" t="e">
        <f>VLOOKUP($C65,'Hist Data'!$A$2:$CN$428,'Unchained Indices'!AA$2,0)/VLOOKUP($C64,'Hist Data'!$A$2:$CN$428,'Unchained Indices'!AA$2,0)-1</f>
        <v>#N/A</v>
      </c>
      <c r="AB65" t="e">
        <f>VLOOKUP($C65,'Hist Data'!$A$2:$CN$428,'Unchained Indices'!AB$2,0)/VLOOKUP($C64,'Hist Data'!$A$2:$CN$428,'Unchained Indices'!AB$2,0)-1</f>
        <v>#N/A</v>
      </c>
      <c r="AC65" t="e">
        <f>VLOOKUP($C65,'Hist Data'!$A$2:$CN$428,'Unchained Indices'!AC$2,0)/VLOOKUP($C64,'Hist Data'!$A$2:$CN$428,'Unchained Indices'!AC$2,0)-1</f>
        <v>#N/A</v>
      </c>
      <c r="AD65" t="e">
        <f>VLOOKUP($C65,'Hist Data'!$A$2:$CN$428,'Unchained Indices'!AD$2,0)/VLOOKUP($C64,'Hist Data'!$A$2:$CN$428,'Unchained Indices'!AD$2,0)-1</f>
        <v>#N/A</v>
      </c>
      <c r="AE65" t="e">
        <f>VLOOKUP($C65,'Hist Data'!$A$2:$CN$428,'Unchained Indices'!AE$2,0)/VLOOKUP($C64,'Hist Data'!$A$2:$CN$428,'Unchained Indices'!AE$2,0)-1</f>
        <v>#N/A</v>
      </c>
      <c r="AF65" t="e">
        <f>VLOOKUP($C65,'Hist Data'!$A$2:$CN$428,'Unchained Indices'!AF$2,0)/VLOOKUP($C64,'Hist Data'!$A$2:$CN$428,'Unchained Indices'!AF$2,0)-1</f>
        <v>#N/A</v>
      </c>
      <c r="AG65" t="e">
        <f>VLOOKUP($C65,'Hist Data'!$A$2:$CN$428,'Unchained Indices'!AG$2,0)/VLOOKUP($C64,'Hist Data'!$A$2:$CN$428,'Unchained Indices'!AG$2,0)-1</f>
        <v>#N/A</v>
      </c>
      <c r="AH65" t="e">
        <f>VLOOKUP($C65,'Hist Data'!$A$2:$CN$428,'Unchained Indices'!AH$2,0)/VLOOKUP($C64,'Hist Data'!$A$2:$CN$428,'Unchained Indices'!AH$2,0)-1</f>
        <v>#N/A</v>
      </c>
      <c r="AI65" t="e">
        <f>VLOOKUP($C65,'Hist Data'!$A$2:$CN$428,'Unchained Indices'!AI$2,0)/VLOOKUP($C64,'Hist Data'!$A$2:$CN$428,'Unchained Indices'!AI$2,0)-1</f>
        <v>#N/A</v>
      </c>
      <c r="AJ65" t="e">
        <f>VLOOKUP($C65,'Hist Data'!$A$2:$CN$428,'Unchained Indices'!AJ$2,0)/VLOOKUP($C64,'Hist Data'!$A$2:$CN$428,'Unchained Indices'!AJ$2,0)-1</f>
        <v>#N/A</v>
      </c>
      <c r="AK65" t="e">
        <f>VLOOKUP($C65,'Hist Data'!$A$2:$CN$428,'Unchained Indices'!AK$2,0)/VLOOKUP($C64,'Hist Data'!$A$2:$CN$428,'Unchained Indices'!AK$2,0)-1</f>
        <v>#N/A</v>
      </c>
      <c r="AL65" t="e">
        <f>VLOOKUP($C65,'Hist Data'!$A$2:$CN$428,'Unchained Indices'!AL$2,0)/VLOOKUP($C64,'Hist Data'!$A$2:$CN$428,'Unchained Indices'!AL$2,0)-1</f>
        <v>#N/A</v>
      </c>
      <c r="AM65" t="e">
        <f>VLOOKUP($C65,'Hist Data'!$A$2:$CN$428,'Unchained Indices'!AM$2,0)/VLOOKUP($C64,'Hist Data'!$A$2:$CN$428,'Unchained Indices'!AM$2,0)-1</f>
        <v>#N/A</v>
      </c>
      <c r="AN65" t="e">
        <f>VLOOKUP($C65,'Hist Data'!$A$2:$CN$428,'Unchained Indices'!AN$2,0)/VLOOKUP($C64,'Hist Data'!$A$2:$CN$428,'Unchained Indices'!AN$2,0)-1</f>
        <v>#N/A</v>
      </c>
      <c r="AO65" t="e">
        <f>VLOOKUP($C65,'Hist Data'!$A$2:$CN$428,'Unchained Indices'!AO$2,0)/VLOOKUP($C64,'Hist Data'!$A$2:$CN$428,'Unchained Indices'!AO$2,0)-1</f>
        <v>#N/A</v>
      </c>
      <c r="AP65" t="e">
        <f>VLOOKUP($C65,'Hist Data'!$A$2:$CN$428,'Unchained Indices'!AP$2,0)/VLOOKUP($C64,'Hist Data'!$A$2:$CN$428,'Unchained Indices'!AP$2,0)-1</f>
        <v>#N/A</v>
      </c>
      <c r="AQ65" t="e">
        <f>VLOOKUP($C65,'Hist Data'!$A$2:$CN$428,'Unchained Indices'!AQ$2,0)/VLOOKUP($C64,'Hist Data'!$A$2:$CN$428,'Unchained Indices'!AQ$2,0)-1</f>
        <v>#N/A</v>
      </c>
      <c r="AR65" t="e">
        <f>VLOOKUP($C65,'Hist Data'!$A$2:$CN$428,'Unchained Indices'!AR$2,0)/VLOOKUP($C64,'Hist Data'!$A$2:$CN$428,'Unchained Indices'!AR$2,0)-1</f>
        <v>#N/A</v>
      </c>
      <c r="AS65" t="e">
        <f>VLOOKUP($C65,'Hist Data'!$A$2:$CN$428,'Unchained Indices'!AS$2,0)/VLOOKUP($C64,'Hist Data'!$A$2:$CN$428,'Unchained Indices'!AS$2,0)-1</f>
        <v>#N/A</v>
      </c>
      <c r="AT65" t="e">
        <f>VLOOKUP($C65,'Hist Data'!$A$2:$CN$428,'Unchained Indices'!AT$2,0)/VLOOKUP($C64,'Hist Data'!$A$2:$CN$428,'Unchained Indices'!AT$2,0)-1</f>
        <v>#N/A</v>
      </c>
      <c r="AU65" t="e">
        <f>VLOOKUP($C65,'Hist Data'!$A$2:$CN$428,'Unchained Indices'!AU$2,0)/VLOOKUP($C64,'Hist Data'!$A$2:$CN$428,'Unchained Indices'!AU$2,0)-1</f>
        <v>#N/A</v>
      </c>
      <c r="AV65" t="e">
        <f>VLOOKUP($C65,'Hist Data'!$A$2:$CN$428,'Unchained Indices'!AV$2,0)/VLOOKUP($C64,'Hist Data'!$A$2:$CN$428,'Unchained Indices'!AV$2,0)-1</f>
        <v>#N/A</v>
      </c>
      <c r="AW65" t="e">
        <f>VLOOKUP($C65,'Hist Data'!$A$2:$CN$428,'Unchained Indices'!AW$2,0)/VLOOKUP($C64,'Hist Data'!$A$2:$CN$428,'Unchained Indices'!AW$2,0)-1</f>
        <v>#N/A</v>
      </c>
      <c r="AX65" t="e">
        <f>VLOOKUP($C65,'Hist Data'!$A$2:$CN$428,'Unchained Indices'!AX$2,0)/VLOOKUP($C64,'Hist Data'!$A$2:$CN$428,'Unchained Indices'!AX$2,0)-1</f>
        <v>#N/A</v>
      </c>
      <c r="AY65" t="e">
        <f>VLOOKUP($C65,'Hist Data'!$A$2:$CN$428,'Unchained Indices'!AY$2,0)/VLOOKUP($C64,'Hist Data'!$A$2:$CN$428,'Unchained Indices'!AY$2,0)-1</f>
        <v>#N/A</v>
      </c>
      <c r="AZ65" t="e">
        <f>VLOOKUP($C65,'Hist Data'!$A$2:$CN$428,'Unchained Indices'!AZ$2,0)/VLOOKUP($C64,'Hist Data'!$A$2:$CN$428,'Unchained Indices'!AZ$2,0)-1</f>
        <v>#N/A</v>
      </c>
      <c r="BA65" t="e">
        <f>VLOOKUP($C65,'Hist Data'!$A$2:$CN$428,'Unchained Indices'!BA$2,0)/VLOOKUP($C64,'Hist Data'!$A$2:$CN$428,'Unchained Indices'!BA$2,0)-1</f>
        <v>#N/A</v>
      </c>
      <c r="BB65" t="e">
        <f>VLOOKUP($C65,'Hist Data'!$A$2:$CN$428,'Unchained Indices'!BB$2,0)/VLOOKUP($C64,'Hist Data'!$A$2:$CN$428,'Unchained Indices'!BB$2,0)-1</f>
        <v>#N/A</v>
      </c>
      <c r="BC65" t="e">
        <f>VLOOKUP($C65,'Hist Data'!$A$2:$CN$428,'Unchained Indices'!BC$2,0)/VLOOKUP($C64,'Hist Data'!$A$2:$CN$428,'Unchained Indices'!BC$2,0)-1</f>
        <v>#N/A</v>
      </c>
      <c r="BD65" t="e">
        <f>VLOOKUP($C65,'Hist Data'!$A$2:$CN$428,'Unchained Indices'!BD$2,0)/VLOOKUP($C64,'Hist Data'!$A$2:$CN$428,'Unchained Indices'!BD$2,0)-1</f>
        <v>#N/A</v>
      </c>
      <c r="BE65" t="e">
        <f>VLOOKUP($C65,'Hist Data'!$A$2:$CN$428,'Unchained Indices'!BE$2,0)/VLOOKUP($C64,'Hist Data'!$A$2:$CN$428,'Unchained Indices'!BE$2,0)-1</f>
        <v>#N/A</v>
      </c>
      <c r="BF65" t="e">
        <f>VLOOKUP($C65,'Hist Data'!$A$2:$CN$428,'Unchained Indices'!BF$2,0)/VLOOKUP($C64,'Hist Data'!$A$2:$CN$428,'Unchained Indices'!BF$2,0)-1</f>
        <v>#N/A</v>
      </c>
      <c r="BG65" t="e">
        <f>VLOOKUP($C65,'Hist Data'!$A$2:$CN$428,'Unchained Indices'!BG$2,0)/VLOOKUP($C64,'Hist Data'!$A$2:$CN$428,'Unchained Indices'!BG$2,0)-1</f>
        <v>#N/A</v>
      </c>
      <c r="BH65" t="e">
        <f>VLOOKUP($C65,'Hist Data'!$A$2:$CN$428,'Unchained Indices'!BH$2,0)/VLOOKUP($C64,'Hist Data'!$A$2:$CN$428,'Unchained Indices'!BH$2,0)-1</f>
        <v>#N/A</v>
      </c>
      <c r="BI65" t="e">
        <f>VLOOKUP($C65,'Hist Data'!$A$2:$CN$428,'Unchained Indices'!BI$2,0)/VLOOKUP($C64,'Hist Data'!$A$2:$CN$428,'Unchained Indices'!BI$2,0)-1</f>
        <v>#N/A</v>
      </c>
      <c r="BJ65" t="e">
        <f>VLOOKUP($C65,'Hist Data'!$A$2:$CN$428,'Unchained Indices'!BJ$2,0)/VLOOKUP($C64,'Hist Data'!$A$2:$CN$428,'Unchained Indices'!BJ$2,0)-1</f>
        <v>#N/A</v>
      </c>
      <c r="BK65" t="e">
        <f>VLOOKUP($C65,'Hist Data'!$A$2:$CN$428,'Unchained Indices'!BK$2,0)/VLOOKUP($C64,'Hist Data'!$A$2:$CN$428,'Unchained Indices'!BK$2,0)-1</f>
        <v>#N/A</v>
      </c>
      <c r="BL65" t="e">
        <f>VLOOKUP($C65,'Hist Data'!$A$2:$CN$428,'Unchained Indices'!BL$2,0)/VLOOKUP($C64,'Hist Data'!$A$2:$CN$428,'Unchained Indices'!BL$2,0)-1</f>
        <v>#N/A</v>
      </c>
      <c r="BM65" t="e">
        <f>VLOOKUP($C65,'Hist Data'!$A$2:$CN$428,'Unchained Indices'!BM$2,0)/VLOOKUP($C64,'Hist Data'!$A$2:$CN$428,'Unchained Indices'!BM$2,0)-1</f>
        <v>#N/A</v>
      </c>
      <c r="BN65" t="e">
        <f>VLOOKUP($C65,'Hist Data'!$A$2:$CN$428,'Unchained Indices'!BN$2,0)/VLOOKUP($C64,'Hist Data'!$A$2:$CN$428,'Unchained Indices'!BN$2,0)-1</f>
        <v>#N/A</v>
      </c>
      <c r="BO65" t="e">
        <f>VLOOKUP($C65,'Hist Data'!$A$2:$CN$428,'Unchained Indices'!BO$2,0)/VLOOKUP($C64,'Hist Data'!$A$2:$CN$428,'Unchained Indices'!BO$2,0)-1</f>
        <v>#N/A</v>
      </c>
      <c r="BP65" t="e">
        <f>VLOOKUP($C65,'Hist Data'!$A$2:$CN$428,'Unchained Indices'!BP$2,0)/VLOOKUP($C64,'Hist Data'!$A$2:$CN$428,'Unchained Indices'!BP$2,0)-1</f>
        <v>#N/A</v>
      </c>
      <c r="BQ65" t="e">
        <f>VLOOKUP($C65,'Hist Data'!$A$2:$CN$428,'Unchained Indices'!BQ$2,0)/VLOOKUP($C64,'Hist Data'!$A$2:$CN$428,'Unchained Indices'!BQ$2,0)-1</f>
        <v>#N/A</v>
      </c>
      <c r="BR65" t="e">
        <f>VLOOKUP($C65,'Hist Data'!$A$2:$CN$428,'Unchained Indices'!BR$2,0)/VLOOKUP($C64,'Hist Data'!$A$2:$CN$428,'Unchained Indices'!BR$2,0)-1</f>
        <v>#N/A</v>
      </c>
      <c r="BS65" t="e">
        <f>VLOOKUP($C65,'Hist Data'!$A$2:$CN$428,'Unchained Indices'!BS$2,0)/VLOOKUP($C64,'Hist Data'!$A$2:$CN$428,'Unchained Indices'!BS$2,0)-1</f>
        <v>#N/A</v>
      </c>
      <c r="BT65" t="e">
        <f>VLOOKUP($C65,'Hist Data'!$A$2:$CN$428,'Unchained Indices'!BT$2,0)/VLOOKUP($C64,'Hist Data'!$A$2:$CN$428,'Unchained Indices'!BT$2,0)-1</f>
        <v>#N/A</v>
      </c>
      <c r="BU65" t="e">
        <f>VLOOKUP($C65,'Hist Data'!$A$2:$CN$428,'Unchained Indices'!BU$2,0)/VLOOKUP($C64,'Hist Data'!$A$2:$CN$428,'Unchained Indices'!BU$2,0)-1</f>
        <v>#N/A</v>
      </c>
      <c r="BV65" t="e">
        <f>VLOOKUP($C65,'Hist Data'!$A$2:$CN$428,'Unchained Indices'!BV$2,0)/VLOOKUP($C64,'Hist Data'!$A$2:$CN$428,'Unchained Indices'!BV$2,0)-1</f>
        <v>#N/A</v>
      </c>
      <c r="BW65" t="e">
        <f>VLOOKUP($C65,'Hist Data'!$A$2:$CN$428,'Unchained Indices'!BW$2,0)/VLOOKUP($C64,'Hist Data'!$A$2:$CN$428,'Unchained Indices'!BW$2,0)-1</f>
        <v>#N/A</v>
      </c>
      <c r="BX65" t="e">
        <f>VLOOKUP($C65,'Hist Data'!$A$2:$CN$428,'Unchained Indices'!BX$2,0)/VLOOKUP($C64,'Hist Data'!$A$2:$CN$428,'Unchained Indices'!BX$2,0)-1</f>
        <v>#N/A</v>
      </c>
      <c r="BY65" t="e">
        <f>VLOOKUP($C65,'Hist Data'!$A$2:$CN$428,'Unchained Indices'!BY$2,0)/VLOOKUP($C64,'Hist Data'!$A$2:$CN$428,'Unchained Indices'!BY$2,0)-1</f>
        <v>#N/A</v>
      </c>
      <c r="BZ65" t="e">
        <f>VLOOKUP($C65,'Hist Data'!$A$2:$CN$428,'Unchained Indices'!BZ$2,0)/VLOOKUP($C64,'Hist Data'!$A$2:$CN$428,'Unchained Indices'!BZ$2,0)-1</f>
        <v>#N/A</v>
      </c>
      <c r="CA65" t="e">
        <f>VLOOKUP($C65,'Hist Data'!$A$2:$CN$428,'Unchained Indices'!CA$2,0)/VLOOKUP($C64,'Hist Data'!$A$2:$CN$428,'Unchained Indices'!CA$2,0)-1</f>
        <v>#N/A</v>
      </c>
      <c r="CB65" t="e">
        <f>VLOOKUP($C65,'Hist Data'!$A$2:$CN$428,'Unchained Indices'!CB$2,0)/VLOOKUP($C64,'Hist Data'!$A$2:$CN$428,'Unchained Indices'!CB$2,0)-1</f>
        <v>#N/A</v>
      </c>
      <c r="CC65" t="e">
        <f>VLOOKUP($C65,'Hist Data'!$A$2:$CN$428,'Unchained Indices'!CC$2,0)/VLOOKUP($C64,'Hist Data'!$A$2:$CN$428,'Unchained Indices'!CC$2,0)-1</f>
        <v>#N/A</v>
      </c>
      <c r="CD65" t="e">
        <f>VLOOKUP($C65,'Hist Data'!$A$2:$CN$428,'Unchained Indices'!CD$2,0)/VLOOKUP($C64,'Hist Data'!$A$2:$CN$428,'Unchained Indices'!CD$2,0)-1</f>
        <v>#N/A</v>
      </c>
      <c r="CE65" t="e">
        <f>VLOOKUP($C65,'Hist Data'!$A$2:$CN$428,'Unchained Indices'!CE$2,0)/VLOOKUP($C64,'Hist Data'!$A$2:$CN$428,'Unchained Indices'!CE$2,0)-1</f>
        <v>#N/A</v>
      </c>
      <c r="CF65" t="e">
        <f>VLOOKUP($C65,'Hist Data'!$A$2:$CN$428,'Unchained Indices'!CF$2,0)/VLOOKUP($C64,'Hist Data'!$A$2:$CN$428,'Unchained Indices'!CF$2,0)-1</f>
        <v>#N/A</v>
      </c>
      <c r="CG65" t="e">
        <f>VLOOKUP($C65,'Hist Data'!$A$2:$CN$428,'Unchained Indices'!CG$2,0)/VLOOKUP($C64,'Hist Data'!$A$2:$CN$428,'Unchained Indices'!CG$2,0)-1</f>
        <v>#N/A</v>
      </c>
      <c r="CH65" t="e">
        <f>VLOOKUP($C65,'Hist Data'!$A$2:$CN$428,'Unchained Indices'!CH$2,0)/VLOOKUP($C64,'Hist Data'!$A$2:$CN$428,'Unchained Indices'!CH$2,0)-1</f>
        <v>#N/A</v>
      </c>
      <c r="CI65" t="e">
        <f>VLOOKUP($C65,'Hist Data'!$A$2:$CN$428,'Unchained Indices'!CI$2,0)/VLOOKUP($C64,'Hist Data'!$A$2:$CN$428,'Unchained Indices'!CI$2,0)-1</f>
        <v>#N/A</v>
      </c>
      <c r="CJ65" t="e">
        <f>VLOOKUP($C65,'Hist Data'!$A$2:$CN$428,'Unchained Indices'!CJ$2,0)/VLOOKUP($C64,'Hist Data'!$A$2:$CN$428,'Unchained Indices'!CJ$2,0)-1</f>
        <v>#N/A</v>
      </c>
      <c r="CK65" t="e">
        <f>VLOOKUP($C65,'Hist Data'!$A$2:$CN$428,'Unchained Indices'!CK$2,0)/VLOOKUP($C64,'Hist Data'!$A$2:$CN$428,'Unchained Indices'!CK$2,0)-1</f>
        <v>#N/A</v>
      </c>
      <c r="CL65" t="e">
        <f>VLOOKUP($C65,'Hist Data'!$A$2:$CN$428,'Unchained Indices'!CL$2,0)/VLOOKUP($C64,'Hist Data'!$A$2:$CN$428,'Unchained Indices'!CL$2,0)-1</f>
        <v>#N/A</v>
      </c>
      <c r="CM65" t="e">
        <f>VLOOKUP($C65,'Hist Data'!$A$2:$CN$428,'Unchained Indices'!CM$2,0)/VLOOKUP($C64,'Hist Data'!$A$2:$CN$428,'Unchained Indices'!CM$2,0)-1</f>
        <v>#N/A</v>
      </c>
      <c r="CN65" t="e">
        <f>VLOOKUP($C65,'Hist Data'!$A$2:$CN$428,'Unchained Indices'!CN$2,0)/VLOOKUP($C64,'Hist Data'!$A$2:$CN$428,'Unchained Indices'!CN$2,0)-1</f>
        <v>#N/A</v>
      </c>
      <c r="CO65" t="e">
        <f>VLOOKUP($C65,'Hist Data'!$A$2:$CN$428,'Unchained Indices'!CO$2,0)/VLOOKUP($C64,'Hist Data'!$A$2:$CN$428,'Unchained Indices'!CO$2,0)-1</f>
        <v>#N/A</v>
      </c>
      <c r="CP65" t="e">
        <f>VLOOKUP($C65,'Hist Data'!$A$2:$CN$428,'Unchained Indices'!CP$2,0)/VLOOKUP($C64,'Hist Data'!$A$2:$CN$428,'Unchained Indices'!CP$2,0)-1</f>
        <v>#N/A</v>
      </c>
    </row>
    <row r="66" spans="1:94" x14ac:dyDescent="0.25">
      <c r="C66" s="6">
        <f t="shared" si="10"/>
        <v>45231</v>
      </c>
      <c r="D66" t="e">
        <f>VLOOKUP($C66,'Hist Data'!$A$2:$CN$428,'Unchained Indices'!D$2,0)/VLOOKUP($C65,'Hist Data'!$A$2:$CN$428,'Unchained Indices'!D$2,0)-1</f>
        <v>#N/A</v>
      </c>
      <c r="E66" t="e">
        <f>VLOOKUP($C66,'Hist Data'!$A$2:$CN$428,'Unchained Indices'!E$2,0)/VLOOKUP($C65,'Hist Data'!$A$2:$CN$428,'Unchained Indices'!E$2,0)-1</f>
        <v>#N/A</v>
      </c>
      <c r="F66" t="e">
        <f>VLOOKUP($C66,'Hist Data'!$A$2:$CN$428,'Unchained Indices'!F$2,0)/VLOOKUP($C65,'Hist Data'!$A$2:$CN$428,'Unchained Indices'!F$2,0)-1</f>
        <v>#N/A</v>
      </c>
      <c r="G66" t="e">
        <f>VLOOKUP($C66,'Hist Data'!$A$2:$CN$428,'Unchained Indices'!G$2,0)/VLOOKUP($C65,'Hist Data'!$A$2:$CN$428,'Unchained Indices'!G$2,0)-1</f>
        <v>#N/A</v>
      </c>
      <c r="H66" t="e">
        <f>VLOOKUP($C66,'Hist Data'!$A$2:$CN$428,'Unchained Indices'!H$2,0)/VLOOKUP($C65,'Hist Data'!$A$2:$CN$428,'Unchained Indices'!H$2,0)-1</f>
        <v>#N/A</v>
      </c>
      <c r="I66" t="e">
        <f>VLOOKUP($C66,'Hist Data'!$A$2:$CN$428,'Unchained Indices'!I$2,0)/VLOOKUP($C65,'Hist Data'!$A$2:$CN$428,'Unchained Indices'!I$2,0)-1</f>
        <v>#N/A</v>
      </c>
      <c r="J66" t="e">
        <f>VLOOKUP($C66,'Hist Data'!$A$2:$CN$428,'Unchained Indices'!J$2,0)/VLOOKUP($C65,'Hist Data'!$A$2:$CN$428,'Unchained Indices'!J$2,0)-1</f>
        <v>#N/A</v>
      </c>
      <c r="K66" t="e">
        <f>VLOOKUP($C66,'Hist Data'!$A$2:$CN$428,'Unchained Indices'!K$2,0)/VLOOKUP($C65,'Hist Data'!$A$2:$CN$428,'Unchained Indices'!K$2,0)-1</f>
        <v>#N/A</v>
      </c>
      <c r="L66" t="e">
        <f>VLOOKUP($C66,'Hist Data'!$A$2:$CN$428,'Unchained Indices'!L$2,0)/VLOOKUP($C65,'Hist Data'!$A$2:$CN$428,'Unchained Indices'!L$2,0)-1</f>
        <v>#N/A</v>
      </c>
      <c r="M66" t="e">
        <f>VLOOKUP($C66,'Hist Data'!$A$2:$CN$428,'Unchained Indices'!M$2,0)/VLOOKUP($C65,'Hist Data'!$A$2:$CN$428,'Unchained Indices'!M$2,0)-1</f>
        <v>#N/A</v>
      </c>
      <c r="N66" t="e">
        <f>VLOOKUP($C66,'Hist Data'!$A$2:$CN$428,'Unchained Indices'!N$2,0)/VLOOKUP($C65,'Hist Data'!$A$2:$CN$428,'Unchained Indices'!N$2,0)-1</f>
        <v>#N/A</v>
      </c>
      <c r="O66" t="e">
        <f>VLOOKUP($C66,'Hist Data'!$A$2:$CN$428,'Unchained Indices'!O$2,0)/VLOOKUP($C65,'Hist Data'!$A$2:$CN$428,'Unchained Indices'!O$2,0)-1</f>
        <v>#N/A</v>
      </c>
      <c r="P66" t="e">
        <f>VLOOKUP($C66,'Hist Data'!$A$2:$CN$428,'Unchained Indices'!P$2,0)/VLOOKUP($C65,'Hist Data'!$A$2:$CN$428,'Unchained Indices'!P$2,0)-1</f>
        <v>#N/A</v>
      </c>
      <c r="Q66" t="e">
        <f>VLOOKUP($C66,'Hist Data'!$A$2:$CN$428,'Unchained Indices'!Q$2,0)/VLOOKUP($C65,'Hist Data'!$A$2:$CN$428,'Unchained Indices'!Q$2,0)-1</f>
        <v>#N/A</v>
      </c>
      <c r="R66" t="e">
        <f>VLOOKUP($C66,'Hist Data'!$A$2:$CN$428,'Unchained Indices'!R$2,0)/VLOOKUP($C65,'Hist Data'!$A$2:$CN$428,'Unchained Indices'!R$2,0)-1</f>
        <v>#N/A</v>
      </c>
      <c r="S66" t="e">
        <f>VLOOKUP($C66,'Hist Data'!$A$2:$CN$428,'Unchained Indices'!S$2,0)/VLOOKUP($C65,'Hist Data'!$A$2:$CN$428,'Unchained Indices'!S$2,0)-1</f>
        <v>#N/A</v>
      </c>
      <c r="T66" t="e">
        <f>VLOOKUP($C66,'Hist Data'!$A$2:$CN$428,'Unchained Indices'!T$2,0)/VLOOKUP($C65,'Hist Data'!$A$2:$CN$428,'Unchained Indices'!T$2,0)-1</f>
        <v>#N/A</v>
      </c>
      <c r="U66" t="e">
        <f>VLOOKUP($C66,'Hist Data'!$A$2:$CN$428,'Unchained Indices'!U$2,0)/VLOOKUP($C65,'Hist Data'!$A$2:$CN$428,'Unchained Indices'!U$2,0)-1</f>
        <v>#N/A</v>
      </c>
      <c r="V66" t="e">
        <f>VLOOKUP($C66,'Hist Data'!$A$2:$CN$428,'Unchained Indices'!V$2,0)/VLOOKUP($C65,'Hist Data'!$A$2:$CN$428,'Unchained Indices'!V$2,0)-1</f>
        <v>#N/A</v>
      </c>
      <c r="W66" t="e">
        <f>VLOOKUP($C66,'Hist Data'!$A$2:$CN$428,'Unchained Indices'!W$2,0)/VLOOKUP($C65,'Hist Data'!$A$2:$CN$428,'Unchained Indices'!W$2,0)-1</f>
        <v>#N/A</v>
      </c>
      <c r="X66" t="e">
        <f>VLOOKUP($C66,'Hist Data'!$A$2:$CN$428,'Unchained Indices'!X$2,0)/VLOOKUP($C65,'Hist Data'!$A$2:$CN$428,'Unchained Indices'!X$2,0)-1</f>
        <v>#N/A</v>
      </c>
      <c r="Y66" t="e">
        <f>VLOOKUP($C66,'Hist Data'!$A$2:$CN$428,'Unchained Indices'!Y$2,0)/VLOOKUP($C65,'Hist Data'!$A$2:$CN$428,'Unchained Indices'!Y$2,0)-1</f>
        <v>#N/A</v>
      </c>
      <c r="Z66" t="e">
        <f>VLOOKUP($C66,'Hist Data'!$A$2:$CN$428,'Unchained Indices'!Z$2,0)/VLOOKUP($C65,'Hist Data'!$A$2:$CN$428,'Unchained Indices'!Z$2,0)-1</f>
        <v>#N/A</v>
      </c>
      <c r="AA66" t="e">
        <f>VLOOKUP($C66,'Hist Data'!$A$2:$CN$428,'Unchained Indices'!AA$2,0)/VLOOKUP($C65,'Hist Data'!$A$2:$CN$428,'Unchained Indices'!AA$2,0)-1</f>
        <v>#N/A</v>
      </c>
      <c r="AB66" t="e">
        <f>VLOOKUP($C66,'Hist Data'!$A$2:$CN$428,'Unchained Indices'!AB$2,0)/VLOOKUP($C65,'Hist Data'!$A$2:$CN$428,'Unchained Indices'!AB$2,0)-1</f>
        <v>#N/A</v>
      </c>
      <c r="AC66" t="e">
        <f>VLOOKUP($C66,'Hist Data'!$A$2:$CN$428,'Unchained Indices'!AC$2,0)/VLOOKUP($C65,'Hist Data'!$A$2:$CN$428,'Unchained Indices'!AC$2,0)-1</f>
        <v>#N/A</v>
      </c>
      <c r="AD66" t="e">
        <f>VLOOKUP($C66,'Hist Data'!$A$2:$CN$428,'Unchained Indices'!AD$2,0)/VLOOKUP($C65,'Hist Data'!$A$2:$CN$428,'Unchained Indices'!AD$2,0)-1</f>
        <v>#N/A</v>
      </c>
      <c r="AE66" t="e">
        <f>VLOOKUP($C66,'Hist Data'!$A$2:$CN$428,'Unchained Indices'!AE$2,0)/VLOOKUP($C65,'Hist Data'!$A$2:$CN$428,'Unchained Indices'!AE$2,0)-1</f>
        <v>#N/A</v>
      </c>
      <c r="AF66" t="e">
        <f>VLOOKUP($C66,'Hist Data'!$A$2:$CN$428,'Unchained Indices'!AF$2,0)/VLOOKUP($C65,'Hist Data'!$A$2:$CN$428,'Unchained Indices'!AF$2,0)-1</f>
        <v>#N/A</v>
      </c>
      <c r="AG66" t="e">
        <f>VLOOKUP($C66,'Hist Data'!$A$2:$CN$428,'Unchained Indices'!AG$2,0)/VLOOKUP($C65,'Hist Data'!$A$2:$CN$428,'Unchained Indices'!AG$2,0)-1</f>
        <v>#N/A</v>
      </c>
      <c r="AH66" t="e">
        <f>VLOOKUP($C66,'Hist Data'!$A$2:$CN$428,'Unchained Indices'!AH$2,0)/VLOOKUP($C65,'Hist Data'!$A$2:$CN$428,'Unchained Indices'!AH$2,0)-1</f>
        <v>#N/A</v>
      </c>
      <c r="AI66" t="e">
        <f>VLOOKUP($C66,'Hist Data'!$A$2:$CN$428,'Unchained Indices'!AI$2,0)/VLOOKUP($C65,'Hist Data'!$A$2:$CN$428,'Unchained Indices'!AI$2,0)-1</f>
        <v>#N/A</v>
      </c>
      <c r="AJ66" t="e">
        <f>VLOOKUP($C66,'Hist Data'!$A$2:$CN$428,'Unchained Indices'!AJ$2,0)/VLOOKUP($C65,'Hist Data'!$A$2:$CN$428,'Unchained Indices'!AJ$2,0)-1</f>
        <v>#N/A</v>
      </c>
      <c r="AK66" t="e">
        <f>VLOOKUP($C66,'Hist Data'!$A$2:$CN$428,'Unchained Indices'!AK$2,0)/VLOOKUP($C65,'Hist Data'!$A$2:$CN$428,'Unchained Indices'!AK$2,0)-1</f>
        <v>#N/A</v>
      </c>
      <c r="AL66" t="e">
        <f>VLOOKUP($C66,'Hist Data'!$A$2:$CN$428,'Unchained Indices'!AL$2,0)/VLOOKUP($C65,'Hist Data'!$A$2:$CN$428,'Unchained Indices'!AL$2,0)-1</f>
        <v>#N/A</v>
      </c>
      <c r="AM66" t="e">
        <f>VLOOKUP($C66,'Hist Data'!$A$2:$CN$428,'Unchained Indices'!AM$2,0)/VLOOKUP($C65,'Hist Data'!$A$2:$CN$428,'Unchained Indices'!AM$2,0)-1</f>
        <v>#N/A</v>
      </c>
      <c r="AN66" t="e">
        <f>VLOOKUP($C66,'Hist Data'!$A$2:$CN$428,'Unchained Indices'!AN$2,0)/VLOOKUP($C65,'Hist Data'!$A$2:$CN$428,'Unchained Indices'!AN$2,0)-1</f>
        <v>#N/A</v>
      </c>
      <c r="AO66" t="e">
        <f>VLOOKUP($C66,'Hist Data'!$A$2:$CN$428,'Unchained Indices'!AO$2,0)/VLOOKUP($C65,'Hist Data'!$A$2:$CN$428,'Unchained Indices'!AO$2,0)-1</f>
        <v>#N/A</v>
      </c>
      <c r="AP66" t="e">
        <f>VLOOKUP($C66,'Hist Data'!$A$2:$CN$428,'Unchained Indices'!AP$2,0)/VLOOKUP($C65,'Hist Data'!$A$2:$CN$428,'Unchained Indices'!AP$2,0)-1</f>
        <v>#N/A</v>
      </c>
      <c r="AQ66" t="e">
        <f>VLOOKUP($C66,'Hist Data'!$A$2:$CN$428,'Unchained Indices'!AQ$2,0)/VLOOKUP($C65,'Hist Data'!$A$2:$CN$428,'Unchained Indices'!AQ$2,0)-1</f>
        <v>#N/A</v>
      </c>
      <c r="AR66" t="e">
        <f>VLOOKUP($C66,'Hist Data'!$A$2:$CN$428,'Unchained Indices'!AR$2,0)/VLOOKUP($C65,'Hist Data'!$A$2:$CN$428,'Unchained Indices'!AR$2,0)-1</f>
        <v>#N/A</v>
      </c>
      <c r="AS66" t="e">
        <f>VLOOKUP($C66,'Hist Data'!$A$2:$CN$428,'Unchained Indices'!AS$2,0)/VLOOKUP($C65,'Hist Data'!$A$2:$CN$428,'Unchained Indices'!AS$2,0)-1</f>
        <v>#N/A</v>
      </c>
      <c r="AT66" t="e">
        <f>VLOOKUP($C66,'Hist Data'!$A$2:$CN$428,'Unchained Indices'!AT$2,0)/VLOOKUP($C65,'Hist Data'!$A$2:$CN$428,'Unchained Indices'!AT$2,0)-1</f>
        <v>#N/A</v>
      </c>
      <c r="AU66" t="e">
        <f>VLOOKUP($C66,'Hist Data'!$A$2:$CN$428,'Unchained Indices'!AU$2,0)/VLOOKUP($C65,'Hist Data'!$A$2:$CN$428,'Unchained Indices'!AU$2,0)-1</f>
        <v>#N/A</v>
      </c>
      <c r="AV66" t="e">
        <f>VLOOKUP($C66,'Hist Data'!$A$2:$CN$428,'Unchained Indices'!AV$2,0)/VLOOKUP($C65,'Hist Data'!$A$2:$CN$428,'Unchained Indices'!AV$2,0)-1</f>
        <v>#N/A</v>
      </c>
      <c r="AW66" t="e">
        <f>VLOOKUP($C66,'Hist Data'!$A$2:$CN$428,'Unchained Indices'!AW$2,0)/VLOOKUP($C65,'Hist Data'!$A$2:$CN$428,'Unchained Indices'!AW$2,0)-1</f>
        <v>#N/A</v>
      </c>
      <c r="AX66" t="e">
        <f>VLOOKUP($C66,'Hist Data'!$A$2:$CN$428,'Unchained Indices'!AX$2,0)/VLOOKUP($C65,'Hist Data'!$A$2:$CN$428,'Unchained Indices'!AX$2,0)-1</f>
        <v>#N/A</v>
      </c>
      <c r="AY66" t="e">
        <f>VLOOKUP($C66,'Hist Data'!$A$2:$CN$428,'Unchained Indices'!AY$2,0)/VLOOKUP($C65,'Hist Data'!$A$2:$CN$428,'Unchained Indices'!AY$2,0)-1</f>
        <v>#N/A</v>
      </c>
      <c r="AZ66" t="e">
        <f>VLOOKUP($C66,'Hist Data'!$A$2:$CN$428,'Unchained Indices'!AZ$2,0)/VLOOKUP($C65,'Hist Data'!$A$2:$CN$428,'Unchained Indices'!AZ$2,0)-1</f>
        <v>#N/A</v>
      </c>
      <c r="BA66" t="e">
        <f>VLOOKUP($C66,'Hist Data'!$A$2:$CN$428,'Unchained Indices'!BA$2,0)/VLOOKUP($C65,'Hist Data'!$A$2:$CN$428,'Unchained Indices'!BA$2,0)-1</f>
        <v>#N/A</v>
      </c>
      <c r="BB66" t="e">
        <f>VLOOKUP($C66,'Hist Data'!$A$2:$CN$428,'Unchained Indices'!BB$2,0)/VLOOKUP($C65,'Hist Data'!$A$2:$CN$428,'Unchained Indices'!BB$2,0)-1</f>
        <v>#N/A</v>
      </c>
      <c r="BC66" t="e">
        <f>VLOOKUP($C66,'Hist Data'!$A$2:$CN$428,'Unchained Indices'!BC$2,0)/VLOOKUP($C65,'Hist Data'!$A$2:$CN$428,'Unchained Indices'!BC$2,0)-1</f>
        <v>#N/A</v>
      </c>
      <c r="BD66" t="e">
        <f>VLOOKUP($C66,'Hist Data'!$A$2:$CN$428,'Unchained Indices'!BD$2,0)/VLOOKUP($C65,'Hist Data'!$A$2:$CN$428,'Unchained Indices'!BD$2,0)-1</f>
        <v>#N/A</v>
      </c>
      <c r="BE66" t="e">
        <f>VLOOKUP($C66,'Hist Data'!$A$2:$CN$428,'Unchained Indices'!BE$2,0)/VLOOKUP($C65,'Hist Data'!$A$2:$CN$428,'Unchained Indices'!BE$2,0)-1</f>
        <v>#N/A</v>
      </c>
      <c r="BF66" t="e">
        <f>VLOOKUP($C66,'Hist Data'!$A$2:$CN$428,'Unchained Indices'!BF$2,0)/VLOOKUP($C65,'Hist Data'!$A$2:$CN$428,'Unchained Indices'!BF$2,0)-1</f>
        <v>#N/A</v>
      </c>
      <c r="BG66" t="e">
        <f>VLOOKUP($C66,'Hist Data'!$A$2:$CN$428,'Unchained Indices'!BG$2,0)/VLOOKUP($C65,'Hist Data'!$A$2:$CN$428,'Unchained Indices'!BG$2,0)-1</f>
        <v>#N/A</v>
      </c>
      <c r="BH66" t="e">
        <f>VLOOKUP($C66,'Hist Data'!$A$2:$CN$428,'Unchained Indices'!BH$2,0)/VLOOKUP($C65,'Hist Data'!$A$2:$CN$428,'Unchained Indices'!BH$2,0)-1</f>
        <v>#N/A</v>
      </c>
      <c r="BI66" t="e">
        <f>VLOOKUP($C66,'Hist Data'!$A$2:$CN$428,'Unchained Indices'!BI$2,0)/VLOOKUP($C65,'Hist Data'!$A$2:$CN$428,'Unchained Indices'!BI$2,0)-1</f>
        <v>#N/A</v>
      </c>
      <c r="BJ66" t="e">
        <f>VLOOKUP($C66,'Hist Data'!$A$2:$CN$428,'Unchained Indices'!BJ$2,0)/VLOOKUP($C65,'Hist Data'!$A$2:$CN$428,'Unchained Indices'!BJ$2,0)-1</f>
        <v>#N/A</v>
      </c>
      <c r="BK66" t="e">
        <f>VLOOKUP($C66,'Hist Data'!$A$2:$CN$428,'Unchained Indices'!BK$2,0)/VLOOKUP($C65,'Hist Data'!$A$2:$CN$428,'Unchained Indices'!BK$2,0)-1</f>
        <v>#N/A</v>
      </c>
      <c r="BL66" t="e">
        <f>VLOOKUP($C66,'Hist Data'!$A$2:$CN$428,'Unchained Indices'!BL$2,0)/VLOOKUP($C65,'Hist Data'!$A$2:$CN$428,'Unchained Indices'!BL$2,0)-1</f>
        <v>#N/A</v>
      </c>
      <c r="BM66" t="e">
        <f>VLOOKUP($C66,'Hist Data'!$A$2:$CN$428,'Unchained Indices'!BM$2,0)/VLOOKUP($C65,'Hist Data'!$A$2:$CN$428,'Unchained Indices'!BM$2,0)-1</f>
        <v>#N/A</v>
      </c>
      <c r="BN66" t="e">
        <f>VLOOKUP($C66,'Hist Data'!$A$2:$CN$428,'Unchained Indices'!BN$2,0)/VLOOKUP($C65,'Hist Data'!$A$2:$CN$428,'Unchained Indices'!BN$2,0)-1</f>
        <v>#N/A</v>
      </c>
      <c r="BO66" t="e">
        <f>VLOOKUP($C66,'Hist Data'!$A$2:$CN$428,'Unchained Indices'!BO$2,0)/VLOOKUP($C65,'Hist Data'!$A$2:$CN$428,'Unchained Indices'!BO$2,0)-1</f>
        <v>#N/A</v>
      </c>
      <c r="BP66" t="e">
        <f>VLOOKUP($C66,'Hist Data'!$A$2:$CN$428,'Unchained Indices'!BP$2,0)/VLOOKUP($C65,'Hist Data'!$A$2:$CN$428,'Unchained Indices'!BP$2,0)-1</f>
        <v>#N/A</v>
      </c>
      <c r="BQ66" t="e">
        <f>VLOOKUP($C66,'Hist Data'!$A$2:$CN$428,'Unchained Indices'!BQ$2,0)/VLOOKUP($C65,'Hist Data'!$A$2:$CN$428,'Unchained Indices'!BQ$2,0)-1</f>
        <v>#N/A</v>
      </c>
      <c r="BR66" t="e">
        <f>VLOOKUP($C66,'Hist Data'!$A$2:$CN$428,'Unchained Indices'!BR$2,0)/VLOOKUP($C65,'Hist Data'!$A$2:$CN$428,'Unchained Indices'!BR$2,0)-1</f>
        <v>#N/A</v>
      </c>
      <c r="BS66" t="e">
        <f>VLOOKUP($C66,'Hist Data'!$A$2:$CN$428,'Unchained Indices'!BS$2,0)/VLOOKUP($C65,'Hist Data'!$A$2:$CN$428,'Unchained Indices'!BS$2,0)-1</f>
        <v>#N/A</v>
      </c>
      <c r="BT66" t="e">
        <f>VLOOKUP($C66,'Hist Data'!$A$2:$CN$428,'Unchained Indices'!BT$2,0)/VLOOKUP($C65,'Hist Data'!$A$2:$CN$428,'Unchained Indices'!BT$2,0)-1</f>
        <v>#N/A</v>
      </c>
      <c r="BU66" t="e">
        <f>VLOOKUP($C66,'Hist Data'!$A$2:$CN$428,'Unchained Indices'!BU$2,0)/VLOOKUP($C65,'Hist Data'!$A$2:$CN$428,'Unchained Indices'!BU$2,0)-1</f>
        <v>#N/A</v>
      </c>
      <c r="BV66" t="e">
        <f>VLOOKUP($C66,'Hist Data'!$A$2:$CN$428,'Unchained Indices'!BV$2,0)/VLOOKUP($C65,'Hist Data'!$A$2:$CN$428,'Unchained Indices'!BV$2,0)-1</f>
        <v>#N/A</v>
      </c>
      <c r="BW66" t="e">
        <f>VLOOKUP($C66,'Hist Data'!$A$2:$CN$428,'Unchained Indices'!BW$2,0)/VLOOKUP($C65,'Hist Data'!$A$2:$CN$428,'Unchained Indices'!BW$2,0)-1</f>
        <v>#N/A</v>
      </c>
      <c r="BX66" t="e">
        <f>VLOOKUP($C66,'Hist Data'!$A$2:$CN$428,'Unchained Indices'!BX$2,0)/VLOOKUP($C65,'Hist Data'!$A$2:$CN$428,'Unchained Indices'!BX$2,0)-1</f>
        <v>#N/A</v>
      </c>
      <c r="BY66" t="e">
        <f>VLOOKUP($C66,'Hist Data'!$A$2:$CN$428,'Unchained Indices'!BY$2,0)/VLOOKUP($C65,'Hist Data'!$A$2:$CN$428,'Unchained Indices'!BY$2,0)-1</f>
        <v>#N/A</v>
      </c>
      <c r="BZ66" t="e">
        <f>VLOOKUP($C66,'Hist Data'!$A$2:$CN$428,'Unchained Indices'!BZ$2,0)/VLOOKUP($C65,'Hist Data'!$A$2:$CN$428,'Unchained Indices'!BZ$2,0)-1</f>
        <v>#N/A</v>
      </c>
      <c r="CA66" t="e">
        <f>VLOOKUP($C66,'Hist Data'!$A$2:$CN$428,'Unchained Indices'!CA$2,0)/VLOOKUP($C65,'Hist Data'!$A$2:$CN$428,'Unchained Indices'!CA$2,0)-1</f>
        <v>#N/A</v>
      </c>
      <c r="CB66" t="e">
        <f>VLOOKUP($C66,'Hist Data'!$A$2:$CN$428,'Unchained Indices'!CB$2,0)/VLOOKUP($C65,'Hist Data'!$A$2:$CN$428,'Unchained Indices'!CB$2,0)-1</f>
        <v>#N/A</v>
      </c>
      <c r="CC66" t="e">
        <f>VLOOKUP($C66,'Hist Data'!$A$2:$CN$428,'Unchained Indices'!CC$2,0)/VLOOKUP($C65,'Hist Data'!$A$2:$CN$428,'Unchained Indices'!CC$2,0)-1</f>
        <v>#N/A</v>
      </c>
      <c r="CD66" t="e">
        <f>VLOOKUP($C66,'Hist Data'!$A$2:$CN$428,'Unchained Indices'!CD$2,0)/VLOOKUP($C65,'Hist Data'!$A$2:$CN$428,'Unchained Indices'!CD$2,0)-1</f>
        <v>#N/A</v>
      </c>
      <c r="CE66" t="e">
        <f>VLOOKUP($C66,'Hist Data'!$A$2:$CN$428,'Unchained Indices'!CE$2,0)/VLOOKUP($C65,'Hist Data'!$A$2:$CN$428,'Unchained Indices'!CE$2,0)-1</f>
        <v>#N/A</v>
      </c>
      <c r="CF66" t="e">
        <f>VLOOKUP($C66,'Hist Data'!$A$2:$CN$428,'Unchained Indices'!CF$2,0)/VLOOKUP($C65,'Hist Data'!$A$2:$CN$428,'Unchained Indices'!CF$2,0)-1</f>
        <v>#N/A</v>
      </c>
      <c r="CG66" t="e">
        <f>VLOOKUP($C66,'Hist Data'!$A$2:$CN$428,'Unchained Indices'!CG$2,0)/VLOOKUP($C65,'Hist Data'!$A$2:$CN$428,'Unchained Indices'!CG$2,0)-1</f>
        <v>#N/A</v>
      </c>
      <c r="CH66" t="e">
        <f>VLOOKUP($C66,'Hist Data'!$A$2:$CN$428,'Unchained Indices'!CH$2,0)/VLOOKUP($C65,'Hist Data'!$A$2:$CN$428,'Unchained Indices'!CH$2,0)-1</f>
        <v>#N/A</v>
      </c>
      <c r="CI66" t="e">
        <f>VLOOKUP($C66,'Hist Data'!$A$2:$CN$428,'Unchained Indices'!CI$2,0)/VLOOKUP($C65,'Hist Data'!$A$2:$CN$428,'Unchained Indices'!CI$2,0)-1</f>
        <v>#N/A</v>
      </c>
      <c r="CJ66" t="e">
        <f>VLOOKUP($C66,'Hist Data'!$A$2:$CN$428,'Unchained Indices'!CJ$2,0)/VLOOKUP($C65,'Hist Data'!$A$2:$CN$428,'Unchained Indices'!CJ$2,0)-1</f>
        <v>#N/A</v>
      </c>
      <c r="CK66" t="e">
        <f>VLOOKUP($C66,'Hist Data'!$A$2:$CN$428,'Unchained Indices'!CK$2,0)/VLOOKUP($C65,'Hist Data'!$A$2:$CN$428,'Unchained Indices'!CK$2,0)-1</f>
        <v>#N/A</v>
      </c>
      <c r="CL66" t="e">
        <f>VLOOKUP($C66,'Hist Data'!$A$2:$CN$428,'Unchained Indices'!CL$2,0)/VLOOKUP($C65,'Hist Data'!$A$2:$CN$428,'Unchained Indices'!CL$2,0)-1</f>
        <v>#N/A</v>
      </c>
      <c r="CM66" t="e">
        <f>VLOOKUP($C66,'Hist Data'!$A$2:$CN$428,'Unchained Indices'!CM$2,0)/VLOOKUP($C65,'Hist Data'!$A$2:$CN$428,'Unchained Indices'!CM$2,0)-1</f>
        <v>#N/A</v>
      </c>
      <c r="CN66" t="e">
        <f>VLOOKUP($C66,'Hist Data'!$A$2:$CN$428,'Unchained Indices'!CN$2,0)/VLOOKUP($C65,'Hist Data'!$A$2:$CN$428,'Unchained Indices'!CN$2,0)-1</f>
        <v>#N/A</v>
      </c>
      <c r="CO66" t="e">
        <f>VLOOKUP($C66,'Hist Data'!$A$2:$CN$428,'Unchained Indices'!CO$2,0)/VLOOKUP($C65,'Hist Data'!$A$2:$CN$428,'Unchained Indices'!CO$2,0)-1</f>
        <v>#N/A</v>
      </c>
      <c r="CP66" t="e">
        <f>VLOOKUP($C66,'Hist Data'!$A$2:$CN$428,'Unchained Indices'!CP$2,0)/VLOOKUP($C65,'Hist Data'!$A$2:$CN$428,'Unchained Indices'!CP$2,0)-1</f>
        <v>#N/A</v>
      </c>
    </row>
    <row r="67" spans="1:94" x14ac:dyDescent="0.25">
      <c r="C67" s="6">
        <f t="shared" si="10"/>
        <v>45261</v>
      </c>
      <c r="D67" t="e">
        <f>VLOOKUP($C67,'Hist Data'!$A$2:$CN$428,'Unchained Indices'!D$2,0)/VLOOKUP($C66,'Hist Data'!$A$2:$CN$428,'Unchained Indices'!D$2,0)-1</f>
        <v>#N/A</v>
      </c>
      <c r="E67" t="e">
        <f>VLOOKUP($C67,'Hist Data'!$A$2:$CN$428,'Unchained Indices'!E$2,0)/VLOOKUP($C66,'Hist Data'!$A$2:$CN$428,'Unchained Indices'!E$2,0)-1</f>
        <v>#N/A</v>
      </c>
      <c r="F67" t="e">
        <f>VLOOKUP($C67,'Hist Data'!$A$2:$CN$428,'Unchained Indices'!F$2,0)/VLOOKUP($C66,'Hist Data'!$A$2:$CN$428,'Unchained Indices'!F$2,0)-1</f>
        <v>#N/A</v>
      </c>
      <c r="G67" t="e">
        <f>VLOOKUP($C67,'Hist Data'!$A$2:$CN$428,'Unchained Indices'!G$2,0)/VLOOKUP($C66,'Hist Data'!$A$2:$CN$428,'Unchained Indices'!G$2,0)-1</f>
        <v>#N/A</v>
      </c>
      <c r="H67" t="e">
        <f>VLOOKUP($C67,'Hist Data'!$A$2:$CN$428,'Unchained Indices'!H$2,0)/VLOOKUP($C66,'Hist Data'!$A$2:$CN$428,'Unchained Indices'!H$2,0)-1</f>
        <v>#N/A</v>
      </c>
      <c r="I67" t="e">
        <f>VLOOKUP($C67,'Hist Data'!$A$2:$CN$428,'Unchained Indices'!I$2,0)/VLOOKUP($C66,'Hist Data'!$A$2:$CN$428,'Unchained Indices'!I$2,0)-1</f>
        <v>#N/A</v>
      </c>
      <c r="J67" t="e">
        <f>VLOOKUP($C67,'Hist Data'!$A$2:$CN$428,'Unchained Indices'!J$2,0)/VLOOKUP($C66,'Hist Data'!$A$2:$CN$428,'Unchained Indices'!J$2,0)-1</f>
        <v>#N/A</v>
      </c>
      <c r="K67" t="e">
        <f>VLOOKUP($C67,'Hist Data'!$A$2:$CN$428,'Unchained Indices'!K$2,0)/VLOOKUP($C66,'Hist Data'!$A$2:$CN$428,'Unchained Indices'!K$2,0)-1</f>
        <v>#N/A</v>
      </c>
      <c r="L67" t="e">
        <f>VLOOKUP($C67,'Hist Data'!$A$2:$CN$428,'Unchained Indices'!L$2,0)/VLOOKUP($C66,'Hist Data'!$A$2:$CN$428,'Unchained Indices'!L$2,0)-1</f>
        <v>#N/A</v>
      </c>
      <c r="M67" t="e">
        <f>VLOOKUP($C67,'Hist Data'!$A$2:$CN$428,'Unchained Indices'!M$2,0)/VLOOKUP($C66,'Hist Data'!$A$2:$CN$428,'Unchained Indices'!M$2,0)-1</f>
        <v>#N/A</v>
      </c>
      <c r="N67" t="e">
        <f>VLOOKUP($C67,'Hist Data'!$A$2:$CN$428,'Unchained Indices'!N$2,0)/VLOOKUP($C66,'Hist Data'!$A$2:$CN$428,'Unchained Indices'!N$2,0)-1</f>
        <v>#N/A</v>
      </c>
      <c r="O67" t="e">
        <f>VLOOKUP($C67,'Hist Data'!$A$2:$CN$428,'Unchained Indices'!O$2,0)/VLOOKUP($C66,'Hist Data'!$A$2:$CN$428,'Unchained Indices'!O$2,0)-1</f>
        <v>#N/A</v>
      </c>
      <c r="P67" t="e">
        <f>VLOOKUP($C67,'Hist Data'!$A$2:$CN$428,'Unchained Indices'!P$2,0)/VLOOKUP($C66,'Hist Data'!$A$2:$CN$428,'Unchained Indices'!P$2,0)-1</f>
        <v>#N/A</v>
      </c>
      <c r="Q67" t="e">
        <f>VLOOKUP($C67,'Hist Data'!$A$2:$CN$428,'Unchained Indices'!Q$2,0)/VLOOKUP($C66,'Hist Data'!$A$2:$CN$428,'Unchained Indices'!Q$2,0)-1</f>
        <v>#N/A</v>
      </c>
      <c r="R67" t="e">
        <f>VLOOKUP($C67,'Hist Data'!$A$2:$CN$428,'Unchained Indices'!R$2,0)/VLOOKUP($C66,'Hist Data'!$A$2:$CN$428,'Unchained Indices'!R$2,0)-1</f>
        <v>#N/A</v>
      </c>
      <c r="S67" t="e">
        <f>VLOOKUP($C67,'Hist Data'!$A$2:$CN$428,'Unchained Indices'!S$2,0)/VLOOKUP($C66,'Hist Data'!$A$2:$CN$428,'Unchained Indices'!S$2,0)-1</f>
        <v>#N/A</v>
      </c>
      <c r="T67" t="e">
        <f>VLOOKUP($C67,'Hist Data'!$A$2:$CN$428,'Unchained Indices'!T$2,0)/VLOOKUP($C66,'Hist Data'!$A$2:$CN$428,'Unchained Indices'!T$2,0)-1</f>
        <v>#N/A</v>
      </c>
      <c r="U67" t="e">
        <f>VLOOKUP($C67,'Hist Data'!$A$2:$CN$428,'Unchained Indices'!U$2,0)/VLOOKUP($C66,'Hist Data'!$A$2:$CN$428,'Unchained Indices'!U$2,0)-1</f>
        <v>#N/A</v>
      </c>
      <c r="V67" t="e">
        <f>VLOOKUP($C67,'Hist Data'!$A$2:$CN$428,'Unchained Indices'!V$2,0)/VLOOKUP($C66,'Hist Data'!$A$2:$CN$428,'Unchained Indices'!V$2,0)-1</f>
        <v>#N/A</v>
      </c>
      <c r="W67" t="e">
        <f>VLOOKUP($C67,'Hist Data'!$A$2:$CN$428,'Unchained Indices'!W$2,0)/VLOOKUP($C66,'Hist Data'!$A$2:$CN$428,'Unchained Indices'!W$2,0)-1</f>
        <v>#N/A</v>
      </c>
      <c r="X67" t="e">
        <f>VLOOKUP($C67,'Hist Data'!$A$2:$CN$428,'Unchained Indices'!X$2,0)/VLOOKUP($C66,'Hist Data'!$A$2:$CN$428,'Unchained Indices'!X$2,0)-1</f>
        <v>#N/A</v>
      </c>
      <c r="Y67" t="e">
        <f>VLOOKUP($C67,'Hist Data'!$A$2:$CN$428,'Unchained Indices'!Y$2,0)/VLOOKUP($C66,'Hist Data'!$A$2:$CN$428,'Unchained Indices'!Y$2,0)-1</f>
        <v>#N/A</v>
      </c>
      <c r="Z67" t="e">
        <f>VLOOKUP($C67,'Hist Data'!$A$2:$CN$428,'Unchained Indices'!Z$2,0)/VLOOKUP($C66,'Hist Data'!$A$2:$CN$428,'Unchained Indices'!Z$2,0)-1</f>
        <v>#N/A</v>
      </c>
      <c r="AA67" t="e">
        <f>VLOOKUP($C67,'Hist Data'!$A$2:$CN$428,'Unchained Indices'!AA$2,0)/VLOOKUP($C66,'Hist Data'!$A$2:$CN$428,'Unchained Indices'!AA$2,0)-1</f>
        <v>#N/A</v>
      </c>
      <c r="AB67" t="e">
        <f>VLOOKUP($C67,'Hist Data'!$A$2:$CN$428,'Unchained Indices'!AB$2,0)/VLOOKUP($C66,'Hist Data'!$A$2:$CN$428,'Unchained Indices'!AB$2,0)-1</f>
        <v>#N/A</v>
      </c>
      <c r="AC67" t="e">
        <f>VLOOKUP($C67,'Hist Data'!$A$2:$CN$428,'Unchained Indices'!AC$2,0)/VLOOKUP($C66,'Hist Data'!$A$2:$CN$428,'Unchained Indices'!AC$2,0)-1</f>
        <v>#N/A</v>
      </c>
      <c r="AD67" t="e">
        <f>VLOOKUP($C67,'Hist Data'!$A$2:$CN$428,'Unchained Indices'!AD$2,0)/VLOOKUP($C66,'Hist Data'!$A$2:$CN$428,'Unchained Indices'!AD$2,0)-1</f>
        <v>#N/A</v>
      </c>
      <c r="AE67" t="e">
        <f>VLOOKUP($C67,'Hist Data'!$A$2:$CN$428,'Unchained Indices'!AE$2,0)/VLOOKUP($C66,'Hist Data'!$A$2:$CN$428,'Unchained Indices'!AE$2,0)-1</f>
        <v>#N/A</v>
      </c>
      <c r="AF67" t="e">
        <f>VLOOKUP($C67,'Hist Data'!$A$2:$CN$428,'Unchained Indices'!AF$2,0)/VLOOKUP($C66,'Hist Data'!$A$2:$CN$428,'Unchained Indices'!AF$2,0)-1</f>
        <v>#N/A</v>
      </c>
      <c r="AG67" t="e">
        <f>VLOOKUP($C67,'Hist Data'!$A$2:$CN$428,'Unchained Indices'!AG$2,0)/VLOOKUP($C66,'Hist Data'!$A$2:$CN$428,'Unchained Indices'!AG$2,0)-1</f>
        <v>#N/A</v>
      </c>
      <c r="AH67" t="e">
        <f>VLOOKUP($C67,'Hist Data'!$A$2:$CN$428,'Unchained Indices'!AH$2,0)/VLOOKUP($C66,'Hist Data'!$A$2:$CN$428,'Unchained Indices'!AH$2,0)-1</f>
        <v>#N/A</v>
      </c>
      <c r="AI67" t="e">
        <f>VLOOKUP($C67,'Hist Data'!$A$2:$CN$428,'Unchained Indices'!AI$2,0)/VLOOKUP($C66,'Hist Data'!$A$2:$CN$428,'Unchained Indices'!AI$2,0)-1</f>
        <v>#N/A</v>
      </c>
      <c r="AJ67" t="e">
        <f>VLOOKUP($C67,'Hist Data'!$A$2:$CN$428,'Unchained Indices'!AJ$2,0)/VLOOKUP($C66,'Hist Data'!$A$2:$CN$428,'Unchained Indices'!AJ$2,0)-1</f>
        <v>#N/A</v>
      </c>
      <c r="AK67" t="e">
        <f>VLOOKUP($C67,'Hist Data'!$A$2:$CN$428,'Unchained Indices'!AK$2,0)/VLOOKUP($C66,'Hist Data'!$A$2:$CN$428,'Unchained Indices'!AK$2,0)-1</f>
        <v>#N/A</v>
      </c>
      <c r="AL67" t="e">
        <f>VLOOKUP($C67,'Hist Data'!$A$2:$CN$428,'Unchained Indices'!AL$2,0)/VLOOKUP($C66,'Hist Data'!$A$2:$CN$428,'Unchained Indices'!AL$2,0)-1</f>
        <v>#N/A</v>
      </c>
      <c r="AM67" t="e">
        <f>VLOOKUP($C67,'Hist Data'!$A$2:$CN$428,'Unchained Indices'!AM$2,0)/VLOOKUP($C66,'Hist Data'!$A$2:$CN$428,'Unchained Indices'!AM$2,0)-1</f>
        <v>#N/A</v>
      </c>
      <c r="AN67" t="e">
        <f>VLOOKUP($C67,'Hist Data'!$A$2:$CN$428,'Unchained Indices'!AN$2,0)/VLOOKUP($C66,'Hist Data'!$A$2:$CN$428,'Unchained Indices'!AN$2,0)-1</f>
        <v>#N/A</v>
      </c>
      <c r="AO67" t="e">
        <f>VLOOKUP($C67,'Hist Data'!$A$2:$CN$428,'Unchained Indices'!AO$2,0)/VLOOKUP($C66,'Hist Data'!$A$2:$CN$428,'Unchained Indices'!AO$2,0)-1</f>
        <v>#N/A</v>
      </c>
      <c r="AP67" t="e">
        <f>VLOOKUP($C67,'Hist Data'!$A$2:$CN$428,'Unchained Indices'!AP$2,0)/VLOOKUP($C66,'Hist Data'!$A$2:$CN$428,'Unchained Indices'!AP$2,0)-1</f>
        <v>#N/A</v>
      </c>
      <c r="AQ67" t="e">
        <f>VLOOKUP($C67,'Hist Data'!$A$2:$CN$428,'Unchained Indices'!AQ$2,0)/VLOOKUP($C66,'Hist Data'!$A$2:$CN$428,'Unchained Indices'!AQ$2,0)-1</f>
        <v>#N/A</v>
      </c>
      <c r="AR67" t="e">
        <f>VLOOKUP($C67,'Hist Data'!$A$2:$CN$428,'Unchained Indices'!AR$2,0)/VLOOKUP($C66,'Hist Data'!$A$2:$CN$428,'Unchained Indices'!AR$2,0)-1</f>
        <v>#N/A</v>
      </c>
      <c r="AS67" t="e">
        <f>VLOOKUP($C67,'Hist Data'!$A$2:$CN$428,'Unchained Indices'!AS$2,0)/VLOOKUP($C66,'Hist Data'!$A$2:$CN$428,'Unchained Indices'!AS$2,0)-1</f>
        <v>#N/A</v>
      </c>
      <c r="AT67" t="e">
        <f>VLOOKUP($C67,'Hist Data'!$A$2:$CN$428,'Unchained Indices'!AT$2,0)/VLOOKUP($C66,'Hist Data'!$A$2:$CN$428,'Unchained Indices'!AT$2,0)-1</f>
        <v>#N/A</v>
      </c>
      <c r="AU67" t="e">
        <f>VLOOKUP($C67,'Hist Data'!$A$2:$CN$428,'Unchained Indices'!AU$2,0)/VLOOKUP($C66,'Hist Data'!$A$2:$CN$428,'Unchained Indices'!AU$2,0)-1</f>
        <v>#N/A</v>
      </c>
      <c r="AV67" t="e">
        <f>VLOOKUP($C67,'Hist Data'!$A$2:$CN$428,'Unchained Indices'!AV$2,0)/VLOOKUP($C66,'Hist Data'!$A$2:$CN$428,'Unchained Indices'!AV$2,0)-1</f>
        <v>#N/A</v>
      </c>
      <c r="AW67" t="e">
        <f>VLOOKUP($C67,'Hist Data'!$A$2:$CN$428,'Unchained Indices'!AW$2,0)/VLOOKUP($C66,'Hist Data'!$A$2:$CN$428,'Unchained Indices'!AW$2,0)-1</f>
        <v>#N/A</v>
      </c>
      <c r="AX67" t="e">
        <f>VLOOKUP($C67,'Hist Data'!$A$2:$CN$428,'Unchained Indices'!AX$2,0)/VLOOKUP($C66,'Hist Data'!$A$2:$CN$428,'Unchained Indices'!AX$2,0)-1</f>
        <v>#N/A</v>
      </c>
      <c r="AY67" t="e">
        <f>VLOOKUP($C67,'Hist Data'!$A$2:$CN$428,'Unchained Indices'!AY$2,0)/VLOOKUP($C66,'Hist Data'!$A$2:$CN$428,'Unchained Indices'!AY$2,0)-1</f>
        <v>#N/A</v>
      </c>
      <c r="AZ67" t="e">
        <f>VLOOKUP($C67,'Hist Data'!$A$2:$CN$428,'Unchained Indices'!AZ$2,0)/VLOOKUP($C66,'Hist Data'!$A$2:$CN$428,'Unchained Indices'!AZ$2,0)-1</f>
        <v>#N/A</v>
      </c>
      <c r="BA67" t="e">
        <f>VLOOKUP($C67,'Hist Data'!$A$2:$CN$428,'Unchained Indices'!BA$2,0)/VLOOKUP($C66,'Hist Data'!$A$2:$CN$428,'Unchained Indices'!BA$2,0)-1</f>
        <v>#N/A</v>
      </c>
      <c r="BB67" t="e">
        <f>VLOOKUP($C67,'Hist Data'!$A$2:$CN$428,'Unchained Indices'!BB$2,0)/VLOOKUP($C66,'Hist Data'!$A$2:$CN$428,'Unchained Indices'!BB$2,0)-1</f>
        <v>#N/A</v>
      </c>
      <c r="BC67" t="e">
        <f>VLOOKUP($C67,'Hist Data'!$A$2:$CN$428,'Unchained Indices'!BC$2,0)/VLOOKUP($C66,'Hist Data'!$A$2:$CN$428,'Unchained Indices'!BC$2,0)-1</f>
        <v>#N/A</v>
      </c>
      <c r="BD67" t="e">
        <f>VLOOKUP($C67,'Hist Data'!$A$2:$CN$428,'Unchained Indices'!BD$2,0)/VLOOKUP($C66,'Hist Data'!$A$2:$CN$428,'Unchained Indices'!BD$2,0)-1</f>
        <v>#N/A</v>
      </c>
      <c r="BE67" t="e">
        <f>VLOOKUP($C67,'Hist Data'!$A$2:$CN$428,'Unchained Indices'!BE$2,0)/VLOOKUP($C66,'Hist Data'!$A$2:$CN$428,'Unchained Indices'!BE$2,0)-1</f>
        <v>#N/A</v>
      </c>
      <c r="BF67" t="e">
        <f>VLOOKUP($C67,'Hist Data'!$A$2:$CN$428,'Unchained Indices'!BF$2,0)/VLOOKUP($C66,'Hist Data'!$A$2:$CN$428,'Unchained Indices'!BF$2,0)-1</f>
        <v>#N/A</v>
      </c>
      <c r="BG67" t="e">
        <f>VLOOKUP($C67,'Hist Data'!$A$2:$CN$428,'Unchained Indices'!BG$2,0)/VLOOKUP($C66,'Hist Data'!$A$2:$CN$428,'Unchained Indices'!BG$2,0)-1</f>
        <v>#N/A</v>
      </c>
      <c r="BH67" t="e">
        <f>VLOOKUP($C67,'Hist Data'!$A$2:$CN$428,'Unchained Indices'!BH$2,0)/VLOOKUP($C66,'Hist Data'!$A$2:$CN$428,'Unchained Indices'!BH$2,0)-1</f>
        <v>#N/A</v>
      </c>
      <c r="BI67" t="e">
        <f>VLOOKUP($C67,'Hist Data'!$A$2:$CN$428,'Unchained Indices'!BI$2,0)/VLOOKUP($C66,'Hist Data'!$A$2:$CN$428,'Unchained Indices'!BI$2,0)-1</f>
        <v>#N/A</v>
      </c>
      <c r="BJ67" t="e">
        <f>VLOOKUP($C67,'Hist Data'!$A$2:$CN$428,'Unchained Indices'!BJ$2,0)/VLOOKUP($C66,'Hist Data'!$A$2:$CN$428,'Unchained Indices'!BJ$2,0)-1</f>
        <v>#N/A</v>
      </c>
      <c r="BK67" t="e">
        <f>VLOOKUP($C67,'Hist Data'!$A$2:$CN$428,'Unchained Indices'!BK$2,0)/VLOOKUP($C66,'Hist Data'!$A$2:$CN$428,'Unchained Indices'!BK$2,0)-1</f>
        <v>#N/A</v>
      </c>
      <c r="BL67" t="e">
        <f>VLOOKUP($C67,'Hist Data'!$A$2:$CN$428,'Unchained Indices'!BL$2,0)/VLOOKUP($C66,'Hist Data'!$A$2:$CN$428,'Unchained Indices'!BL$2,0)-1</f>
        <v>#N/A</v>
      </c>
      <c r="BM67" t="e">
        <f>VLOOKUP($C67,'Hist Data'!$A$2:$CN$428,'Unchained Indices'!BM$2,0)/VLOOKUP($C66,'Hist Data'!$A$2:$CN$428,'Unchained Indices'!BM$2,0)-1</f>
        <v>#N/A</v>
      </c>
      <c r="BN67" t="e">
        <f>VLOOKUP($C67,'Hist Data'!$A$2:$CN$428,'Unchained Indices'!BN$2,0)/VLOOKUP($C66,'Hist Data'!$A$2:$CN$428,'Unchained Indices'!BN$2,0)-1</f>
        <v>#N/A</v>
      </c>
      <c r="BO67" t="e">
        <f>VLOOKUP($C67,'Hist Data'!$A$2:$CN$428,'Unchained Indices'!BO$2,0)/VLOOKUP($C66,'Hist Data'!$A$2:$CN$428,'Unchained Indices'!BO$2,0)-1</f>
        <v>#N/A</v>
      </c>
      <c r="BP67" t="e">
        <f>VLOOKUP($C67,'Hist Data'!$A$2:$CN$428,'Unchained Indices'!BP$2,0)/VLOOKUP($C66,'Hist Data'!$A$2:$CN$428,'Unchained Indices'!BP$2,0)-1</f>
        <v>#N/A</v>
      </c>
      <c r="BQ67" t="e">
        <f>VLOOKUP($C67,'Hist Data'!$A$2:$CN$428,'Unchained Indices'!BQ$2,0)/VLOOKUP($C66,'Hist Data'!$A$2:$CN$428,'Unchained Indices'!BQ$2,0)-1</f>
        <v>#N/A</v>
      </c>
      <c r="BR67" t="e">
        <f>VLOOKUP($C67,'Hist Data'!$A$2:$CN$428,'Unchained Indices'!BR$2,0)/VLOOKUP($C66,'Hist Data'!$A$2:$CN$428,'Unchained Indices'!BR$2,0)-1</f>
        <v>#N/A</v>
      </c>
      <c r="BS67" t="e">
        <f>VLOOKUP($C67,'Hist Data'!$A$2:$CN$428,'Unchained Indices'!BS$2,0)/VLOOKUP($C66,'Hist Data'!$A$2:$CN$428,'Unchained Indices'!BS$2,0)-1</f>
        <v>#N/A</v>
      </c>
      <c r="BT67" t="e">
        <f>VLOOKUP($C67,'Hist Data'!$A$2:$CN$428,'Unchained Indices'!BT$2,0)/VLOOKUP($C66,'Hist Data'!$A$2:$CN$428,'Unchained Indices'!BT$2,0)-1</f>
        <v>#N/A</v>
      </c>
      <c r="BU67" t="e">
        <f>VLOOKUP($C67,'Hist Data'!$A$2:$CN$428,'Unchained Indices'!BU$2,0)/VLOOKUP($C66,'Hist Data'!$A$2:$CN$428,'Unchained Indices'!BU$2,0)-1</f>
        <v>#N/A</v>
      </c>
      <c r="BV67" t="e">
        <f>VLOOKUP($C67,'Hist Data'!$A$2:$CN$428,'Unchained Indices'!BV$2,0)/VLOOKUP($C66,'Hist Data'!$A$2:$CN$428,'Unchained Indices'!BV$2,0)-1</f>
        <v>#N/A</v>
      </c>
      <c r="BW67" t="e">
        <f>VLOOKUP($C67,'Hist Data'!$A$2:$CN$428,'Unchained Indices'!BW$2,0)/VLOOKUP($C66,'Hist Data'!$A$2:$CN$428,'Unchained Indices'!BW$2,0)-1</f>
        <v>#N/A</v>
      </c>
      <c r="BX67" t="e">
        <f>VLOOKUP($C67,'Hist Data'!$A$2:$CN$428,'Unchained Indices'!BX$2,0)/VLOOKUP($C66,'Hist Data'!$A$2:$CN$428,'Unchained Indices'!BX$2,0)-1</f>
        <v>#N/A</v>
      </c>
      <c r="BY67" t="e">
        <f>VLOOKUP($C67,'Hist Data'!$A$2:$CN$428,'Unchained Indices'!BY$2,0)/VLOOKUP($C66,'Hist Data'!$A$2:$CN$428,'Unchained Indices'!BY$2,0)-1</f>
        <v>#N/A</v>
      </c>
      <c r="BZ67" t="e">
        <f>VLOOKUP($C67,'Hist Data'!$A$2:$CN$428,'Unchained Indices'!BZ$2,0)/VLOOKUP($C66,'Hist Data'!$A$2:$CN$428,'Unchained Indices'!BZ$2,0)-1</f>
        <v>#N/A</v>
      </c>
      <c r="CA67" t="e">
        <f>VLOOKUP($C67,'Hist Data'!$A$2:$CN$428,'Unchained Indices'!CA$2,0)/VLOOKUP($C66,'Hist Data'!$A$2:$CN$428,'Unchained Indices'!CA$2,0)-1</f>
        <v>#N/A</v>
      </c>
      <c r="CB67" t="e">
        <f>VLOOKUP($C67,'Hist Data'!$A$2:$CN$428,'Unchained Indices'!CB$2,0)/VLOOKUP($C66,'Hist Data'!$A$2:$CN$428,'Unchained Indices'!CB$2,0)-1</f>
        <v>#N/A</v>
      </c>
      <c r="CC67" t="e">
        <f>VLOOKUP($C67,'Hist Data'!$A$2:$CN$428,'Unchained Indices'!CC$2,0)/VLOOKUP($C66,'Hist Data'!$A$2:$CN$428,'Unchained Indices'!CC$2,0)-1</f>
        <v>#N/A</v>
      </c>
      <c r="CD67" t="e">
        <f>VLOOKUP($C67,'Hist Data'!$A$2:$CN$428,'Unchained Indices'!CD$2,0)/VLOOKUP($C66,'Hist Data'!$A$2:$CN$428,'Unchained Indices'!CD$2,0)-1</f>
        <v>#N/A</v>
      </c>
      <c r="CE67" t="e">
        <f>VLOOKUP($C67,'Hist Data'!$A$2:$CN$428,'Unchained Indices'!CE$2,0)/VLOOKUP($C66,'Hist Data'!$A$2:$CN$428,'Unchained Indices'!CE$2,0)-1</f>
        <v>#N/A</v>
      </c>
      <c r="CF67" t="e">
        <f>VLOOKUP($C67,'Hist Data'!$A$2:$CN$428,'Unchained Indices'!CF$2,0)/VLOOKUP($C66,'Hist Data'!$A$2:$CN$428,'Unchained Indices'!CF$2,0)-1</f>
        <v>#N/A</v>
      </c>
      <c r="CG67" t="e">
        <f>VLOOKUP($C67,'Hist Data'!$A$2:$CN$428,'Unchained Indices'!CG$2,0)/VLOOKUP($C66,'Hist Data'!$A$2:$CN$428,'Unchained Indices'!CG$2,0)-1</f>
        <v>#N/A</v>
      </c>
      <c r="CH67" t="e">
        <f>VLOOKUP($C67,'Hist Data'!$A$2:$CN$428,'Unchained Indices'!CH$2,0)/VLOOKUP($C66,'Hist Data'!$A$2:$CN$428,'Unchained Indices'!CH$2,0)-1</f>
        <v>#N/A</v>
      </c>
      <c r="CI67" t="e">
        <f>VLOOKUP($C67,'Hist Data'!$A$2:$CN$428,'Unchained Indices'!CI$2,0)/VLOOKUP($C66,'Hist Data'!$A$2:$CN$428,'Unchained Indices'!CI$2,0)-1</f>
        <v>#N/A</v>
      </c>
      <c r="CJ67" t="e">
        <f>VLOOKUP($C67,'Hist Data'!$A$2:$CN$428,'Unchained Indices'!CJ$2,0)/VLOOKUP($C66,'Hist Data'!$A$2:$CN$428,'Unchained Indices'!CJ$2,0)-1</f>
        <v>#N/A</v>
      </c>
      <c r="CK67" t="e">
        <f>VLOOKUP($C67,'Hist Data'!$A$2:$CN$428,'Unchained Indices'!CK$2,0)/VLOOKUP($C66,'Hist Data'!$A$2:$CN$428,'Unchained Indices'!CK$2,0)-1</f>
        <v>#N/A</v>
      </c>
      <c r="CL67" t="e">
        <f>VLOOKUP($C67,'Hist Data'!$A$2:$CN$428,'Unchained Indices'!CL$2,0)/VLOOKUP($C66,'Hist Data'!$A$2:$CN$428,'Unchained Indices'!CL$2,0)-1</f>
        <v>#N/A</v>
      </c>
      <c r="CM67" t="e">
        <f>VLOOKUP($C67,'Hist Data'!$A$2:$CN$428,'Unchained Indices'!CM$2,0)/VLOOKUP($C66,'Hist Data'!$A$2:$CN$428,'Unchained Indices'!CM$2,0)-1</f>
        <v>#N/A</v>
      </c>
      <c r="CN67" t="e">
        <f>VLOOKUP($C67,'Hist Data'!$A$2:$CN$428,'Unchained Indices'!CN$2,0)/VLOOKUP($C66,'Hist Data'!$A$2:$CN$428,'Unchained Indices'!CN$2,0)-1</f>
        <v>#N/A</v>
      </c>
      <c r="CO67" t="e">
        <f>VLOOKUP($C67,'Hist Data'!$A$2:$CN$428,'Unchained Indices'!CO$2,0)/VLOOKUP($C66,'Hist Data'!$A$2:$CN$428,'Unchained Indices'!CO$2,0)-1</f>
        <v>#N/A</v>
      </c>
      <c r="CP67" t="e">
        <f>VLOOKUP($C67,'Hist Data'!$A$2:$CN$428,'Unchained Indices'!CP$2,0)/VLOOKUP($C66,'Hist Data'!$A$2:$CN$428,'Unchained Indices'!CP$2,0)-1</f>
        <v>#N/A</v>
      </c>
    </row>
    <row r="68" spans="1:94" x14ac:dyDescent="0.25">
      <c r="C68" s="6">
        <f t="shared" si="10"/>
        <v>45292</v>
      </c>
      <c r="D68" t="e">
        <f>VLOOKUP($C68,'Hist Data'!$A$2:$CN$428,'Unchained Indices'!D$2,0)/VLOOKUP($C67,'Hist Data'!$A$2:$CN$428,'Unchained Indices'!D$2,0)-1</f>
        <v>#N/A</v>
      </c>
      <c r="E68" t="e">
        <f>VLOOKUP($C68,'Hist Data'!$A$2:$CN$428,'Unchained Indices'!E$2,0)/VLOOKUP($C67,'Hist Data'!$A$2:$CN$428,'Unchained Indices'!E$2,0)-1</f>
        <v>#N/A</v>
      </c>
      <c r="F68" t="e">
        <f>VLOOKUP($C68,'Hist Data'!$A$2:$CN$428,'Unchained Indices'!F$2,0)/VLOOKUP($C67,'Hist Data'!$A$2:$CN$428,'Unchained Indices'!F$2,0)-1</f>
        <v>#N/A</v>
      </c>
      <c r="G68" t="e">
        <f>VLOOKUP($C68,'Hist Data'!$A$2:$CN$428,'Unchained Indices'!G$2,0)/VLOOKUP($C67,'Hist Data'!$A$2:$CN$428,'Unchained Indices'!G$2,0)-1</f>
        <v>#N/A</v>
      </c>
      <c r="H68" t="e">
        <f>VLOOKUP($C68,'Hist Data'!$A$2:$CN$428,'Unchained Indices'!H$2,0)/VLOOKUP($C67,'Hist Data'!$A$2:$CN$428,'Unchained Indices'!H$2,0)-1</f>
        <v>#N/A</v>
      </c>
      <c r="I68" t="e">
        <f>VLOOKUP($C68,'Hist Data'!$A$2:$CN$428,'Unchained Indices'!I$2,0)/VLOOKUP($C67,'Hist Data'!$A$2:$CN$428,'Unchained Indices'!I$2,0)-1</f>
        <v>#N/A</v>
      </c>
      <c r="J68" t="e">
        <f>VLOOKUP($C68,'Hist Data'!$A$2:$CN$428,'Unchained Indices'!J$2,0)/VLOOKUP($C67,'Hist Data'!$A$2:$CN$428,'Unchained Indices'!J$2,0)-1</f>
        <v>#N/A</v>
      </c>
      <c r="K68" t="e">
        <f>VLOOKUP($C68,'Hist Data'!$A$2:$CN$428,'Unchained Indices'!K$2,0)/VLOOKUP($C67,'Hist Data'!$A$2:$CN$428,'Unchained Indices'!K$2,0)-1</f>
        <v>#N/A</v>
      </c>
      <c r="L68" t="e">
        <f>VLOOKUP($C68,'Hist Data'!$A$2:$CN$428,'Unchained Indices'!L$2,0)/VLOOKUP($C67,'Hist Data'!$A$2:$CN$428,'Unchained Indices'!L$2,0)-1</f>
        <v>#N/A</v>
      </c>
      <c r="M68" t="e">
        <f>VLOOKUP($C68,'Hist Data'!$A$2:$CN$428,'Unchained Indices'!M$2,0)/VLOOKUP($C67,'Hist Data'!$A$2:$CN$428,'Unchained Indices'!M$2,0)-1</f>
        <v>#N/A</v>
      </c>
      <c r="N68" t="e">
        <f>VLOOKUP($C68,'Hist Data'!$A$2:$CN$428,'Unchained Indices'!N$2,0)/VLOOKUP($C67,'Hist Data'!$A$2:$CN$428,'Unchained Indices'!N$2,0)-1</f>
        <v>#N/A</v>
      </c>
      <c r="O68" t="e">
        <f>VLOOKUP($C68,'Hist Data'!$A$2:$CN$428,'Unchained Indices'!O$2,0)/VLOOKUP($C67,'Hist Data'!$A$2:$CN$428,'Unchained Indices'!O$2,0)-1</f>
        <v>#N/A</v>
      </c>
      <c r="P68" t="e">
        <f>VLOOKUP($C68,'Hist Data'!$A$2:$CN$428,'Unchained Indices'!P$2,0)/VLOOKUP($C67,'Hist Data'!$A$2:$CN$428,'Unchained Indices'!P$2,0)-1</f>
        <v>#N/A</v>
      </c>
      <c r="Q68" t="e">
        <f>VLOOKUP($C68,'Hist Data'!$A$2:$CN$428,'Unchained Indices'!Q$2,0)/VLOOKUP($C67,'Hist Data'!$A$2:$CN$428,'Unchained Indices'!Q$2,0)-1</f>
        <v>#N/A</v>
      </c>
      <c r="R68" t="e">
        <f>VLOOKUP($C68,'Hist Data'!$A$2:$CN$428,'Unchained Indices'!R$2,0)/VLOOKUP($C67,'Hist Data'!$A$2:$CN$428,'Unchained Indices'!R$2,0)-1</f>
        <v>#N/A</v>
      </c>
      <c r="S68" t="e">
        <f>VLOOKUP($C68,'Hist Data'!$A$2:$CN$428,'Unchained Indices'!S$2,0)/VLOOKUP($C67,'Hist Data'!$A$2:$CN$428,'Unchained Indices'!S$2,0)-1</f>
        <v>#N/A</v>
      </c>
      <c r="T68" t="e">
        <f>VLOOKUP($C68,'Hist Data'!$A$2:$CN$428,'Unchained Indices'!T$2,0)/VLOOKUP($C67,'Hist Data'!$A$2:$CN$428,'Unchained Indices'!T$2,0)-1</f>
        <v>#N/A</v>
      </c>
      <c r="U68" t="e">
        <f>VLOOKUP($C68,'Hist Data'!$A$2:$CN$428,'Unchained Indices'!U$2,0)/VLOOKUP($C67,'Hist Data'!$A$2:$CN$428,'Unchained Indices'!U$2,0)-1</f>
        <v>#N/A</v>
      </c>
      <c r="V68" t="e">
        <f>VLOOKUP($C68,'Hist Data'!$A$2:$CN$428,'Unchained Indices'!V$2,0)/VLOOKUP($C67,'Hist Data'!$A$2:$CN$428,'Unchained Indices'!V$2,0)-1</f>
        <v>#N/A</v>
      </c>
      <c r="W68" t="e">
        <f>VLOOKUP($C68,'Hist Data'!$A$2:$CN$428,'Unchained Indices'!W$2,0)/VLOOKUP($C67,'Hist Data'!$A$2:$CN$428,'Unchained Indices'!W$2,0)-1</f>
        <v>#N/A</v>
      </c>
      <c r="X68" t="e">
        <f>VLOOKUP($C68,'Hist Data'!$A$2:$CN$428,'Unchained Indices'!X$2,0)/VLOOKUP($C67,'Hist Data'!$A$2:$CN$428,'Unchained Indices'!X$2,0)-1</f>
        <v>#N/A</v>
      </c>
      <c r="Y68" t="e">
        <f>VLOOKUP($C68,'Hist Data'!$A$2:$CN$428,'Unchained Indices'!Y$2,0)/VLOOKUP($C67,'Hist Data'!$A$2:$CN$428,'Unchained Indices'!Y$2,0)-1</f>
        <v>#N/A</v>
      </c>
      <c r="Z68" t="e">
        <f>VLOOKUP($C68,'Hist Data'!$A$2:$CN$428,'Unchained Indices'!Z$2,0)/VLOOKUP($C67,'Hist Data'!$A$2:$CN$428,'Unchained Indices'!Z$2,0)-1</f>
        <v>#N/A</v>
      </c>
      <c r="AA68" t="e">
        <f>VLOOKUP($C68,'Hist Data'!$A$2:$CN$428,'Unchained Indices'!AA$2,0)/VLOOKUP($C67,'Hist Data'!$A$2:$CN$428,'Unchained Indices'!AA$2,0)-1</f>
        <v>#N/A</v>
      </c>
      <c r="AB68" t="e">
        <f>VLOOKUP($C68,'Hist Data'!$A$2:$CN$428,'Unchained Indices'!AB$2,0)/VLOOKUP($C67,'Hist Data'!$A$2:$CN$428,'Unchained Indices'!AB$2,0)-1</f>
        <v>#N/A</v>
      </c>
      <c r="AC68" t="e">
        <f>VLOOKUP($C68,'Hist Data'!$A$2:$CN$428,'Unchained Indices'!AC$2,0)/VLOOKUP($C67,'Hist Data'!$A$2:$CN$428,'Unchained Indices'!AC$2,0)-1</f>
        <v>#N/A</v>
      </c>
      <c r="AD68" t="e">
        <f>VLOOKUP($C68,'Hist Data'!$A$2:$CN$428,'Unchained Indices'!AD$2,0)/VLOOKUP($C67,'Hist Data'!$A$2:$CN$428,'Unchained Indices'!AD$2,0)-1</f>
        <v>#N/A</v>
      </c>
      <c r="AE68" t="e">
        <f>VLOOKUP($C68,'Hist Data'!$A$2:$CN$428,'Unchained Indices'!AE$2,0)/VLOOKUP($C67,'Hist Data'!$A$2:$CN$428,'Unchained Indices'!AE$2,0)-1</f>
        <v>#N/A</v>
      </c>
      <c r="AF68" t="e">
        <f>VLOOKUP($C68,'Hist Data'!$A$2:$CN$428,'Unchained Indices'!AF$2,0)/VLOOKUP($C67,'Hist Data'!$A$2:$CN$428,'Unchained Indices'!AF$2,0)-1</f>
        <v>#N/A</v>
      </c>
      <c r="AG68" t="e">
        <f>VLOOKUP($C68,'Hist Data'!$A$2:$CN$428,'Unchained Indices'!AG$2,0)/VLOOKUP($C67,'Hist Data'!$A$2:$CN$428,'Unchained Indices'!AG$2,0)-1</f>
        <v>#N/A</v>
      </c>
      <c r="AH68" t="e">
        <f>VLOOKUP($C68,'Hist Data'!$A$2:$CN$428,'Unchained Indices'!AH$2,0)/VLOOKUP($C67,'Hist Data'!$A$2:$CN$428,'Unchained Indices'!AH$2,0)-1</f>
        <v>#N/A</v>
      </c>
      <c r="AI68" t="e">
        <f>VLOOKUP($C68,'Hist Data'!$A$2:$CN$428,'Unchained Indices'!AI$2,0)/VLOOKUP($C67,'Hist Data'!$A$2:$CN$428,'Unchained Indices'!AI$2,0)-1</f>
        <v>#N/A</v>
      </c>
      <c r="AJ68" t="e">
        <f>VLOOKUP($C68,'Hist Data'!$A$2:$CN$428,'Unchained Indices'!AJ$2,0)/VLOOKUP($C67,'Hist Data'!$A$2:$CN$428,'Unchained Indices'!AJ$2,0)-1</f>
        <v>#N/A</v>
      </c>
      <c r="AK68" t="e">
        <f>VLOOKUP($C68,'Hist Data'!$A$2:$CN$428,'Unchained Indices'!AK$2,0)/VLOOKUP($C67,'Hist Data'!$A$2:$CN$428,'Unchained Indices'!AK$2,0)-1</f>
        <v>#N/A</v>
      </c>
      <c r="AL68" t="e">
        <f>VLOOKUP($C68,'Hist Data'!$A$2:$CN$428,'Unchained Indices'!AL$2,0)/VLOOKUP($C67,'Hist Data'!$A$2:$CN$428,'Unchained Indices'!AL$2,0)-1</f>
        <v>#N/A</v>
      </c>
      <c r="AM68" t="e">
        <f>VLOOKUP($C68,'Hist Data'!$A$2:$CN$428,'Unchained Indices'!AM$2,0)/VLOOKUP($C67,'Hist Data'!$A$2:$CN$428,'Unchained Indices'!AM$2,0)-1</f>
        <v>#N/A</v>
      </c>
      <c r="AN68" t="e">
        <f>VLOOKUP($C68,'Hist Data'!$A$2:$CN$428,'Unchained Indices'!AN$2,0)/VLOOKUP($C67,'Hist Data'!$A$2:$CN$428,'Unchained Indices'!AN$2,0)-1</f>
        <v>#N/A</v>
      </c>
      <c r="AO68" t="e">
        <f>VLOOKUP($C68,'Hist Data'!$A$2:$CN$428,'Unchained Indices'!AO$2,0)/VLOOKUP($C67,'Hist Data'!$A$2:$CN$428,'Unchained Indices'!AO$2,0)-1</f>
        <v>#N/A</v>
      </c>
      <c r="AP68" t="e">
        <f>VLOOKUP($C68,'Hist Data'!$A$2:$CN$428,'Unchained Indices'!AP$2,0)/VLOOKUP($C67,'Hist Data'!$A$2:$CN$428,'Unchained Indices'!AP$2,0)-1</f>
        <v>#N/A</v>
      </c>
      <c r="AQ68" t="e">
        <f>VLOOKUP($C68,'Hist Data'!$A$2:$CN$428,'Unchained Indices'!AQ$2,0)/VLOOKUP($C67,'Hist Data'!$A$2:$CN$428,'Unchained Indices'!AQ$2,0)-1</f>
        <v>#N/A</v>
      </c>
      <c r="AR68" t="e">
        <f>VLOOKUP($C68,'Hist Data'!$A$2:$CN$428,'Unchained Indices'!AR$2,0)/VLOOKUP($C67,'Hist Data'!$A$2:$CN$428,'Unchained Indices'!AR$2,0)-1</f>
        <v>#N/A</v>
      </c>
      <c r="AS68" t="e">
        <f>VLOOKUP($C68,'Hist Data'!$A$2:$CN$428,'Unchained Indices'!AS$2,0)/VLOOKUP($C67,'Hist Data'!$A$2:$CN$428,'Unchained Indices'!AS$2,0)-1</f>
        <v>#N/A</v>
      </c>
      <c r="AT68" t="e">
        <f>VLOOKUP($C68,'Hist Data'!$A$2:$CN$428,'Unchained Indices'!AT$2,0)/VLOOKUP($C67,'Hist Data'!$A$2:$CN$428,'Unchained Indices'!AT$2,0)-1</f>
        <v>#N/A</v>
      </c>
      <c r="AU68" t="e">
        <f>VLOOKUP($C68,'Hist Data'!$A$2:$CN$428,'Unchained Indices'!AU$2,0)/VLOOKUP($C67,'Hist Data'!$A$2:$CN$428,'Unchained Indices'!AU$2,0)-1</f>
        <v>#N/A</v>
      </c>
      <c r="AV68" t="e">
        <f>VLOOKUP($C68,'Hist Data'!$A$2:$CN$428,'Unchained Indices'!AV$2,0)/VLOOKUP($C67,'Hist Data'!$A$2:$CN$428,'Unchained Indices'!AV$2,0)-1</f>
        <v>#N/A</v>
      </c>
      <c r="AW68" t="e">
        <f>VLOOKUP($C68,'Hist Data'!$A$2:$CN$428,'Unchained Indices'!AW$2,0)/VLOOKUP($C67,'Hist Data'!$A$2:$CN$428,'Unchained Indices'!AW$2,0)-1</f>
        <v>#N/A</v>
      </c>
      <c r="AX68" t="e">
        <f>VLOOKUP($C68,'Hist Data'!$A$2:$CN$428,'Unchained Indices'!AX$2,0)/VLOOKUP($C67,'Hist Data'!$A$2:$CN$428,'Unchained Indices'!AX$2,0)-1</f>
        <v>#N/A</v>
      </c>
      <c r="AY68" t="e">
        <f>VLOOKUP($C68,'Hist Data'!$A$2:$CN$428,'Unchained Indices'!AY$2,0)/VLOOKUP($C67,'Hist Data'!$A$2:$CN$428,'Unchained Indices'!AY$2,0)-1</f>
        <v>#N/A</v>
      </c>
      <c r="AZ68" t="e">
        <f>VLOOKUP($C68,'Hist Data'!$A$2:$CN$428,'Unchained Indices'!AZ$2,0)/VLOOKUP($C67,'Hist Data'!$A$2:$CN$428,'Unchained Indices'!AZ$2,0)-1</f>
        <v>#N/A</v>
      </c>
      <c r="BA68" t="e">
        <f>VLOOKUP($C68,'Hist Data'!$A$2:$CN$428,'Unchained Indices'!BA$2,0)/VLOOKUP($C67,'Hist Data'!$A$2:$CN$428,'Unchained Indices'!BA$2,0)-1</f>
        <v>#N/A</v>
      </c>
      <c r="BB68" t="e">
        <f>VLOOKUP($C68,'Hist Data'!$A$2:$CN$428,'Unchained Indices'!BB$2,0)/VLOOKUP($C67,'Hist Data'!$A$2:$CN$428,'Unchained Indices'!BB$2,0)-1</f>
        <v>#N/A</v>
      </c>
      <c r="BC68" t="e">
        <f>VLOOKUP($C68,'Hist Data'!$A$2:$CN$428,'Unchained Indices'!BC$2,0)/VLOOKUP($C67,'Hist Data'!$A$2:$CN$428,'Unchained Indices'!BC$2,0)-1</f>
        <v>#N/A</v>
      </c>
      <c r="BD68" t="e">
        <f>VLOOKUP($C68,'Hist Data'!$A$2:$CN$428,'Unchained Indices'!BD$2,0)/VLOOKUP($C67,'Hist Data'!$A$2:$CN$428,'Unchained Indices'!BD$2,0)-1</f>
        <v>#N/A</v>
      </c>
      <c r="BE68" t="e">
        <f>VLOOKUP($C68,'Hist Data'!$A$2:$CN$428,'Unchained Indices'!BE$2,0)/VLOOKUP($C67,'Hist Data'!$A$2:$CN$428,'Unchained Indices'!BE$2,0)-1</f>
        <v>#N/A</v>
      </c>
      <c r="BF68" t="e">
        <f>VLOOKUP($C68,'Hist Data'!$A$2:$CN$428,'Unchained Indices'!BF$2,0)/VLOOKUP($C67,'Hist Data'!$A$2:$CN$428,'Unchained Indices'!BF$2,0)-1</f>
        <v>#N/A</v>
      </c>
      <c r="BG68" t="e">
        <f>VLOOKUP($C68,'Hist Data'!$A$2:$CN$428,'Unchained Indices'!BG$2,0)/VLOOKUP($C67,'Hist Data'!$A$2:$CN$428,'Unchained Indices'!BG$2,0)-1</f>
        <v>#N/A</v>
      </c>
      <c r="BH68" t="e">
        <f>VLOOKUP($C68,'Hist Data'!$A$2:$CN$428,'Unchained Indices'!BH$2,0)/VLOOKUP($C67,'Hist Data'!$A$2:$CN$428,'Unchained Indices'!BH$2,0)-1</f>
        <v>#N/A</v>
      </c>
      <c r="BI68" t="e">
        <f>VLOOKUP($C68,'Hist Data'!$A$2:$CN$428,'Unchained Indices'!BI$2,0)/VLOOKUP($C67,'Hist Data'!$A$2:$CN$428,'Unchained Indices'!BI$2,0)-1</f>
        <v>#N/A</v>
      </c>
      <c r="BJ68" t="e">
        <f>VLOOKUP($C68,'Hist Data'!$A$2:$CN$428,'Unchained Indices'!BJ$2,0)/VLOOKUP($C67,'Hist Data'!$A$2:$CN$428,'Unchained Indices'!BJ$2,0)-1</f>
        <v>#N/A</v>
      </c>
      <c r="BK68" t="e">
        <f>VLOOKUP($C68,'Hist Data'!$A$2:$CN$428,'Unchained Indices'!BK$2,0)/VLOOKUP($C67,'Hist Data'!$A$2:$CN$428,'Unchained Indices'!BK$2,0)-1</f>
        <v>#N/A</v>
      </c>
      <c r="BL68" t="e">
        <f>VLOOKUP($C68,'Hist Data'!$A$2:$CN$428,'Unchained Indices'!BL$2,0)/VLOOKUP($C67,'Hist Data'!$A$2:$CN$428,'Unchained Indices'!BL$2,0)-1</f>
        <v>#N/A</v>
      </c>
      <c r="BM68" t="e">
        <f>VLOOKUP($C68,'Hist Data'!$A$2:$CN$428,'Unchained Indices'!BM$2,0)/VLOOKUP($C67,'Hist Data'!$A$2:$CN$428,'Unchained Indices'!BM$2,0)-1</f>
        <v>#N/A</v>
      </c>
      <c r="BN68" t="e">
        <f>VLOOKUP($C68,'Hist Data'!$A$2:$CN$428,'Unchained Indices'!BN$2,0)/VLOOKUP($C67,'Hist Data'!$A$2:$CN$428,'Unchained Indices'!BN$2,0)-1</f>
        <v>#N/A</v>
      </c>
      <c r="BO68" t="e">
        <f>VLOOKUP($C68,'Hist Data'!$A$2:$CN$428,'Unchained Indices'!BO$2,0)/VLOOKUP($C67,'Hist Data'!$A$2:$CN$428,'Unchained Indices'!BO$2,0)-1</f>
        <v>#N/A</v>
      </c>
      <c r="BP68" t="e">
        <f>VLOOKUP($C68,'Hist Data'!$A$2:$CN$428,'Unchained Indices'!BP$2,0)/VLOOKUP($C67,'Hist Data'!$A$2:$CN$428,'Unchained Indices'!BP$2,0)-1</f>
        <v>#N/A</v>
      </c>
      <c r="BQ68" t="e">
        <f>VLOOKUP($C68,'Hist Data'!$A$2:$CN$428,'Unchained Indices'!BQ$2,0)/VLOOKUP($C67,'Hist Data'!$A$2:$CN$428,'Unchained Indices'!BQ$2,0)-1</f>
        <v>#N/A</v>
      </c>
      <c r="BR68" t="e">
        <f>VLOOKUP($C68,'Hist Data'!$A$2:$CN$428,'Unchained Indices'!BR$2,0)/VLOOKUP($C67,'Hist Data'!$A$2:$CN$428,'Unchained Indices'!BR$2,0)-1</f>
        <v>#N/A</v>
      </c>
      <c r="BS68" t="e">
        <f>VLOOKUP($C68,'Hist Data'!$A$2:$CN$428,'Unchained Indices'!BS$2,0)/VLOOKUP($C67,'Hist Data'!$A$2:$CN$428,'Unchained Indices'!BS$2,0)-1</f>
        <v>#N/A</v>
      </c>
      <c r="BT68" t="e">
        <f>VLOOKUP($C68,'Hist Data'!$A$2:$CN$428,'Unchained Indices'!BT$2,0)/VLOOKUP($C67,'Hist Data'!$A$2:$CN$428,'Unchained Indices'!BT$2,0)-1</f>
        <v>#N/A</v>
      </c>
      <c r="BU68" t="e">
        <f>VLOOKUP($C68,'Hist Data'!$A$2:$CN$428,'Unchained Indices'!BU$2,0)/VLOOKUP($C67,'Hist Data'!$A$2:$CN$428,'Unchained Indices'!BU$2,0)-1</f>
        <v>#N/A</v>
      </c>
      <c r="BV68" t="e">
        <f>VLOOKUP($C68,'Hist Data'!$A$2:$CN$428,'Unchained Indices'!BV$2,0)/VLOOKUP($C67,'Hist Data'!$A$2:$CN$428,'Unchained Indices'!BV$2,0)-1</f>
        <v>#N/A</v>
      </c>
      <c r="BW68" t="e">
        <f>VLOOKUP($C68,'Hist Data'!$A$2:$CN$428,'Unchained Indices'!BW$2,0)/VLOOKUP($C67,'Hist Data'!$A$2:$CN$428,'Unchained Indices'!BW$2,0)-1</f>
        <v>#N/A</v>
      </c>
      <c r="BX68" t="e">
        <f>VLOOKUP($C68,'Hist Data'!$A$2:$CN$428,'Unchained Indices'!BX$2,0)/VLOOKUP($C67,'Hist Data'!$A$2:$CN$428,'Unchained Indices'!BX$2,0)-1</f>
        <v>#N/A</v>
      </c>
      <c r="BY68" t="e">
        <f>VLOOKUP($C68,'Hist Data'!$A$2:$CN$428,'Unchained Indices'!BY$2,0)/VLOOKUP($C67,'Hist Data'!$A$2:$CN$428,'Unchained Indices'!BY$2,0)-1</f>
        <v>#N/A</v>
      </c>
      <c r="BZ68" t="e">
        <f>VLOOKUP($C68,'Hist Data'!$A$2:$CN$428,'Unchained Indices'!BZ$2,0)/VLOOKUP($C67,'Hist Data'!$A$2:$CN$428,'Unchained Indices'!BZ$2,0)-1</f>
        <v>#N/A</v>
      </c>
      <c r="CA68" t="e">
        <f>VLOOKUP($C68,'Hist Data'!$A$2:$CN$428,'Unchained Indices'!CA$2,0)/VLOOKUP($C67,'Hist Data'!$A$2:$CN$428,'Unchained Indices'!CA$2,0)-1</f>
        <v>#N/A</v>
      </c>
      <c r="CB68" t="e">
        <f>VLOOKUP($C68,'Hist Data'!$A$2:$CN$428,'Unchained Indices'!CB$2,0)/VLOOKUP($C67,'Hist Data'!$A$2:$CN$428,'Unchained Indices'!CB$2,0)-1</f>
        <v>#N/A</v>
      </c>
      <c r="CC68" t="e">
        <f>VLOOKUP($C68,'Hist Data'!$A$2:$CN$428,'Unchained Indices'!CC$2,0)/VLOOKUP($C67,'Hist Data'!$A$2:$CN$428,'Unchained Indices'!CC$2,0)-1</f>
        <v>#N/A</v>
      </c>
      <c r="CD68" t="e">
        <f>VLOOKUP($C68,'Hist Data'!$A$2:$CN$428,'Unchained Indices'!CD$2,0)/VLOOKUP($C67,'Hist Data'!$A$2:$CN$428,'Unchained Indices'!CD$2,0)-1</f>
        <v>#N/A</v>
      </c>
      <c r="CE68" t="e">
        <f>VLOOKUP($C68,'Hist Data'!$A$2:$CN$428,'Unchained Indices'!CE$2,0)/VLOOKUP($C67,'Hist Data'!$A$2:$CN$428,'Unchained Indices'!CE$2,0)-1</f>
        <v>#N/A</v>
      </c>
      <c r="CF68" t="e">
        <f>VLOOKUP($C68,'Hist Data'!$A$2:$CN$428,'Unchained Indices'!CF$2,0)/VLOOKUP($C67,'Hist Data'!$A$2:$CN$428,'Unchained Indices'!CF$2,0)-1</f>
        <v>#N/A</v>
      </c>
      <c r="CG68" t="e">
        <f>VLOOKUP($C68,'Hist Data'!$A$2:$CN$428,'Unchained Indices'!CG$2,0)/VLOOKUP($C67,'Hist Data'!$A$2:$CN$428,'Unchained Indices'!CG$2,0)-1</f>
        <v>#N/A</v>
      </c>
      <c r="CH68" t="e">
        <f>VLOOKUP($C68,'Hist Data'!$A$2:$CN$428,'Unchained Indices'!CH$2,0)/VLOOKUP($C67,'Hist Data'!$A$2:$CN$428,'Unchained Indices'!CH$2,0)-1</f>
        <v>#N/A</v>
      </c>
      <c r="CI68" t="e">
        <f>VLOOKUP($C68,'Hist Data'!$A$2:$CN$428,'Unchained Indices'!CI$2,0)/VLOOKUP($C67,'Hist Data'!$A$2:$CN$428,'Unchained Indices'!CI$2,0)-1</f>
        <v>#N/A</v>
      </c>
      <c r="CJ68" t="e">
        <f>VLOOKUP($C68,'Hist Data'!$A$2:$CN$428,'Unchained Indices'!CJ$2,0)/VLOOKUP($C67,'Hist Data'!$A$2:$CN$428,'Unchained Indices'!CJ$2,0)-1</f>
        <v>#N/A</v>
      </c>
      <c r="CK68" t="e">
        <f>VLOOKUP($C68,'Hist Data'!$A$2:$CN$428,'Unchained Indices'!CK$2,0)/VLOOKUP($C67,'Hist Data'!$A$2:$CN$428,'Unchained Indices'!CK$2,0)-1</f>
        <v>#N/A</v>
      </c>
      <c r="CL68" t="e">
        <f>VLOOKUP($C68,'Hist Data'!$A$2:$CN$428,'Unchained Indices'!CL$2,0)/VLOOKUP($C67,'Hist Data'!$A$2:$CN$428,'Unchained Indices'!CL$2,0)-1</f>
        <v>#N/A</v>
      </c>
      <c r="CM68" t="e">
        <f>VLOOKUP($C68,'Hist Data'!$A$2:$CN$428,'Unchained Indices'!CM$2,0)/VLOOKUP($C67,'Hist Data'!$A$2:$CN$428,'Unchained Indices'!CM$2,0)-1</f>
        <v>#N/A</v>
      </c>
      <c r="CN68" t="e">
        <f>VLOOKUP($C68,'Hist Data'!$A$2:$CN$428,'Unchained Indices'!CN$2,0)/VLOOKUP($C67,'Hist Data'!$A$2:$CN$428,'Unchained Indices'!CN$2,0)-1</f>
        <v>#N/A</v>
      </c>
      <c r="CO68" t="e">
        <f>VLOOKUP($C68,'Hist Data'!$A$2:$CN$428,'Unchained Indices'!CO$2,0)/VLOOKUP($C67,'Hist Data'!$A$2:$CN$428,'Unchained Indices'!CO$2,0)-1</f>
        <v>#N/A</v>
      </c>
      <c r="CP68" t="e">
        <f>VLOOKUP($C68,'Hist Data'!$A$2:$CN$428,'Unchained Indices'!CP$2,0)/VLOOKUP($C67,'Hist Data'!$A$2:$CN$428,'Unchained Indices'!CP$2,0)-1</f>
        <v>#N/A</v>
      </c>
    </row>
    <row r="69" spans="1:94" x14ac:dyDescent="0.25">
      <c r="B69" t="s">
        <v>128</v>
      </c>
    </row>
    <row r="70" spans="1:94" x14ac:dyDescent="0.25">
      <c r="A70" t="s">
        <v>123</v>
      </c>
      <c r="B70">
        <f ca="1">SUM(D70:CP70)</f>
        <v>1.0000000000000002</v>
      </c>
      <c r="C70">
        <f>YEAR(A3)</f>
        <v>2022</v>
      </c>
      <c r="D70">
        <f ca="1">OFFSET('Hist Weights'!B$1,MATCH($C70,'Hist Weights'!$A$2:$A$20,0)+1,0)/1000</f>
        <v>4.0000000000000001E-3</v>
      </c>
      <c r="E70">
        <f ca="1">OFFSET('Hist Weights'!C$1,MATCH($C70,'Hist Weights'!$A$2:$A$20,0)+1,0)/1000</f>
        <v>4.0000000000000001E-3</v>
      </c>
      <c r="F70">
        <f ca="1">OFFSET('Hist Weights'!D$1,MATCH($C70,'Hist Weights'!$A$2:$A$20,0)+1,0)/1000</f>
        <v>7.0000000000000001E-3</v>
      </c>
      <c r="G70">
        <f ca="1">OFFSET('Hist Weights'!E$1,MATCH($C70,'Hist Weights'!$A$2:$A$20,0)+1,0)/1000</f>
        <v>4.0000000000000001E-3</v>
      </c>
      <c r="H70">
        <f ca="1">OFFSET('Hist Weights'!F$1,MATCH($C70,'Hist Weights'!$A$2:$A$20,0)+1,0)/1000</f>
        <v>1E-3</v>
      </c>
      <c r="I70">
        <f ca="1">OFFSET('Hist Weights'!G$1,MATCH($C70,'Hist Weights'!$A$2:$A$20,0)+1,0)/1000</f>
        <v>0</v>
      </c>
      <c r="J70">
        <f ca="1">OFFSET('Hist Weights'!H$1,MATCH($C70,'Hist Weights'!$A$2:$A$20,0)+1,0)/1000</f>
        <v>1E-3</v>
      </c>
      <c r="K70">
        <f ca="1">OFFSET('Hist Weights'!I$1,MATCH($C70,'Hist Weights'!$A$2:$A$20,0)+1,0)/1000</f>
        <v>1E-3</v>
      </c>
      <c r="L70">
        <f ca="1">OFFSET('Hist Weights'!J$1,MATCH($C70,'Hist Weights'!$A$2:$A$20,0)+1,0)/1000</f>
        <v>4.0000000000000001E-3</v>
      </c>
      <c r="M70">
        <f ca="1">OFFSET('Hist Weights'!K$1,MATCH($C70,'Hist Weights'!$A$2:$A$20,0)+1,0)/1000</f>
        <v>7.0000000000000001E-3</v>
      </c>
      <c r="N70">
        <f ca="1">OFFSET('Hist Weights'!L$1,MATCH($C70,'Hist Weights'!$A$2:$A$20,0)+1,0)/1000</f>
        <v>4.0000000000000001E-3</v>
      </c>
      <c r="O70">
        <f ca="1">OFFSET('Hist Weights'!M$1,MATCH($C70,'Hist Weights'!$A$2:$A$20,0)+1,0)/1000</f>
        <v>0</v>
      </c>
      <c r="P70">
        <f ca="1">OFFSET('Hist Weights'!N$1,MATCH($C70,'Hist Weights'!$A$2:$A$20,0)+1,0)/1000</f>
        <v>0</v>
      </c>
      <c r="Q70">
        <f ca="1">OFFSET('Hist Weights'!O$1,MATCH($C70,'Hist Weights'!$A$2:$A$20,0)+1,0)/1000</f>
        <v>1E-3</v>
      </c>
      <c r="R70">
        <f ca="1">OFFSET('Hist Weights'!P$1,MATCH($C70,'Hist Weights'!$A$2:$A$20,0)+1,0)/1000</f>
        <v>2E-3</v>
      </c>
      <c r="S70">
        <f ca="1">OFFSET('Hist Weights'!Q$1,MATCH($C70,'Hist Weights'!$A$2:$A$20,0)+1,0)/1000</f>
        <v>4.0000000000000001E-3</v>
      </c>
      <c r="T70">
        <f ca="1">OFFSET('Hist Weights'!R$1,MATCH($C70,'Hist Weights'!$A$2:$A$20,0)+1,0)/1000</f>
        <v>1E-3</v>
      </c>
      <c r="U70">
        <f ca="1">OFFSET('Hist Weights'!S$1,MATCH($C70,'Hist Weights'!$A$2:$A$20,0)+1,0)/1000</f>
        <v>3.0000000000000001E-3</v>
      </c>
      <c r="V70">
        <f ca="1">OFFSET('Hist Weights'!T$1,MATCH($C70,'Hist Weights'!$A$2:$A$20,0)+1,0)/1000</f>
        <v>5.0000000000000001E-3</v>
      </c>
      <c r="W70">
        <f ca="1">OFFSET('Hist Weights'!U$1,MATCH($C70,'Hist Weights'!$A$2:$A$20,0)+1,0)/1000</f>
        <v>1E-3</v>
      </c>
      <c r="X70">
        <f ca="1">OFFSET('Hist Weights'!V$1,MATCH($C70,'Hist Weights'!$A$2:$A$20,0)+1,0)/1000</f>
        <v>2E-3</v>
      </c>
      <c r="Y70">
        <f ca="1">OFFSET('Hist Weights'!W$1,MATCH($C70,'Hist Weights'!$A$2:$A$20,0)+1,0)/1000</f>
        <v>8.9999999999999993E-3</v>
      </c>
      <c r="Z70">
        <f ca="1">OFFSET('Hist Weights'!X$1,MATCH($C70,'Hist Weights'!$A$2:$A$20,0)+1,0)/1000</f>
        <v>2E-3</v>
      </c>
      <c r="AA70">
        <f ca="1">OFFSET('Hist Weights'!Y$1,MATCH($C70,'Hist Weights'!$A$2:$A$20,0)+1,0)/1000</f>
        <v>1.4E-2</v>
      </c>
      <c r="AB70">
        <f ca="1">OFFSET('Hist Weights'!Z$1,MATCH($C70,'Hist Weights'!$A$2:$A$20,0)+1,0)/1000</f>
        <v>5.0000000000000001E-3</v>
      </c>
      <c r="AC70">
        <f ca="1">OFFSET('Hist Weights'!AA$1,MATCH($C70,'Hist Weights'!$A$2:$A$20,0)+1,0)/1000</f>
        <v>0</v>
      </c>
      <c r="AD70">
        <f ca="1">OFFSET('Hist Weights'!AB$1,MATCH($C70,'Hist Weights'!$A$2:$A$20,0)+1,0)/1000</f>
        <v>0</v>
      </c>
      <c r="AE70">
        <f ca="1">OFFSET('Hist Weights'!AC$1,MATCH($C70,'Hist Weights'!$A$2:$A$20,0)+1,0)/1000</f>
        <v>8.9999999999999993E-3</v>
      </c>
      <c r="AF70">
        <f ca="1">OFFSET('Hist Weights'!AD$1,MATCH($C70,'Hist Weights'!$A$2:$A$20,0)+1,0)/1000</f>
        <v>0</v>
      </c>
      <c r="AG70">
        <f ca="1">OFFSET('Hist Weights'!AE$1,MATCH($C70,'Hist Weights'!$A$2:$A$20,0)+1,0)/1000</f>
        <v>0</v>
      </c>
      <c r="AH70">
        <f ca="1">OFFSET('Hist Weights'!AF$1,MATCH($C70,'Hist Weights'!$A$2:$A$20,0)+1,0)/1000</f>
        <v>0.01</v>
      </c>
      <c r="AI70">
        <f ca="1">OFFSET('Hist Weights'!AG$1,MATCH($C70,'Hist Weights'!$A$2:$A$20,0)+1,0)/1000</f>
        <v>0</v>
      </c>
      <c r="AJ70">
        <f ca="1">OFFSET('Hist Weights'!AH$1,MATCH($C70,'Hist Weights'!$A$2:$A$20,0)+1,0)/1000</f>
        <v>0</v>
      </c>
      <c r="AK70">
        <f ca="1">OFFSET('Hist Weights'!AI$1,MATCH($C70,'Hist Weights'!$A$2:$A$20,0)+1,0)/1000</f>
        <v>1.4999999999999999E-2</v>
      </c>
      <c r="AL70">
        <f ca="1">OFFSET('Hist Weights'!AJ$1,MATCH($C70,'Hist Weights'!$A$2:$A$20,0)+1,0)/1000</f>
        <v>1.0999999999999999E-2</v>
      </c>
      <c r="AM70">
        <f ca="1">OFFSET('Hist Weights'!AK$1,MATCH($C70,'Hist Weights'!$A$2:$A$20,0)+1,0)/1000</f>
        <v>1E-3</v>
      </c>
      <c r="AN70">
        <f ca="1">OFFSET('Hist Weights'!AL$1,MATCH($C70,'Hist Weights'!$A$2:$A$20,0)+1,0)/1000</f>
        <v>1.4E-2</v>
      </c>
      <c r="AO70">
        <f ca="1">OFFSET('Hist Weights'!AM$1,MATCH($C70,'Hist Weights'!$A$2:$A$20,0)+1,0)/1000</f>
        <v>0</v>
      </c>
      <c r="AP70">
        <f ca="1">OFFSET('Hist Weights'!AN$1,MATCH($C70,'Hist Weights'!$A$2:$A$20,0)+1,0)/1000</f>
        <v>8.0000000000000002E-3</v>
      </c>
      <c r="AQ70">
        <f ca="1">OFFSET('Hist Weights'!AO$1,MATCH($C70,'Hist Weights'!$A$2:$A$20,0)+1,0)/1000</f>
        <v>8.9999999999999993E-3</v>
      </c>
      <c r="AR70">
        <f ca="1">OFFSET('Hist Weights'!AP$1,MATCH($C70,'Hist Weights'!$A$2:$A$20,0)+1,0)/1000</f>
        <v>0</v>
      </c>
      <c r="AS70">
        <f ca="1">OFFSET('Hist Weights'!AQ$1,MATCH($C70,'Hist Weights'!$A$2:$A$20,0)+1,0)/1000</f>
        <v>1.0999999999999999E-2</v>
      </c>
      <c r="AT70">
        <f ca="1">OFFSET('Hist Weights'!AR$1,MATCH($C70,'Hist Weights'!$A$2:$A$20,0)+1,0)/1000</f>
        <v>2.1999999999999999E-2</v>
      </c>
      <c r="AU70">
        <f ca="1">OFFSET('Hist Weights'!AS$1,MATCH($C70,'Hist Weights'!$A$2:$A$20,0)+1,0)/1000</f>
        <v>0.02</v>
      </c>
      <c r="AV70">
        <f ca="1">OFFSET('Hist Weights'!AT$1,MATCH($C70,'Hist Weights'!$A$2:$A$20,0)+1,0)/1000</f>
        <v>7.0000000000000001E-3</v>
      </c>
      <c r="AW70">
        <f ca="1">OFFSET('Hist Weights'!AU$1,MATCH($C70,'Hist Weights'!$A$2:$A$20,0)+1,0)/1000</f>
        <v>8.4000000000000005E-2</v>
      </c>
      <c r="AX70">
        <f ca="1">OFFSET('Hist Weights'!AV$1,MATCH($C70,'Hist Weights'!$A$2:$A$20,0)+1,0)/1000</f>
        <v>2.4E-2</v>
      </c>
      <c r="AY70">
        <f ca="1">OFFSET('Hist Weights'!AW$1,MATCH($C70,'Hist Weights'!$A$2:$A$20,0)+1,0)/1000</f>
        <v>0.10299999999999999</v>
      </c>
      <c r="AZ70">
        <f ca="1">OFFSET('Hist Weights'!AX$1,MATCH($C70,'Hist Weights'!$A$2:$A$20,0)+1,0)/1000</f>
        <v>4.9000000000000002E-2</v>
      </c>
      <c r="BA70">
        <f ca="1">OFFSET('Hist Weights'!AY$1,MATCH($C70,'Hist Weights'!$A$2:$A$20,0)+1,0)/1000</f>
        <v>1.2999999999999999E-2</v>
      </c>
      <c r="BB70">
        <f ca="1">OFFSET('Hist Weights'!AZ$1,MATCH($C70,'Hist Weights'!$A$2:$A$20,0)+1,0)/1000</f>
        <v>0.01</v>
      </c>
      <c r="BC70">
        <f ca="1">OFFSET('Hist Weights'!BA$1,MATCH($C70,'Hist Weights'!$A$2:$A$20,0)+1,0)/1000</f>
        <v>1.2999999999999999E-2</v>
      </c>
      <c r="BD70">
        <f ca="1">OFFSET('Hist Weights'!BB$1,MATCH($C70,'Hist Weights'!$A$2:$A$20,0)+1,0)/1000</f>
        <v>8.0000000000000002E-3</v>
      </c>
      <c r="BE70">
        <f ca="1">OFFSET('Hist Weights'!BC$1,MATCH($C70,'Hist Weights'!$A$2:$A$20,0)+1,0)/1000</f>
        <v>1E-3</v>
      </c>
      <c r="BF70">
        <f ca="1">OFFSET('Hist Weights'!BD$1,MATCH($C70,'Hist Weights'!$A$2:$A$20,0)+1,0)/1000</f>
        <v>2.5000000000000001E-2</v>
      </c>
      <c r="BG70">
        <f ca="1">OFFSET('Hist Weights'!BE$1,MATCH($C70,'Hist Weights'!$A$2:$A$20,0)+1,0)/1000</f>
        <v>0.02</v>
      </c>
      <c r="BH70">
        <f ca="1">OFFSET('Hist Weights'!BF$1,MATCH($C70,'Hist Weights'!$A$2:$A$20,0)+1,0)/1000</f>
        <v>2E-3</v>
      </c>
      <c r="BI70">
        <f ca="1">OFFSET('Hist Weights'!BG$1,MATCH($C70,'Hist Weights'!$A$2:$A$20,0)+1,0)/1000</f>
        <v>0.03</v>
      </c>
      <c r="BJ70">
        <f ca="1">OFFSET('Hist Weights'!BH$1,MATCH($C70,'Hist Weights'!$A$2:$A$20,0)+1,0)/1000</f>
        <v>0.01</v>
      </c>
      <c r="BK70">
        <f ca="1">OFFSET('Hist Weights'!BI$1,MATCH($C70,'Hist Weights'!$A$2:$A$20,0)+1,0)/1000</f>
        <v>7.0000000000000001E-3</v>
      </c>
      <c r="BL70">
        <f ca="1">OFFSET('Hist Weights'!BJ$1,MATCH($C70,'Hist Weights'!$A$2:$A$20,0)+1,0)/1000</f>
        <v>5.0000000000000001E-3</v>
      </c>
      <c r="BM70">
        <f ca="1">OFFSET('Hist Weights'!BK$1,MATCH($C70,'Hist Weights'!$A$2:$A$20,0)+1,0)/1000</f>
        <v>1.2999999999999999E-2</v>
      </c>
      <c r="BN70">
        <f ca="1">OFFSET('Hist Weights'!BL$1,MATCH($C70,'Hist Weights'!$A$2:$A$20,0)+1,0)/1000</f>
        <v>1.0999999999999999E-2</v>
      </c>
      <c r="BO70">
        <f ca="1">OFFSET('Hist Weights'!BM$1,MATCH($C70,'Hist Weights'!$A$2:$A$20,0)+1,0)/1000</f>
        <v>1E-3</v>
      </c>
      <c r="BP70">
        <f ca="1">OFFSET('Hist Weights'!BN$1,MATCH($C70,'Hist Weights'!$A$2:$A$20,0)+1,0)/1000</f>
        <v>2.5000000000000001E-2</v>
      </c>
      <c r="BQ70">
        <f ca="1">OFFSET('Hist Weights'!BO$1,MATCH($C70,'Hist Weights'!$A$2:$A$20,0)+1,0)/1000</f>
        <v>7.0000000000000001E-3</v>
      </c>
      <c r="BR70">
        <f ca="1">OFFSET('Hist Weights'!BP$1,MATCH($C70,'Hist Weights'!$A$2:$A$20,0)+1,0)/1000</f>
        <v>2.7E-2</v>
      </c>
      <c r="BS70">
        <f ca="1">OFFSET('Hist Weights'!BQ$1,MATCH($C70,'Hist Weights'!$A$2:$A$20,0)+1,0)/1000</f>
        <v>6.0000000000000001E-3</v>
      </c>
      <c r="BT70">
        <f ca="1">OFFSET('Hist Weights'!BR$1,MATCH($C70,'Hist Weights'!$A$2:$A$20,0)+1,0)/1000</f>
        <v>0.01</v>
      </c>
      <c r="BU70">
        <f ca="1">OFFSET('Hist Weights'!BS$1,MATCH($C70,'Hist Weights'!$A$2:$A$20,0)+1,0)/1000</f>
        <v>3.0000000000000001E-3</v>
      </c>
      <c r="BV70">
        <f ca="1">OFFSET('Hist Weights'!BT$1,MATCH($C70,'Hist Weights'!$A$2:$A$20,0)+1,0)/1000</f>
        <v>5.0000000000000001E-3</v>
      </c>
      <c r="BW70">
        <f ca="1">OFFSET('Hist Weights'!BU$1,MATCH($C70,'Hist Weights'!$A$2:$A$20,0)+1,0)/1000</f>
        <v>5.0000000000000001E-3</v>
      </c>
      <c r="BX70">
        <f ca="1">OFFSET('Hist Weights'!BV$1,MATCH($C70,'Hist Weights'!$A$2:$A$20,0)+1,0)/1000</f>
        <v>1.0999999999999999E-2</v>
      </c>
      <c r="BY70">
        <f ca="1">OFFSET('Hist Weights'!BW$1,MATCH($C70,'Hist Weights'!$A$2:$A$20,0)+1,0)/1000</f>
        <v>1.7000000000000001E-2</v>
      </c>
      <c r="BZ70">
        <f ca="1">OFFSET('Hist Weights'!BX$1,MATCH($C70,'Hist Weights'!$A$2:$A$20,0)+1,0)/1000</f>
        <v>1.2999999999999999E-2</v>
      </c>
      <c r="CA70">
        <f ca="1">OFFSET('Hist Weights'!BY$1,MATCH($C70,'Hist Weights'!$A$2:$A$20,0)+1,0)/1000</f>
        <v>6.4000000000000001E-2</v>
      </c>
      <c r="CB70">
        <f ca="1">OFFSET('Hist Weights'!BZ$1,MATCH($C70,'Hist Weights'!$A$2:$A$20,0)+1,0)/1000</f>
        <v>1.7999999999999999E-2</v>
      </c>
      <c r="CC70">
        <f ca="1">OFFSET('Hist Weights'!CA$1,MATCH($C70,'Hist Weights'!$A$2:$A$20,0)+1,0)/1000</f>
        <v>2.8000000000000001E-2</v>
      </c>
      <c r="CD70">
        <f ca="1">OFFSET('Hist Weights'!CB$1,MATCH($C70,'Hist Weights'!$A$2:$A$20,0)+1,0)/1000</f>
        <v>2.5999999999999999E-2</v>
      </c>
      <c r="CE70">
        <f ca="1">OFFSET('Hist Weights'!CC$1,MATCH($C70,'Hist Weights'!$A$2:$A$20,0)+1,0)/1000</f>
        <v>1E-3</v>
      </c>
      <c r="CF70">
        <f ca="1">OFFSET('Hist Weights'!CD$1,MATCH($C70,'Hist Weights'!$A$2:$A$20,0)+1,0)/1000</f>
        <v>1E-3</v>
      </c>
      <c r="CG70">
        <f ca="1">OFFSET('Hist Weights'!CE$1,MATCH($C70,'Hist Weights'!$A$2:$A$20,0)+1,0)/1000</f>
        <v>8.9999999999999993E-3</v>
      </c>
      <c r="CH70">
        <f ca="1">OFFSET('Hist Weights'!CF$1,MATCH($C70,'Hist Weights'!$A$2:$A$20,0)+1,0)/1000</f>
        <v>7.0000000000000001E-3</v>
      </c>
      <c r="CI70">
        <f ca="1">OFFSET('Hist Weights'!CG$1,MATCH($C70,'Hist Weights'!$A$2:$A$20,0)+1,0)/1000</f>
        <v>1E-3</v>
      </c>
      <c r="CJ70">
        <f ca="1">OFFSET('Hist Weights'!CH$1,MATCH($C70,'Hist Weights'!$A$2:$A$20,0)+1,0)/1000</f>
        <v>1.0999999999999999E-2</v>
      </c>
      <c r="CK70">
        <f ca="1">OFFSET('Hist Weights'!CI$1,MATCH($C70,'Hist Weights'!$A$2:$A$20,0)+1,0)/1000</f>
        <v>5.0000000000000001E-3</v>
      </c>
      <c r="CL70">
        <f ca="1">OFFSET('Hist Weights'!CJ$1,MATCH($C70,'Hist Weights'!$A$2:$A$20,0)+1,0)/1000</f>
        <v>8.9999999999999993E-3</v>
      </c>
      <c r="CM70">
        <f ca="1">OFFSET('Hist Weights'!CK$1,MATCH($C70,'Hist Weights'!$A$2:$A$20,0)+1,0)/1000</f>
        <v>1.4999999999999999E-2</v>
      </c>
      <c r="CN70">
        <f ca="1">OFFSET('Hist Weights'!CL$1,MATCH($C70,'Hist Weights'!$A$2:$A$20,0)+1,0)/1000</f>
        <v>8.0000000000000002E-3</v>
      </c>
      <c r="CO70">
        <f ca="1">OFFSET('Hist Weights'!CM$1,MATCH($C70,'Hist Weights'!$A$2:$A$20,0)+1,0)/1000</f>
        <v>8.0000000000000002E-3</v>
      </c>
      <c r="CP70">
        <f ca="1">OFFSET('Hist Weights'!CN$1,MATCH($C70,'Hist Weights'!$A$2:$A$20,0)+1,0)/1000</f>
        <v>8.0000000000000002E-3</v>
      </c>
    </row>
    <row r="71" spans="1:94" x14ac:dyDescent="0.25">
      <c r="C71">
        <f>YEAR(A17)</f>
        <v>2023</v>
      </c>
      <c r="D71">
        <f ca="1">OFFSET('Hist Weights'!B$1,MATCH($C71,'Hist Weights'!$A$2:$A$20,0),0)/1000</f>
        <v>4.0000000000000001E-3</v>
      </c>
      <c r="E71">
        <f ca="1">OFFSET('Hist Weights'!C$1,MATCH($C71,'Hist Weights'!$A$2:$A$20,0),0)/1000</f>
        <v>4.0000000000000001E-3</v>
      </c>
      <c r="F71">
        <f ca="1">OFFSET('Hist Weights'!D$1,MATCH($C71,'Hist Weights'!$A$2:$A$20,0),0)/1000</f>
        <v>7.0000000000000001E-3</v>
      </c>
      <c r="G71">
        <f ca="1">OFFSET('Hist Weights'!E$1,MATCH($C71,'Hist Weights'!$A$2:$A$20,0),0)/1000</f>
        <v>4.0000000000000001E-3</v>
      </c>
      <c r="H71">
        <f ca="1">OFFSET('Hist Weights'!F$1,MATCH($C71,'Hist Weights'!$A$2:$A$20,0),0)/1000</f>
        <v>1E-3</v>
      </c>
      <c r="I71">
        <f ca="1">OFFSET('Hist Weights'!G$1,MATCH($C71,'Hist Weights'!$A$2:$A$20,0),0)/1000</f>
        <v>0</v>
      </c>
      <c r="J71">
        <f ca="1">OFFSET('Hist Weights'!H$1,MATCH($C71,'Hist Weights'!$A$2:$A$20,0),0)/1000</f>
        <v>1E-3</v>
      </c>
      <c r="K71">
        <f ca="1">OFFSET('Hist Weights'!I$1,MATCH($C71,'Hist Weights'!$A$2:$A$20,0),0)/1000</f>
        <v>1E-3</v>
      </c>
      <c r="L71">
        <f ca="1">OFFSET('Hist Weights'!J$1,MATCH($C71,'Hist Weights'!$A$2:$A$20,0),0)/1000</f>
        <v>4.0000000000000001E-3</v>
      </c>
      <c r="M71">
        <f ca="1">OFFSET('Hist Weights'!K$1,MATCH($C71,'Hist Weights'!$A$2:$A$20,0),0)/1000</f>
        <v>7.0000000000000001E-3</v>
      </c>
      <c r="N71">
        <f ca="1">OFFSET('Hist Weights'!L$1,MATCH($C71,'Hist Weights'!$A$2:$A$20,0),0)/1000</f>
        <v>4.0000000000000001E-3</v>
      </c>
      <c r="O71">
        <f ca="1">OFFSET('Hist Weights'!M$1,MATCH($C71,'Hist Weights'!$A$2:$A$20,0),0)/1000</f>
        <v>0</v>
      </c>
      <c r="P71">
        <f ca="1">OFFSET('Hist Weights'!N$1,MATCH($C71,'Hist Weights'!$A$2:$A$20,0),0)/1000</f>
        <v>0</v>
      </c>
      <c r="Q71">
        <f ca="1">OFFSET('Hist Weights'!O$1,MATCH($C71,'Hist Weights'!$A$2:$A$20,0),0)/1000</f>
        <v>1E-3</v>
      </c>
      <c r="R71">
        <f ca="1">OFFSET('Hist Weights'!P$1,MATCH($C71,'Hist Weights'!$A$2:$A$20,0),0)/1000</f>
        <v>2E-3</v>
      </c>
      <c r="S71">
        <f ca="1">OFFSET('Hist Weights'!Q$1,MATCH($C71,'Hist Weights'!$A$2:$A$20,0),0)/1000</f>
        <v>4.0000000000000001E-3</v>
      </c>
      <c r="T71">
        <f ca="1">OFFSET('Hist Weights'!R$1,MATCH($C71,'Hist Weights'!$A$2:$A$20,0),0)/1000</f>
        <v>1E-3</v>
      </c>
      <c r="U71">
        <f ca="1">OFFSET('Hist Weights'!S$1,MATCH($C71,'Hist Weights'!$A$2:$A$20,0),0)/1000</f>
        <v>3.0000000000000001E-3</v>
      </c>
      <c r="V71">
        <f ca="1">OFFSET('Hist Weights'!T$1,MATCH($C71,'Hist Weights'!$A$2:$A$20,0),0)/1000</f>
        <v>5.0000000000000001E-3</v>
      </c>
      <c r="W71">
        <f ca="1">OFFSET('Hist Weights'!U$1,MATCH($C71,'Hist Weights'!$A$2:$A$20,0),0)/1000</f>
        <v>1E-3</v>
      </c>
      <c r="X71">
        <f ca="1">OFFSET('Hist Weights'!V$1,MATCH($C71,'Hist Weights'!$A$2:$A$20,0),0)/1000</f>
        <v>2E-3</v>
      </c>
      <c r="Y71">
        <f ca="1">OFFSET('Hist Weights'!W$1,MATCH($C71,'Hist Weights'!$A$2:$A$20,0),0)/1000</f>
        <v>8.9999999999999993E-3</v>
      </c>
      <c r="Z71">
        <f ca="1">OFFSET('Hist Weights'!X$1,MATCH($C71,'Hist Weights'!$A$2:$A$20,0),0)/1000</f>
        <v>2E-3</v>
      </c>
      <c r="AA71">
        <f ca="1">OFFSET('Hist Weights'!Y$1,MATCH($C71,'Hist Weights'!$A$2:$A$20,0),0)/1000</f>
        <v>1.4E-2</v>
      </c>
      <c r="AB71">
        <f ca="1">OFFSET('Hist Weights'!Z$1,MATCH($C71,'Hist Weights'!$A$2:$A$20,0),0)/1000</f>
        <v>5.0000000000000001E-3</v>
      </c>
      <c r="AC71">
        <f ca="1">OFFSET('Hist Weights'!AA$1,MATCH($C71,'Hist Weights'!$A$2:$A$20,0),0)/1000</f>
        <v>0</v>
      </c>
      <c r="AD71">
        <f ca="1">OFFSET('Hist Weights'!AB$1,MATCH($C71,'Hist Weights'!$A$2:$A$20,0),0)/1000</f>
        <v>0</v>
      </c>
      <c r="AE71">
        <f ca="1">OFFSET('Hist Weights'!AC$1,MATCH($C71,'Hist Weights'!$A$2:$A$20,0),0)/1000</f>
        <v>8.9999999999999993E-3</v>
      </c>
      <c r="AF71">
        <f ca="1">OFFSET('Hist Weights'!AD$1,MATCH($C71,'Hist Weights'!$A$2:$A$20,0),0)/1000</f>
        <v>0</v>
      </c>
      <c r="AG71">
        <f ca="1">OFFSET('Hist Weights'!AE$1,MATCH($C71,'Hist Weights'!$A$2:$A$20,0),0)/1000</f>
        <v>0</v>
      </c>
      <c r="AH71">
        <f ca="1">OFFSET('Hist Weights'!AF$1,MATCH($C71,'Hist Weights'!$A$2:$A$20,0),0)/1000</f>
        <v>0.01</v>
      </c>
      <c r="AI71">
        <f ca="1">OFFSET('Hist Weights'!AG$1,MATCH($C71,'Hist Weights'!$A$2:$A$20,0),0)/1000</f>
        <v>0</v>
      </c>
      <c r="AJ71">
        <f ca="1">OFFSET('Hist Weights'!AH$1,MATCH($C71,'Hist Weights'!$A$2:$A$20,0),0)/1000</f>
        <v>0</v>
      </c>
      <c r="AK71">
        <f ca="1">OFFSET('Hist Weights'!AI$1,MATCH($C71,'Hist Weights'!$A$2:$A$20,0),0)/1000</f>
        <v>1.4999999999999999E-2</v>
      </c>
      <c r="AL71">
        <f ca="1">OFFSET('Hist Weights'!AJ$1,MATCH($C71,'Hist Weights'!$A$2:$A$20,0),0)/1000</f>
        <v>1.0999999999999999E-2</v>
      </c>
      <c r="AM71">
        <f ca="1">OFFSET('Hist Weights'!AK$1,MATCH($C71,'Hist Weights'!$A$2:$A$20,0),0)/1000</f>
        <v>1E-3</v>
      </c>
      <c r="AN71">
        <f ca="1">OFFSET('Hist Weights'!AL$1,MATCH($C71,'Hist Weights'!$A$2:$A$20,0),0)/1000</f>
        <v>1.4E-2</v>
      </c>
      <c r="AO71">
        <f ca="1">OFFSET('Hist Weights'!AM$1,MATCH($C71,'Hist Weights'!$A$2:$A$20,0),0)/1000</f>
        <v>0</v>
      </c>
      <c r="AP71">
        <f ca="1">OFFSET('Hist Weights'!AN$1,MATCH($C71,'Hist Weights'!$A$2:$A$20,0),0)/1000</f>
        <v>8.0000000000000002E-3</v>
      </c>
      <c r="AQ71">
        <f ca="1">OFFSET('Hist Weights'!AO$1,MATCH($C71,'Hist Weights'!$A$2:$A$20,0),0)/1000</f>
        <v>8.9999999999999993E-3</v>
      </c>
      <c r="AR71">
        <f ca="1">OFFSET('Hist Weights'!AP$1,MATCH($C71,'Hist Weights'!$A$2:$A$20,0),0)/1000</f>
        <v>0</v>
      </c>
      <c r="AS71">
        <f ca="1">OFFSET('Hist Weights'!AQ$1,MATCH($C71,'Hist Weights'!$A$2:$A$20,0),0)/1000</f>
        <v>1.0999999999999999E-2</v>
      </c>
      <c r="AT71">
        <f ca="1">OFFSET('Hist Weights'!AR$1,MATCH($C71,'Hist Weights'!$A$2:$A$20,0),0)/1000</f>
        <v>2.1999999999999999E-2</v>
      </c>
      <c r="AU71">
        <f ca="1">OFFSET('Hist Weights'!AS$1,MATCH($C71,'Hist Weights'!$A$2:$A$20,0),0)/1000</f>
        <v>0.02</v>
      </c>
      <c r="AV71">
        <f ca="1">OFFSET('Hist Weights'!AT$1,MATCH($C71,'Hist Weights'!$A$2:$A$20,0),0)/1000</f>
        <v>7.0000000000000001E-3</v>
      </c>
      <c r="AW71">
        <f ca="1">OFFSET('Hist Weights'!AU$1,MATCH($C71,'Hist Weights'!$A$2:$A$20,0),0)/1000</f>
        <v>8.4000000000000005E-2</v>
      </c>
      <c r="AX71">
        <f ca="1">OFFSET('Hist Weights'!AV$1,MATCH($C71,'Hist Weights'!$A$2:$A$20,0),0)/1000</f>
        <v>2.4E-2</v>
      </c>
      <c r="AY71">
        <f ca="1">OFFSET('Hist Weights'!AW$1,MATCH($C71,'Hist Weights'!$A$2:$A$20,0),0)/1000</f>
        <v>0.10299999999999999</v>
      </c>
      <c r="AZ71">
        <f ca="1">OFFSET('Hist Weights'!AX$1,MATCH($C71,'Hist Weights'!$A$2:$A$20,0),0)/1000</f>
        <v>4.9000000000000002E-2</v>
      </c>
      <c r="BA71">
        <f ca="1">OFFSET('Hist Weights'!AY$1,MATCH($C71,'Hist Weights'!$A$2:$A$20,0),0)/1000</f>
        <v>1.2999999999999999E-2</v>
      </c>
      <c r="BB71">
        <f ca="1">OFFSET('Hist Weights'!AZ$1,MATCH($C71,'Hist Weights'!$A$2:$A$20,0),0)/1000</f>
        <v>0.01</v>
      </c>
      <c r="BC71">
        <f ca="1">OFFSET('Hist Weights'!BA$1,MATCH($C71,'Hist Weights'!$A$2:$A$20,0),0)/1000</f>
        <v>1.2999999999999999E-2</v>
      </c>
      <c r="BD71">
        <f ca="1">OFFSET('Hist Weights'!BB$1,MATCH($C71,'Hist Weights'!$A$2:$A$20,0),0)/1000</f>
        <v>8.0000000000000002E-3</v>
      </c>
      <c r="BE71">
        <f ca="1">OFFSET('Hist Weights'!BC$1,MATCH($C71,'Hist Weights'!$A$2:$A$20,0),0)/1000</f>
        <v>1E-3</v>
      </c>
      <c r="BF71">
        <f ca="1">OFFSET('Hist Weights'!BD$1,MATCH($C71,'Hist Weights'!$A$2:$A$20,0),0)/1000</f>
        <v>2.5000000000000001E-2</v>
      </c>
      <c r="BG71">
        <f ca="1">OFFSET('Hist Weights'!BE$1,MATCH($C71,'Hist Weights'!$A$2:$A$20,0),0)/1000</f>
        <v>0.02</v>
      </c>
      <c r="BH71">
        <f ca="1">OFFSET('Hist Weights'!BF$1,MATCH($C71,'Hist Weights'!$A$2:$A$20,0),0)/1000</f>
        <v>2E-3</v>
      </c>
      <c r="BI71">
        <f ca="1">OFFSET('Hist Weights'!BG$1,MATCH($C71,'Hist Weights'!$A$2:$A$20,0),0)/1000</f>
        <v>0.03</v>
      </c>
      <c r="BJ71">
        <f ca="1">OFFSET('Hist Weights'!BH$1,MATCH($C71,'Hist Weights'!$A$2:$A$20,0),0)/1000</f>
        <v>0.01</v>
      </c>
      <c r="BK71">
        <f ca="1">OFFSET('Hist Weights'!BI$1,MATCH($C71,'Hist Weights'!$A$2:$A$20,0),0)/1000</f>
        <v>7.0000000000000001E-3</v>
      </c>
      <c r="BL71">
        <f ca="1">OFFSET('Hist Weights'!BJ$1,MATCH($C71,'Hist Weights'!$A$2:$A$20,0),0)/1000</f>
        <v>5.0000000000000001E-3</v>
      </c>
      <c r="BM71">
        <f ca="1">OFFSET('Hist Weights'!BK$1,MATCH($C71,'Hist Weights'!$A$2:$A$20,0),0)/1000</f>
        <v>1.2999999999999999E-2</v>
      </c>
      <c r="BN71">
        <f ca="1">OFFSET('Hist Weights'!BL$1,MATCH($C71,'Hist Weights'!$A$2:$A$20,0),0)/1000</f>
        <v>1.0999999999999999E-2</v>
      </c>
      <c r="BO71">
        <f ca="1">OFFSET('Hist Weights'!BM$1,MATCH($C71,'Hist Weights'!$A$2:$A$20,0),0)/1000</f>
        <v>1E-3</v>
      </c>
      <c r="BP71">
        <f ca="1">OFFSET('Hist Weights'!BN$1,MATCH($C71,'Hist Weights'!$A$2:$A$20,0),0)/1000</f>
        <v>2.5000000000000001E-2</v>
      </c>
      <c r="BQ71">
        <f ca="1">OFFSET('Hist Weights'!BO$1,MATCH($C71,'Hist Weights'!$A$2:$A$20,0),0)/1000</f>
        <v>7.0000000000000001E-3</v>
      </c>
      <c r="BR71">
        <f ca="1">OFFSET('Hist Weights'!BP$1,MATCH($C71,'Hist Weights'!$A$2:$A$20,0),0)/1000</f>
        <v>2.7E-2</v>
      </c>
      <c r="BS71">
        <f ca="1">OFFSET('Hist Weights'!BQ$1,MATCH($C71,'Hist Weights'!$A$2:$A$20,0),0)/1000</f>
        <v>6.0000000000000001E-3</v>
      </c>
      <c r="BT71">
        <f ca="1">OFFSET('Hist Weights'!BR$1,MATCH($C71,'Hist Weights'!$A$2:$A$20,0),0)/1000</f>
        <v>0.01</v>
      </c>
      <c r="BU71">
        <f ca="1">OFFSET('Hist Weights'!BS$1,MATCH($C71,'Hist Weights'!$A$2:$A$20,0),0)/1000</f>
        <v>3.0000000000000001E-3</v>
      </c>
      <c r="BV71">
        <f ca="1">OFFSET('Hist Weights'!BT$1,MATCH($C71,'Hist Weights'!$A$2:$A$20,0),0)/1000</f>
        <v>5.0000000000000001E-3</v>
      </c>
      <c r="BW71">
        <f ca="1">OFFSET('Hist Weights'!BU$1,MATCH($C71,'Hist Weights'!$A$2:$A$20,0),0)/1000</f>
        <v>5.0000000000000001E-3</v>
      </c>
      <c r="BX71">
        <f ca="1">OFFSET('Hist Weights'!BV$1,MATCH($C71,'Hist Weights'!$A$2:$A$20,0),0)/1000</f>
        <v>1.0999999999999999E-2</v>
      </c>
      <c r="BY71">
        <f ca="1">OFFSET('Hist Weights'!BW$1,MATCH($C71,'Hist Weights'!$A$2:$A$20,0),0)/1000</f>
        <v>1.7000000000000001E-2</v>
      </c>
      <c r="BZ71">
        <f ca="1">OFFSET('Hist Weights'!BX$1,MATCH($C71,'Hist Weights'!$A$2:$A$20,0),0)/1000</f>
        <v>1.2999999999999999E-2</v>
      </c>
      <c r="CA71">
        <f ca="1">OFFSET('Hist Weights'!BY$1,MATCH($C71,'Hist Weights'!$A$2:$A$20,0),0)/1000</f>
        <v>6.4000000000000001E-2</v>
      </c>
      <c r="CB71">
        <f ca="1">OFFSET('Hist Weights'!BZ$1,MATCH($C71,'Hist Weights'!$A$2:$A$20,0),0)/1000</f>
        <v>1.7999999999999999E-2</v>
      </c>
      <c r="CC71">
        <f ca="1">OFFSET('Hist Weights'!CA$1,MATCH($C71,'Hist Weights'!$A$2:$A$20,0),0)/1000</f>
        <v>2.8000000000000001E-2</v>
      </c>
      <c r="CD71">
        <f ca="1">OFFSET('Hist Weights'!CB$1,MATCH($C71,'Hist Weights'!$A$2:$A$20,0),0)/1000</f>
        <v>2.5999999999999999E-2</v>
      </c>
      <c r="CE71">
        <f ca="1">OFFSET('Hist Weights'!CC$1,MATCH($C71,'Hist Weights'!$A$2:$A$20,0),0)/1000</f>
        <v>1E-3</v>
      </c>
      <c r="CF71">
        <f ca="1">OFFSET('Hist Weights'!CD$1,MATCH($C71,'Hist Weights'!$A$2:$A$20,0),0)/1000</f>
        <v>1E-3</v>
      </c>
      <c r="CG71">
        <f ca="1">OFFSET('Hist Weights'!CE$1,MATCH($C71,'Hist Weights'!$A$2:$A$20,0),0)/1000</f>
        <v>8.9999999999999993E-3</v>
      </c>
      <c r="CH71">
        <f ca="1">OFFSET('Hist Weights'!CF$1,MATCH($C71,'Hist Weights'!$A$2:$A$20,0),0)/1000</f>
        <v>7.0000000000000001E-3</v>
      </c>
      <c r="CI71">
        <f ca="1">OFFSET('Hist Weights'!CG$1,MATCH($C71,'Hist Weights'!$A$2:$A$20,0),0)/1000</f>
        <v>1E-3</v>
      </c>
      <c r="CJ71">
        <f ca="1">OFFSET('Hist Weights'!CH$1,MATCH($C71,'Hist Weights'!$A$2:$A$20,0),0)/1000</f>
        <v>1.0999999999999999E-2</v>
      </c>
      <c r="CK71">
        <f ca="1">OFFSET('Hist Weights'!CI$1,MATCH($C71,'Hist Weights'!$A$2:$A$20,0),0)/1000</f>
        <v>5.0000000000000001E-3</v>
      </c>
      <c r="CL71">
        <f ca="1">OFFSET('Hist Weights'!CJ$1,MATCH($C71,'Hist Weights'!$A$2:$A$20,0),0)/1000</f>
        <v>8.9999999999999993E-3</v>
      </c>
      <c r="CM71">
        <f ca="1">OFFSET('Hist Weights'!CK$1,MATCH($C71,'Hist Weights'!$A$2:$A$20,0),0)/1000</f>
        <v>1.4999999999999999E-2</v>
      </c>
      <c r="CN71">
        <f ca="1">OFFSET('Hist Weights'!CL$1,MATCH($C71,'Hist Weights'!$A$2:$A$20,0),0)/1000</f>
        <v>8.0000000000000002E-3</v>
      </c>
      <c r="CO71">
        <f ca="1">OFFSET('Hist Weights'!CM$1,MATCH($C71,'Hist Weights'!$A$2:$A$20,0),0)/1000</f>
        <v>8.0000000000000002E-3</v>
      </c>
      <c r="CP71">
        <f ca="1">OFFSET('Hist Weights'!CN$1,MATCH($C71,'Hist Weights'!$A$2:$A$20,0),0)/1000</f>
        <v>8.0000000000000002E-3</v>
      </c>
    </row>
    <row r="72" spans="1:94" x14ac:dyDescent="0.25">
      <c r="C72">
        <f>YEAR(A31)</f>
        <v>2024</v>
      </c>
      <c r="D72">
        <f ca="1">OFFSET('Hist Weights'!B$1,MATCH($C72,'Hist Weights'!$A$2:$A$20,0),0)/1000</f>
        <v>4.0000000000000001E-3</v>
      </c>
      <c r="E72">
        <f ca="1">OFFSET('Hist Weights'!C$1,MATCH($C72,'Hist Weights'!$A$2:$A$20,0),0)/1000</f>
        <v>4.0000000000000001E-3</v>
      </c>
      <c r="F72">
        <f ca="1">OFFSET('Hist Weights'!D$1,MATCH($C72,'Hist Weights'!$A$2:$A$20,0),0)/1000</f>
        <v>7.0000000000000001E-3</v>
      </c>
      <c r="G72">
        <f ca="1">OFFSET('Hist Weights'!E$1,MATCH($C72,'Hist Weights'!$A$2:$A$20,0),0)/1000</f>
        <v>4.0000000000000001E-3</v>
      </c>
      <c r="H72">
        <f ca="1">OFFSET('Hist Weights'!F$1,MATCH($C72,'Hist Weights'!$A$2:$A$20,0),0)/1000</f>
        <v>1E-3</v>
      </c>
      <c r="I72">
        <f ca="1">OFFSET('Hist Weights'!G$1,MATCH($C72,'Hist Weights'!$A$2:$A$20,0),0)/1000</f>
        <v>0</v>
      </c>
      <c r="J72">
        <f ca="1">OFFSET('Hist Weights'!H$1,MATCH($C72,'Hist Weights'!$A$2:$A$20,0),0)/1000</f>
        <v>1E-3</v>
      </c>
      <c r="K72">
        <f ca="1">OFFSET('Hist Weights'!I$1,MATCH($C72,'Hist Weights'!$A$2:$A$20,0),0)/1000</f>
        <v>1E-3</v>
      </c>
      <c r="L72">
        <f ca="1">OFFSET('Hist Weights'!J$1,MATCH($C72,'Hist Weights'!$A$2:$A$20,0),0)/1000</f>
        <v>4.0000000000000001E-3</v>
      </c>
      <c r="M72">
        <f ca="1">OFFSET('Hist Weights'!K$1,MATCH($C72,'Hist Weights'!$A$2:$A$20,0),0)/1000</f>
        <v>7.0000000000000001E-3</v>
      </c>
      <c r="N72">
        <f ca="1">OFFSET('Hist Weights'!L$1,MATCH($C72,'Hist Weights'!$A$2:$A$20,0),0)/1000</f>
        <v>4.0000000000000001E-3</v>
      </c>
      <c r="O72">
        <f ca="1">OFFSET('Hist Weights'!M$1,MATCH($C72,'Hist Weights'!$A$2:$A$20,0),0)/1000</f>
        <v>0</v>
      </c>
      <c r="P72">
        <f ca="1">OFFSET('Hist Weights'!N$1,MATCH($C72,'Hist Weights'!$A$2:$A$20,0),0)/1000</f>
        <v>0</v>
      </c>
      <c r="Q72">
        <f ca="1">OFFSET('Hist Weights'!O$1,MATCH($C72,'Hist Weights'!$A$2:$A$20,0),0)/1000</f>
        <v>1E-3</v>
      </c>
      <c r="R72">
        <f ca="1">OFFSET('Hist Weights'!P$1,MATCH($C72,'Hist Weights'!$A$2:$A$20,0),0)/1000</f>
        <v>2E-3</v>
      </c>
      <c r="S72">
        <f ca="1">OFFSET('Hist Weights'!Q$1,MATCH($C72,'Hist Weights'!$A$2:$A$20,0),0)/1000</f>
        <v>4.0000000000000001E-3</v>
      </c>
      <c r="T72">
        <f ca="1">OFFSET('Hist Weights'!R$1,MATCH($C72,'Hist Weights'!$A$2:$A$20,0),0)/1000</f>
        <v>1E-3</v>
      </c>
      <c r="U72">
        <f ca="1">OFFSET('Hist Weights'!S$1,MATCH($C72,'Hist Weights'!$A$2:$A$20,0),0)/1000</f>
        <v>3.0000000000000001E-3</v>
      </c>
      <c r="V72">
        <f ca="1">OFFSET('Hist Weights'!T$1,MATCH($C72,'Hist Weights'!$A$2:$A$20,0),0)/1000</f>
        <v>5.0000000000000001E-3</v>
      </c>
      <c r="W72">
        <f ca="1">OFFSET('Hist Weights'!U$1,MATCH($C72,'Hist Weights'!$A$2:$A$20,0),0)/1000</f>
        <v>1E-3</v>
      </c>
      <c r="X72">
        <f ca="1">OFFSET('Hist Weights'!V$1,MATCH($C72,'Hist Weights'!$A$2:$A$20,0),0)/1000</f>
        <v>2E-3</v>
      </c>
      <c r="Y72">
        <f ca="1">OFFSET('Hist Weights'!W$1,MATCH($C72,'Hist Weights'!$A$2:$A$20,0),0)/1000</f>
        <v>8.9999999999999993E-3</v>
      </c>
      <c r="Z72">
        <f ca="1">OFFSET('Hist Weights'!X$1,MATCH($C72,'Hist Weights'!$A$2:$A$20,0),0)/1000</f>
        <v>2E-3</v>
      </c>
      <c r="AA72">
        <f ca="1">OFFSET('Hist Weights'!Y$1,MATCH($C72,'Hist Weights'!$A$2:$A$20,0),0)/1000</f>
        <v>1.4E-2</v>
      </c>
      <c r="AB72">
        <f ca="1">OFFSET('Hist Weights'!Z$1,MATCH($C72,'Hist Weights'!$A$2:$A$20,0),0)/1000</f>
        <v>5.0000000000000001E-3</v>
      </c>
      <c r="AC72">
        <f ca="1">OFFSET('Hist Weights'!AA$1,MATCH($C72,'Hist Weights'!$A$2:$A$20,0),0)/1000</f>
        <v>0</v>
      </c>
      <c r="AD72">
        <f ca="1">OFFSET('Hist Weights'!AB$1,MATCH($C72,'Hist Weights'!$A$2:$A$20,0),0)/1000</f>
        <v>0</v>
      </c>
      <c r="AE72">
        <f ca="1">OFFSET('Hist Weights'!AC$1,MATCH($C72,'Hist Weights'!$A$2:$A$20,0),0)/1000</f>
        <v>8.9999999999999993E-3</v>
      </c>
      <c r="AF72">
        <f ca="1">OFFSET('Hist Weights'!AD$1,MATCH($C72,'Hist Weights'!$A$2:$A$20,0),0)/1000</f>
        <v>0</v>
      </c>
      <c r="AG72">
        <f ca="1">OFFSET('Hist Weights'!AE$1,MATCH($C72,'Hist Weights'!$A$2:$A$20,0),0)/1000</f>
        <v>0</v>
      </c>
      <c r="AH72">
        <f ca="1">OFFSET('Hist Weights'!AF$1,MATCH($C72,'Hist Weights'!$A$2:$A$20,0),0)/1000</f>
        <v>0.01</v>
      </c>
      <c r="AI72">
        <f ca="1">OFFSET('Hist Weights'!AG$1,MATCH($C72,'Hist Weights'!$A$2:$A$20,0),0)/1000</f>
        <v>0</v>
      </c>
      <c r="AJ72">
        <f ca="1">OFFSET('Hist Weights'!AH$1,MATCH($C72,'Hist Weights'!$A$2:$A$20,0),0)/1000</f>
        <v>0</v>
      </c>
      <c r="AK72">
        <f ca="1">OFFSET('Hist Weights'!AI$1,MATCH($C72,'Hist Weights'!$A$2:$A$20,0),0)/1000</f>
        <v>1.4999999999999999E-2</v>
      </c>
      <c r="AL72">
        <f ca="1">OFFSET('Hist Weights'!AJ$1,MATCH($C72,'Hist Weights'!$A$2:$A$20,0),0)/1000</f>
        <v>1.0999999999999999E-2</v>
      </c>
      <c r="AM72">
        <f ca="1">OFFSET('Hist Weights'!AK$1,MATCH($C72,'Hist Weights'!$A$2:$A$20,0),0)/1000</f>
        <v>1E-3</v>
      </c>
      <c r="AN72">
        <f ca="1">OFFSET('Hist Weights'!AL$1,MATCH($C72,'Hist Weights'!$A$2:$A$20,0),0)/1000</f>
        <v>1.4E-2</v>
      </c>
      <c r="AO72">
        <f ca="1">OFFSET('Hist Weights'!AM$1,MATCH($C72,'Hist Weights'!$A$2:$A$20,0),0)/1000</f>
        <v>0</v>
      </c>
      <c r="AP72">
        <f ca="1">OFFSET('Hist Weights'!AN$1,MATCH($C72,'Hist Weights'!$A$2:$A$20,0),0)/1000</f>
        <v>8.0000000000000002E-3</v>
      </c>
      <c r="AQ72">
        <f ca="1">OFFSET('Hist Weights'!AO$1,MATCH($C72,'Hist Weights'!$A$2:$A$20,0),0)/1000</f>
        <v>8.9999999999999993E-3</v>
      </c>
      <c r="AR72">
        <f ca="1">OFFSET('Hist Weights'!AP$1,MATCH($C72,'Hist Weights'!$A$2:$A$20,0),0)/1000</f>
        <v>0</v>
      </c>
      <c r="AS72">
        <f ca="1">OFFSET('Hist Weights'!AQ$1,MATCH($C72,'Hist Weights'!$A$2:$A$20,0),0)/1000</f>
        <v>1.0999999999999999E-2</v>
      </c>
      <c r="AT72">
        <f ca="1">OFFSET('Hist Weights'!AR$1,MATCH($C72,'Hist Weights'!$A$2:$A$20,0),0)/1000</f>
        <v>2.1999999999999999E-2</v>
      </c>
      <c r="AU72">
        <f ca="1">OFFSET('Hist Weights'!AS$1,MATCH($C72,'Hist Weights'!$A$2:$A$20,0),0)/1000</f>
        <v>0.02</v>
      </c>
      <c r="AV72">
        <f ca="1">OFFSET('Hist Weights'!AT$1,MATCH($C72,'Hist Weights'!$A$2:$A$20,0),0)/1000</f>
        <v>7.0000000000000001E-3</v>
      </c>
      <c r="AW72">
        <f ca="1">OFFSET('Hist Weights'!AU$1,MATCH($C72,'Hist Weights'!$A$2:$A$20,0),0)/1000</f>
        <v>8.4000000000000005E-2</v>
      </c>
      <c r="AX72">
        <f ca="1">OFFSET('Hist Weights'!AV$1,MATCH($C72,'Hist Weights'!$A$2:$A$20,0),0)/1000</f>
        <v>2.4E-2</v>
      </c>
      <c r="AY72">
        <f ca="1">OFFSET('Hist Weights'!AW$1,MATCH($C72,'Hist Weights'!$A$2:$A$20,0),0)/1000</f>
        <v>0.10299999999999999</v>
      </c>
      <c r="AZ72">
        <f ca="1">OFFSET('Hist Weights'!AX$1,MATCH($C72,'Hist Weights'!$A$2:$A$20,0),0)/1000</f>
        <v>4.9000000000000002E-2</v>
      </c>
      <c r="BA72">
        <f ca="1">OFFSET('Hist Weights'!AY$1,MATCH($C72,'Hist Weights'!$A$2:$A$20,0),0)/1000</f>
        <v>1.2999999999999999E-2</v>
      </c>
      <c r="BB72">
        <f ca="1">OFFSET('Hist Weights'!AZ$1,MATCH($C72,'Hist Weights'!$A$2:$A$20,0),0)/1000</f>
        <v>0.01</v>
      </c>
      <c r="BC72">
        <f ca="1">OFFSET('Hist Weights'!BA$1,MATCH($C72,'Hist Weights'!$A$2:$A$20,0),0)/1000</f>
        <v>1.2999999999999999E-2</v>
      </c>
      <c r="BD72">
        <f ca="1">OFFSET('Hist Weights'!BB$1,MATCH($C72,'Hist Weights'!$A$2:$A$20,0),0)/1000</f>
        <v>8.0000000000000002E-3</v>
      </c>
      <c r="BE72">
        <f ca="1">OFFSET('Hist Weights'!BC$1,MATCH($C72,'Hist Weights'!$A$2:$A$20,0),0)/1000</f>
        <v>1E-3</v>
      </c>
      <c r="BF72">
        <f ca="1">OFFSET('Hist Weights'!BD$1,MATCH($C72,'Hist Weights'!$A$2:$A$20,0),0)/1000</f>
        <v>2.5000000000000001E-2</v>
      </c>
      <c r="BG72">
        <f ca="1">OFFSET('Hist Weights'!BE$1,MATCH($C72,'Hist Weights'!$A$2:$A$20,0),0)/1000</f>
        <v>0.02</v>
      </c>
      <c r="BH72">
        <f ca="1">OFFSET('Hist Weights'!BF$1,MATCH($C72,'Hist Weights'!$A$2:$A$20,0),0)/1000</f>
        <v>2E-3</v>
      </c>
      <c r="BI72">
        <f ca="1">OFFSET('Hist Weights'!BG$1,MATCH($C72,'Hist Weights'!$A$2:$A$20,0),0)/1000</f>
        <v>0.03</v>
      </c>
      <c r="BJ72">
        <f ca="1">OFFSET('Hist Weights'!BH$1,MATCH($C72,'Hist Weights'!$A$2:$A$20,0),0)/1000</f>
        <v>0.01</v>
      </c>
      <c r="BK72">
        <f ca="1">OFFSET('Hist Weights'!BI$1,MATCH($C72,'Hist Weights'!$A$2:$A$20,0),0)/1000</f>
        <v>7.0000000000000001E-3</v>
      </c>
      <c r="BL72">
        <f ca="1">OFFSET('Hist Weights'!BJ$1,MATCH($C72,'Hist Weights'!$A$2:$A$20,0),0)/1000</f>
        <v>5.0000000000000001E-3</v>
      </c>
      <c r="BM72">
        <f ca="1">OFFSET('Hist Weights'!BK$1,MATCH($C72,'Hist Weights'!$A$2:$A$20,0),0)/1000</f>
        <v>1.2999999999999999E-2</v>
      </c>
      <c r="BN72">
        <f ca="1">OFFSET('Hist Weights'!BL$1,MATCH($C72,'Hist Weights'!$A$2:$A$20,0),0)/1000</f>
        <v>1.0999999999999999E-2</v>
      </c>
      <c r="BO72">
        <f ca="1">OFFSET('Hist Weights'!BM$1,MATCH($C72,'Hist Weights'!$A$2:$A$20,0),0)/1000</f>
        <v>1E-3</v>
      </c>
      <c r="BP72">
        <f ca="1">OFFSET('Hist Weights'!BN$1,MATCH($C72,'Hist Weights'!$A$2:$A$20,0),0)/1000</f>
        <v>2.5000000000000001E-2</v>
      </c>
      <c r="BQ72">
        <f ca="1">OFFSET('Hist Weights'!BO$1,MATCH($C72,'Hist Weights'!$A$2:$A$20,0),0)/1000</f>
        <v>7.0000000000000001E-3</v>
      </c>
      <c r="BR72">
        <f ca="1">OFFSET('Hist Weights'!BP$1,MATCH($C72,'Hist Weights'!$A$2:$A$20,0),0)/1000</f>
        <v>2.7E-2</v>
      </c>
      <c r="BS72">
        <f ca="1">OFFSET('Hist Weights'!BQ$1,MATCH($C72,'Hist Weights'!$A$2:$A$20,0),0)/1000</f>
        <v>6.0000000000000001E-3</v>
      </c>
      <c r="BT72">
        <f ca="1">OFFSET('Hist Weights'!BR$1,MATCH($C72,'Hist Weights'!$A$2:$A$20,0),0)/1000</f>
        <v>0.01</v>
      </c>
      <c r="BU72">
        <f ca="1">OFFSET('Hist Weights'!BS$1,MATCH($C72,'Hist Weights'!$A$2:$A$20,0),0)/1000</f>
        <v>3.0000000000000001E-3</v>
      </c>
      <c r="BV72">
        <f ca="1">OFFSET('Hist Weights'!BT$1,MATCH($C72,'Hist Weights'!$A$2:$A$20,0),0)/1000</f>
        <v>5.0000000000000001E-3</v>
      </c>
      <c r="BW72">
        <f ca="1">OFFSET('Hist Weights'!BU$1,MATCH($C72,'Hist Weights'!$A$2:$A$20,0),0)/1000</f>
        <v>5.0000000000000001E-3</v>
      </c>
      <c r="BX72">
        <f ca="1">OFFSET('Hist Weights'!BV$1,MATCH($C72,'Hist Weights'!$A$2:$A$20,0),0)/1000</f>
        <v>1.0999999999999999E-2</v>
      </c>
      <c r="BY72">
        <f ca="1">OFFSET('Hist Weights'!BW$1,MATCH($C72,'Hist Weights'!$A$2:$A$20,0),0)/1000</f>
        <v>1.7000000000000001E-2</v>
      </c>
      <c r="BZ72">
        <f ca="1">OFFSET('Hist Weights'!BX$1,MATCH($C72,'Hist Weights'!$A$2:$A$20,0),0)/1000</f>
        <v>1.2999999999999999E-2</v>
      </c>
      <c r="CA72">
        <f ca="1">OFFSET('Hist Weights'!BY$1,MATCH($C72,'Hist Weights'!$A$2:$A$20,0),0)/1000</f>
        <v>6.4000000000000001E-2</v>
      </c>
      <c r="CB72">
        <f ca="1">OFFSET('Hist Weights'!BZ$1,MATCH($C72,'Hist Weights'!$A$2:$A$20,0),0)/1000</f>
        <v>1.7999999999999999E-2</v>
      </c>
      <c r="CC72">
        <f ca="1">OFFSET('Hist Weights'!CA$1,MATCH($C72,'Hist Weights'!$A$2:$A$20,0),0)/1000</f>
        <v>2.8000000000000001E-2</v>
      </c>
      <c r="CD72">
        <f ca="1">OFFSET('Hist Weights'!CB$1,MATCH($C72,'Hist Weights'!$A$2:$A$20,0),0)/1000</f>
        <v>2.5999999999999999E-2</v>
      </c>
      <c r="CE72">
        <f ca="1">OFFSET('Hist Weights'!CC$1,MATCH($C72,'Hist Weights'!$A$2:$A$20,0),0)/1000</f>
        <v>1E-3</v>
      </c>
      <c r="CF72">
        <f ca="1">OFFSET('Hist Weights'!CD$1,MATCH($C72,'Hist Weights'!$A$2:$A$20,0),0)/1000</f>
        <v>1E-3</v>
      </c>
      <c r="CG72">
        <f ca="1">OFFSET('Hist Weights'!CE$1,MATCH($C72,'Hist Weights'!$A$2:$A$20,0),0)/1000</f>
        <v>8.9999999999999993E-3</v>
      </c>
      <c r="CH72">
        <f ca="1">OFFSET('Hist Weights'!CF$1,MATCH($C72,'Hist Weights'!$A$2:$A$20,0),0)/1000</f>
        <v>7.0000000000000001E-3</v>
      </c>
      <c r="CI72">
        <f ca="1">OFFSET('Hist Weights'!CG$1,MATCH($C72,'Hist Weights'!$A$2:$A$20,0),0)/1000</f>
        <v>1E-3</v>
      </c>
      <c r="CJ72">
        <f ca="1">OFFSET('Hist Weights'!CH$1,MATCH($C72,'Hist Weights'!$A$2:$A$20,0),0)/1000</f>
        <v>1.0999999999999999E-2</v>
      </c>
      <c r="CK72">
        <f ca="1">OFFSET('Hist Weights'!CI$1,MATCH($C72,'Hist Weights'!$A$2:$A$20,0),0)/1000</f>
        <v>5.0000000000000001E-3</v>
      </c>
      <c r="CL72">
        <f ca="1">OFFSET('Hist Weights'!CJ$1,MATCH($C72,'Hist Weights'!$A$2:$A$20,0),0)/1000</f>
        <v>8.9999999999999993E-3</v>
      </c>
      <c r="CM72">
        <f ca="1">OFFSET('Hist Weights'!CK$1,MATCH($C72,'Hist Weights'!$A$2:$A$20,0),0)/1000</f>
        <v>1.4999999999999999E-2</v>
      </c>
      <c r="CN72">
        <f ca="1">OFFSET('Hist Weights'!CL$1,MATCH($C72,'Hist Weights'!$A$2:$A$20,0),0)/1000</f>
        <v>8.0000000000000002E-3</v>
      </c>
      <c r="CO72">
        <f ca="1">OFFSET('Hist Weights'!CM$1,MATCH($C72,'Hist Weights'!$A$2:$A$20,0),0)/1000</f>
        <v>8.0000000000000002E-3</v>
      </c>
      <c r="CP72">
        <f ca="1">OFFSET('Hist Weights'!CN$1,MATCH($C72,'Hist Weights'!$A$2:$A$20,0),0)/1000</f>
        <v>8.0000000000000002E-3</v>
      </c>
    </row>
    <row r="74" spans="1:94" x14ac:dyDescent="0.25">
      <c r="A74" s="6">
        <f>A3</f>
        <v>44562</v>
      </c>
      <c r="D74">
        <f ca="1">SUMPRODUCT(D3:CP3,$D$70:$CP$70)</f>
        <v>99.999999999999957</v>
      </c>
      <c r="H74" t="s">
        <v>126</v>
      </c>
      <c r="I74">
        <v>317.7</v>
      </c>
    </row>
    <row r="75" spans="1:94" x14ac:dyDescent="0.25">
      <c r="A75" s="6">
        <f>A4</f>
        <v>44593</v>
      </c>
      <c r="D75">
        <f ca="1">SUMPRODUCT(D4:CP4,$D$70:$CP$70)</f>
        <v>100.80396283663633</v>
      </c>
      <c r="K75" t="s">
        <v>127</v>
      </c>
    </row>
    <row r="76" spans="1:94" x14ac:dyDescent="0.25">
      <c r="A76" s="6">
        <f>A5</f>
        <v>44621</v>
      </c>
      <c r="D76">
        <f ca="1">SUMPRODUCT(D5:CP5,$D$70:$CP$70)</f>
        <v>101.83504193708329</v>
      </c>
      <c r="H76" s="6">
        <f>A74</f>
        <v>44562</v>
      </c>
      <c r="I76" s="9">
        <f>I74</f>
        <v>317.7</v>
      </c>
    </row>
    <row r="77" spans="1:94" x14ac:dyDescent="0.25">
      <c r="A77" s="6">
        <f>A6</f>
        <v>44652</v>
      </c>
      <c r="D77">
        <f ca="1">SUMPRODUCT(D6:CP6,$D$70:$CP$70)</f>
        <v>105.340735668424</v>
      </c>
      <c r="H77" s="6">
        <f t="shared" ref="H77:H106" si="11">EDATE(H76,1)</f>
        <v>44593</v>
      </c>
      <c r="I77" s="9">
        <f t="shared" ref="I77:I88" ca="1" si="12">$I$76*D75/100</f>
        <v>320.25418993199361</v>
      </c>
    </row>
    <row r="78" spans="1:94" x14ac:dyDescent="0.25">
      <c r="A78" s="6">
        <f>A7</f>
        <v>44682</v>
      </c>
      <c r="D78">
        <f ca="1">SUMPRODUCT(D7:CP7,$D$70:$CP$70)</f>
        <v>106.11988301295311</v>
      </c>
      <c r="H78" s="6">
        <f t="shared" si="11"/>
        <v>44621</v>
      </c>
      <c r="I78" s="9">
        <f t="shared" ca="1" si="12"/>
        <v>323.52992823411364</v>
      </c>
    </row>
    <row r="79" spans="1:94" x14ac:dyDescent="0.25">
      <c r="A79" s="6">
        <f>A8</f>
        <v>44713</v>
      </c>
      <c r="D79">
        <f ca="1">SUMPRODUCT(D8:CP8,$D$70:$CP$70)</f>
        <v>107.04501813542416</v>
      </c>
      <c r="H79" s="6">
        <f t="shared" si="11"/>
        <v>44652</v>
      </c>
      <c r="I79" s="9">
        <f t="shared" ca="1" si="12"/>
        <v>334.66751721858304</v>
      </c>
    </row>
    <row r="80" spans="1:94" x14ac:dyDescent="0.25">
      <c r="A80" s="6">
        <f>A9</f>
        <v>44743</v>
      </c>
      <c r="D80">
        <f ca="1">SUMPRODUCT(D9:CP9,$D$70:$CP$70)</f>
        <v>108.05946973306276</v>
      </c>
      <c r="H80" s="6">
        <f t="shared" si="11"/>
        <v>44682</v>
      </c>
      <c r="I80" s="9">
        <f t="shared" ca="1" si="12"/>
        <v>337.14286833215198</v>
      </c>
    </row>
    <row r="81" spans="1:11" x14ac:dyDescent="0.25">
      <c r="A81" s="6">
        <f>A10</f>
        <v>44774</v>
      </c>
      <c r="D81">
        <f ca="1">SUMPRODUCT(D10:CP10,$D$70:$CP$70)</f>
        <v>108.16546422804781</v>
      </c>
      <c r="H81" s="6">
        <f t="shared" si="11"/>
        <v>44713</v>
      </c>
      <c r="I81" s="9">
        <f t="shared" ca="1" si="12"/>
        <v>340.08202261624251</v>
      </c>
    </row>
    <row r="82" spans="1:11" x14ac:dyDescent="0.25">
      <c r="A82" s="6">
        <f>A11</f>
        <v>44805</v>
      </c>
      <c r="D82">
        <f ca="1">SUMPRODUCT(D11:CP11,$D$70:$CP$70)</f>
        <v>108.18256763949259</v>
      </c>
      <c r="H82" s="6">
        <f t="shared" si="11"/>
        <v>44743</v>
      </c>
      <c r="I82" s="9">
        <f t="shared" ca="1" si="12"/>
        <v>343.30493534194034</v>
      </c>
    </row>
    <row r="83" spans="1:11" x14ac:dyDescent="0.25">
      <c r="A83" s="6">
        <f>A12</f>
        <v>44835</v>
      </c>
      <c r="D83">
        <f ca="1">SUMPRODUCT(D12:CP12,$D$70:$CP$70)</f>
        <v>108.25644444169222</v>
      </c>
      <c r="H83" s="6">
        <f t="shared" si="11"/>
        <v>44774</v>
      </c>
      <c r="I83" s="9">
        <f t="shared" ca="1" si="12"/>
        <v>343.64167985250788</v>
      </c>
    </row>
    <row r="84" spans="1:11" x14ac:dyDescent="0.25">
      <c r="A84" s="6">
        <f>A13</f>
        <v>44866</v>
      </c>
      <c r="D84">
        <f ca="1">SUMPRODUCT(D13:CP13,$D$70:$CP$70)</f>
        <v>108.31266605243687</v>
      </c>
      <c r="H84" s="6">
        <f t="shared" si="11"/>
        <v>44805</v>
      </c>
      <c r="I84" s="9">
        <f t="shared" ca="1" si="12"/>
        <v>343.69601739066792</v>
      </c>
    </row>
    <row r="85" spans="1:11" x14ac:dyDescent="0.25">
      <c r="A85" s="6">
        <f>A14</f>
        <v>44896</v>
      </c>
      <c r="D85">
        <f ca="1">SUMPRODUCT(D14:CP14,$D$70:$CP$70)</f>
        <v>108.39089476547795</v>
      </c>
      <c r="H85" s="6">
        <f t="shared" si="11"/>
        <v>44835</v>
      </c>
      <c r="I85" s="9">
        <f t="shared" ca="1" si="12"/>
        <v>343.93072399125617</v>
      </c>
    </row>
    <row r="86" spans="1:11" x14ac:dyDescent="0.25">
      <c r="A86" s="6">
        <f>A15</f>
        <v>44927</v>
      </c>
      <c r="D86">
        <f ca="1">SUMPRODUCT(D15:CP15,$D$70:$CP$70)</f>
        <v>108.37247137658137</v>
      </c>
      <c r="H86" s="6">
        <f t="shared" si="11"/>
        <v>44866</v>
      </c>
      <c r="I86" s="9">
        <f t="shared" ca="1" si="12"/>
        <v>344.10934004859189</v>
      </c>
    </row>
    <row r="87" spans="1:11" x14ac:dyDescent="0.25">
      <c r="A87" s="6"/>
      <c r="H87" s="6">
        <f t="shared" si="11"/>
        <v>44896</v>
      </c>
      <c r="I87" s="9">
        <f t="shared" ca="1" si="12"/>
        <v>344.35787266992344</v>
      </c>
    </row>
    <row r="88" spans="1:11" x14ac:dyDescent="0.25">
      <c r="A88" s="6">
        <f>A17</f>
        <v>44927</v>
      </c>
      <c r="D88">
        <f ca="1">SUMPRODUCT(D17:CP17,$D$71:$CP$71)</f>
        <v>99.999999999999957</v>
      </c>
      <c r="H88" s="6">
        <f t="shared" si="11"/>
        <v>44927</v>
      </c>
      <c r="I88" s="9">
        <f t="shared" ca="1" si="12"/>
        <v>344.29934156339897</v>
      </c>
      <c r="K88" s="10">
        <f ca="1">(I88/I76)-1</f>
        <v>8.3724713765813696E-2</v>
      </c>
    </row>
    <row r="89" spans="1:11" x14ac:dyDescent="0.25">
      <c r="A89" s="6">
        <f>A18</f>
        <v>44958</v>
      </c>
      <c r="D89">
        <f ca="1">SUMPRODUCT(D18:CP18,$D$71:$CP$71)</f>
        <v>100.10206117873639</v>
      </c>
      <c r="H89" s="6">
        <f t="shared" si="11"/>
        <v>44958</v>
      </c>
      <c r="I89" s="9">
        <f t="shared" ref="I89:I100" ca="1" si="13">$I$88*D89/100</f>
        <v>344.65073752978026</v>
      </c>
      <c r="K89" s="10">
        <f t="shared" ref="K88:K105" ca="1" si="14">(I89/I77)-1</f>
        <v>7.6178699185691423E-2</v>
      </c>
    </row>
    <row r="90" spans="1:11" x14ac:dyDescent="0.25">
      <c r="A90" s="6">
        <f>A19</f>
        <v>44986</v>
      </c>
      <c r="D90">
        <f ca="1">SUMPRODUCT(D19:CP19,$D$71:$CP$71)</f>
        <v>100.19036205624285</v>
      </c>
      <c r="H90" s="6">
        <f t="shared" si="11"/>
        <v>44986</v>
      </c>
      <c r="I90" s="9">
        <f t="shared" ca="1" si="13"/>
        <v>344.95475686962965</v>
      </c>
      <c r="K90" s="10">
        <f t="shared" ca="1" si="14"/>
        <v>6.6222091886388057E-2</v>
      </c>
    </row>
    <row r="91" spans="1:11" x14ac:dyDescent="0.25">
      <c r="A91" s="6">
        <f>A20</f>
        <v>45017</v>
      </c>
      <c r="D91">
        <f ca="1">SUMPRODUCT(D20:CP20,$D$71:$CP$71)</f>
        <v>100.29340937391453</v>
      </c>
      <c r="H91" s="6">
        <f t="shared" si="11"/>
        <v>45017</v>
      </c>
      <c r="I91" s="9">
        <f t="shared" ca="1" si="13"/>
        <v>345.30954810587195</v>
      </c>
      <c r="K91" s="10">
        <f t="shared" ca="1" si="14"/>
        <v>3.1798816257205598E-2</v>
      </c>
    </row>
    <row r="92" spans="1:11" x14ac:dyDescent="0.25">
      <c r="A92" s="6">
        <f>A21</f>
        <v>45047</v>
      </c>
      <c r="D92">
        <f ca="1">SUMPRODUCT(D21:CP21,$D$71:$CP$71)</f>
        <v>100.28126585949492</v>
      </c>
      <c r="H92" s="6">
        <f t="shared" si="11"/>
        <v>45047</v>
      </c>
      <c r="I92" s="9">
        <f t="shared" ca="1" si="13"/>
        <v>345.26773806568264</v>
      </c>
      <c r="K92" s="10">
        <f t="shared" ca="1" si="14"/>
        <v>2.4099189087772865E-2</v>
      </c>
    </row>
    <row r="93" spans="1:11" x14ac:dyDescent="0.25">
      <c r="A93" s="6">
        <f>A22</f>
        <v>45078</v>
      </c>
      <c r="D93">
        <f ca="1">SUMPRODUCT(D22:CP22,$D$71:$CP$71)</f>
        <v>100.32606081573111</v>
      </c>
      <c r="H93" s="6">
        <f t="shared" si="11"/>
        <v>45078</v>
      </c>
      <c r="I93" s="9">
        <f t="shared" ca="1" si="13"/>
        <v>345.42196680505748</v>
      </c>
      <c r="K93" s="10">
        <f t="shared" ca="1" si="14"/>
        <v>1.5701930221817983E-2</v>
      </c>
    </row>
    <row r="94" spans="1:11" x14ac:dyDescent="0.25">
      <c r="A94" s="6">
        <f>A23</f>
        <v>45108</v>
      </c>
      <c r="D94">
        <f ca="1">SUMPRODUCT(D23:CP23,$D$71:$CP$71)</f>
        <v>100.37047558581803</v>
      </c>
      <c r="H94" s="6">
        <f t="shared" si="11"/>
        <v>45108</v>
      </c>
      <c r="I94" s="9">
        <f t="shared" ca="1" si="13"/>
        <v>345.57488656602357</v>
      </c>
      <c r="K94" s="10">
        <f t="shared" ca="1" si="14"/>
        <v>6.6120553199222609E-3</v>
      </c>
    </row>
    <row r="95" spans="1:11" x14ac:dyDescent="0.25">
      <c r="A95" s="6">
        <f>A24</f>
        <v>45139</v>
      </c>
      <c r="D95">
        <f ca="1">SUMPRODUCT(D24:CP24,$D$71:$CP$71)</f>
        <v>100.45716006282049</v>
      </c>
      <c r="H95" s="6">
        <f t="shared" si="11"/>
        <v>45139</v>
      </c>
      <c r="I95" s="9">
        <f t="shared" ca="1" si="13"/>
        <v>345.87334064958071</v>
      </c>
      <c r="K95" s="10">
        <f t="shared" ca="1" si="14"/>
        <v>6.4941505292102075E-3</v>
      </c>
    </row>
    <row r="96" spans="1:11" x14ac:dyDescent="0.25">
      <c r="A96" s="6">
        <f>A25</f>
        <v>45170</v>
      </c>
      <c r="D96">
        <f ca="1">SUMPRODUCT(D25:CP25,$D$71:$CP$71)</f>
        <v>100.4750092072176</v>
      </c>
      <c r="H96" s="6">
        <f t="shared" si="11"/>
        <v>45170</v>
      </c>
      <c r="I96" s="9">
        <f t="shared" ca="1" si="13"/>
        <v>345.93479513621469</v>
      </c>
      <c r="K96" s="10">
        <f t="shared" ca="1" si="14"/>
        <v>6.5138309211247858E-3</v>
      </c>
    </row>
    <row r="97" spans="1:11" x14ac:dyDescent="0.25">
      <c r="A97" s="6">
        <f>A26</f>
        <v>45200</v>
      </c>
      <c r="D97">
        <f ca="1">SUMPRODUCT(D26:CP26,$D$71:$CP$71)</f>
        <v>100.54996899943112</v>
      </c>
      <c r="H97" s="6">
        <f t="shared" si="11"/>
        <v>45200</v>
      </c>
      <c r="I97" s="9">
        <f t="shared" ca="1" si="13"/>
        <v>346.19288120724309</v>
      </c>
      <c r="K97" s="10">
        <f t="shared" ca="1" si="14"/>
        <v>6.5773629925671706E-3</v>
      </c>
    </row>
    <row r="98" spans="1:11" x14ac:dyDescent="0.25">
      <c r="A98" s="6">
        <f>A27</f>
        <v>45231</v>
      </c>
      <c r="D98">
        <f ca="1">SUMPRODUCT(D27:CP27,$D$71:$CP$71)</f>
        <v>100.59516911679056</v>
      </c>
      <c r="H98" s="6">
        <f t="shared" si="11"/>
        <v>45231</v>
      </c>
      <c r="I98" s="9">
        <f t="shared" ca="1" si="13"/>
        <v>346.34850491369752</v>
      </c>
      <c r="K98" s="10">
        <f t="shared" ca="1" si="14"/>
        <v>6.5071319040321818E-3</v>
      </c>
    </row>
    <row r="99" spans="1:11" x14ac:dyDescent="0.25">
      <c r="A99" s="6">
        <f>A28</f>
        <v>45261</v>
      </c>
      <c r="D99">
        <f ca="1">SUMPRODUCT(D28:CP28,$D$71:$CP$71)</f>
        <v>100.73274159106963</v>
      </c>
      <c r="H99" s="6">
        <f t="shared" si="11"/>
        <v>45261</v>
      </c>
      <c r="I99" s="9">
        <f t="shared" ca="1" si="13"/>
        <v>346.82216603681286</v>
      </c>
      <c r="K99" s="10">
        <f t="shared" ca="1" si="14"/>
        <v>7.1561987178714315E-3</v>
      </c>
    </row>
    <row r="100" spans="1:11" x14ac:dyDescent="0.25">
      <c r="A100" s="6">
        <f>A29</f>
        <v>45292</v>
      </c>
      <c r="D100">
        <f ca="1">SUMPRODUCT(D29:CP29,$D$71:$CP$71)</f>
        <v>100.73905729282249</v>
      </c>
      <c r="H100" s="6">
        <f t="shared" si="11"/>
        <v>45292</v>
      </c>
      <c r="I100" s="9">
        <f t="shared" ca="1" si="13"/>
        <v>346.84391095636312</v>
      </c>
      <c r="K100" s="10">
        <f t="shared" ca="1" si="14"/>
        <v>7.390572928225092E-3</v>
      </c>
    </row>
    <row r="101" spans="1:11" x14ac:dyDescent="0.25">
      <c r="A101" s="6"/>
      <c r="H101" s="6">
        <f t="shared" si="11"/>
        <v>45323</v>
      </c>
      <c r="I101" s="9">
        <f t="shared" ref="I101:I106" ca="1" si="15">$I$100*D103/100</f>
        <v>347.02031722721154</v>
      </c>
      <c r="K101" s="10">
        <f t="shared" ca="1" si="14"/>
        <v>6.8753072006020322E-3</v>
      </c>
    </row>
    <row r="102" spans="1:11" x14ac:dyDescent="0.25">
      <c r="A102" s="6">
        <f>A31</f>
        <v>45292</v>
      </c>
      <c r="D102">
        <f ca="1">SUMPRODUCT(D31:CP31,$D$72:$CP$72)</f>
        <v>99.999999999999957</v>
      </c>
      <c r="H102" s="6">
        <f t="shared" si="11"/>
        <v>45352</v>
      </c>
      <c r="I102" s="9">
        <f t="shared" ca="1" si="15"/>
        <v>347.25179600541787</v>
      </c>
      <c r="K102" s="10">
        <f t="shared" ca="1" si="14"/>
        <v>6.6589577039992687E-3</v>
      </c>
    </row>
    <row r="103" spans="1:11" x14ac:dyDescent="0.25">
      <c r="A103" s="6">
        <f>A32</f>
        <v>45323</v>
      </c>
      <c r="D103">
        <f ca="1">SUMPRODUCT(D32:CP32,$D$72:$CP$72)</f>
        <v>100.05086042028589</v>
      </c>
      <c r="H103" s="6">
        <f t="shared" si="11"/>
        <v>45383</v>
      </c>
      <c r="I103" s="9">
        <f t="shared" ca="1" si="15"/>
        <v>347.50638610008173</v>
      </c>
      <c r="K103" s="10">
        <f t="shared" ca="1" si="14"/>
        <v>6.3619381689852261E-3</v>
      </c>
    </row>
    <row r="104" spans="1:11" x14ac:dyDescent="0.25">
      <c r="A104" s="6">
        <f>A33</f>
        <v>45352</v>
      </c>
      <c r="D104">
        <f ca="1">SUMPRODUCT(D33:CP33,$D$72:$CP$72)</f>
        <v>100.11759902254882</v>
      </c>
      <c r="H104" s="6">
        <f t="shared" si="11"/>
        <v>45413</v>
      </c>
      <c r="I104" s="9">
        <f t="shared" ca="1" si="15"/>
        <v>347.56935924890348</v>
      </c>
      <c r="K104" s="10">
        <f t="shared" ca="1" si="14"/>
        <v>6.6661924340669643E-3</v>
      </c>
    </row>
    <row r="105" spans="1:11" x14ac:dyDescent="0.25">
      <c r="A105" s="6">
        <f>A34</f>
        <v>45383</v>
      </c>
      <c r="D105">
        <f ca="1">SUMPRODUCT(D34:CP34,$D$72:$CP$72)</f>
        <v>100.19100094388048</v>
      </c>
      <c r="H105" s="6">
        <f t="shared" si="11"/>
        <v>45444</v>
      </c>
      <c r="I105" s="9">
        <f t="shared" ca="1" si="15"/>
        <v>347.78082328757233</v>
      </c>
      <c r="K105" s="10">
        <f t="shared" ca="1" si="14"/>
        <v>6.8289127768359492E-3</v>
      </c>
    </row>
    <row r="106" spans="1:11" x14ac:dyDescent="0.25">
      <c r="A106" s="6">
        <f>A35</f>
        <v>45413</v>
      </c>
      <c r="D106">
        <f ca="1">SUMPRODUCT(D35:CP35,$D$72:$CP$72)</f>
        <v>100.20915699241773</v>
      </c>
      <c r="H106" s="6">
        <f t="shared" si="11"/>
        <v>45474</v>
      </c>
      <c r="I106" s="9" t="e">
        <f t="shared" ca="1" si="15"/>
        <v>#N/A</v>
      </c>
    </row>
    <row r="107" spans="1:11" x14ac:dyDescent="0.25">
      <c r="A107" s="6">
        <f>A36</f>
        <v>45444</v>
      </c>
      <c r="D107">
        <f ca="1">SUMPRODUCT(D36:CP36,$D$72:$CP$72)</f>
        <v>100.27012506248873</v>
      </c>
    </row>
    <row r="108" spans="1:11" x14ac:dyDescent="0.25">
      <c r="A108" s="6">
        <f>A37</f>
        <v>45474</v>
      </c>
      <c r="D108" t="e">
        <f>SUMPRODUCT(D37:CP37,$D$72:$CP$72)</f>
        <v>#N/A</v>
      </c>
    </row>
    <row r="109" spans="1:11" x14ac:dyDescent="0.25">
      <c r="A109" s="6"/>
    </row>
    <row r="117" spans="1:6" x14ac:dyDescent="0.25">
      <c r="A117" t="s">
        <v>122</v>
      </c>
      <c r="D117" t="s">
        <v>124</v>
      </c>
      <c r="F117" t="s">
        <v>125</v>
      </c>
    </row>
    <row r="118" spans="1:6" x14ac:dyDescent="0.25">
      <c r="C118" s="6">
        <f>A3</f>
        <v>44562</v>
      </c>
      <c r="D118">
        <f ca="1">SUMPRODUCT(D3:CP3,$D$70:$CP$70)</f>
        <v>99.999999999999957</v>
      </c>
      <c r="F118">
        <v>290.60000000000002</v>
      </c>
    </row>
    <row r="119" spans="1:6" x14ac:dyDescent="0.25">
      <c r="C119" s="6">
        <f>A4</f>
        <v>44593</v>
      </c>
      <c r="D119">
        <f ca="1">SUMPRODUCT(D4:CP4,$D$70:$CP$70)</f>
        <v>100.80396283663633</v>
      </c>
      <c r="F119" s="9">
        <f ca="1">D119*F$118/100</f>
        <v>292.93631600326518</v>
      </c>
    </row>
    <row r="120" spans="1:6" x14ac:dyDescent="0.25">
      <c r="C120" s="6">
        <f>A5</f>
        <v>44621</v>
      </c>
      <c r="D120">
        <f ca="1">SUMPRODUCT(D5:CP5,$D$70:$CP$70)</f>
        <v>101.83504193708329</v>
      </c>
      <c r="F120" s="9">
        <f ca="1">D120*F$118/100</f>
        <v>295.93263186916408</v>
      </c>
    </row>
    <row r="121" spans="1:6" x14ac:dyDescent="0.25">
      <c r="C121" s="6">
        <f>A6</f>
        <v>44652</v>
      </c>
      <c r="D121">
        <f ca="1">SUMPRODUCT(D6:CP6,$D$70:$CP$70)</f>
        <v>105.340735668424</v>
      </c>
      <c r="F121" s="9">
        <f ca="1">D121*F$118/100</f>
        <v>306.12017785244018</v>
      </c>
    </row>
    <row r="122" spans="1:6" x14ac:dyDescent="0.25">
      <c r="C122" s="6">
        <f>A7</f>
        <v>44682</v>
      </c>
      <c r="D122">
        <f ca="1">SUMPRODUCT(D7:CP7,$D$70:$CP$70)</f>
        <v>106.11988301295311</v>
      </c>
      <c r="F122" s="9">
        <f ca="1">D122*F$118/100</f>
        <v>308.38438003564175</v>
      </c>
    </row>
    <row r="123" spans="1:6" x14ac:dyDescent="0.25">
      <c r="C123" s="6">
        <f>A8</f>
        <v>44713</v>
      </c>
      <c r="D123">
        <f ca="1">SUMPRODUCT(D8:CP8,$D$70:$CP$70)</f>
        <v>107.04501813542416</v>
      </c>
      <c r="F123" s="9">
        <f ca="1">D123*F$118/100</f>
        <v>311.07282270154263</v>
      </c>
    </row>
    <row r="124" spans="1:6" x14ac:dyDescent="0.25">
      <c r="C124" s="6">
        <f>A9</f>
        <v>44743</v>
      </c>
      <c r="D124">
        <f ca="1">SUMPRODUCT(D9:CP9,$D$70:$CP$70)</f>
        <v>108.05946973306276</v>
      </c>
      <c r="F124" s="9">
        <f ca="1">D124*F$118/100</f>
        <v>314.02081904428042</v>
      </c>
    </row>
    <row r="125" spans="1:6" x14ac:dyDescent="0.25">
      <c r="C125" s="6">
        <f>A10</f>
        <v>44774</v>
      </c>
      <c r="D125">
        <f ca="1">SUMPRODUCT(D10:CP10,$D$70:$CP$70)</f>
        <v>108.16546422804781</v>
      </c>
      <c r="F125" s="9">
        <f ca="1">D125*F$118/100</f>
        <v>314.32883904670695</v>
      </c>
    </row>
    <row r="126" spans="1:6" x14ac:dyDescent="0.25">
      <c r="C126" s="6">
        <f>A11</f>
        <v>44805</v>
      </c>
      <c r="D126">
        <f ca="1">SUMPRODUCT(D11:CP11,$D$70:$CP$70)</f>
        <v>108.18256763949259</v>
      </c>
      <c r="F126" s="9">
        <f ca="1">D126*F$118/100</f>
        <v>314.37854156036548</v>
      </c>
    </row>
    <row r="127" spans="1:6" x14ac:dyDescent="0.25">
      <c r="C127" s="6">
        <f>A12</f>
        <v>44835</v>
      </c>
      <c r="D127">
        <f ca="1">SUMPRODUCT(D12:CP12,$D$70:$CP$70)</f>
        <v>108.25644444169222</v>
      </c>
      <c r="F127" s="9">
        <f ca="1">D127*F$118/100</f>
        <v>314.5932275475576</v>
      </c>
    </row>
    <row r="128" spans="1:6" x14ac:dyDescent="0.25">
      <c r="C128" s="6">
        <f>A13</f>
        <v>44866</v>
      </c>
      <c r="D128">
        <f ca="1">SUMPRODUCT(D13:CP13,$D$70:$CP$70)</f>
        <v>108.31266605243687</v>
      </c>
      <c r="F128" s="9">
        <f ca="1">D128*F$118/100</f>
        <v>314.75660754838157</v>
      </c>
    </row>
    <row r="129" spans="3:6" x14ac:dyDescent="0.25">
      <c r="C129" s="6">
        <f>A14</f>
        <v>44896</v>
      </c>
      <c r="D129">
        <f ca="1">SUMPRODUCT(D14:CP14,$D$70:$CP$70)</f>
        <v>108.39089476547795</v>
      </c>
      <c r="F129" s="9">
        <f ca="1">D129*F$118/100</f>
        <v>314.98394018847898</v>
      </c>
    </row>
    <row r="130" spans="3:6" x14ac:dyDescent="0.25">
      <c r="C130" s="6">
        <f t="shared" ref="C130" si="16">A17</f>
        <v>44927</v>
      </c>
      <c r="D130">
        <f ca="1">SUMPRODUCT(D17:CP17,$D$71:$CP$71)</f>
        <v>99.999999999999957</v>
      </c>
      <c r="F130">
        <f ca="1">D130*F$118/100</f>
        <v>290.59999999999991</v>
      </c>
    </row>
    <row r="131" spans="3:6" x14ac:dyDescent="0.25">
      <c r="C131" s="6">
        <f>A18</f>
        <v>44958</v>
      </c>
      <c r="D131">
        <f ca="1">SUMPRODUCT(D18:CP18,$D$71:$CP$71)</f>
        <v>100.10206117873639</v>
      </c>
      <c r="F131">
        <f ca="1">D131*F$118/100</f>
        <v>290.89658978540797</v>
      </c>
    </row>
    <row r="132" spans="3:6" x14ac:dyDescent="0.25">
      <c r="C132" s="6">
        <f>A19</f>
        <v>44986</v>
      </c>
      <c r="D132">
        <f ca="1">SUMPRODUCT(D19:CP19,$D$71:$CP$71)</f>
        <v>100.19036205624285</v>
      </c>
      <c r="F132">
        <f ca="1">D132*F$118/100</f>
        <v>291.15319213544177</v>
      </c>
    </row>
    <row r="133" spans="3:6" x14ac:dyDescent="0.25">
      <c r="C133" s="6">
        <f>A20</f>
        <v>45017</v>
      </c>
      <c r="D133">
        <f ca="1">SUMPRODUCT(D20:CP20,$D$71:$CP$71)</f>
        <v>100.29340937391453</v>
      </c>
    </row>
    <row r="134" spans="3:6" x14ac:dyDescent="0.25">
      <c r="C134" s="6">
        <f>A21</f>
        <v>45047</v>
      </c>
      <c r="D134">
        <f ca="1">SUMPRODUCT(D21:CP21,$D$71:$CP$71)</f>
        <v>100.28126585949492</v>
      </c>
    </row>
    <row r="135" spans="3:6" x14ac:dyDescent="0.25">
      <c r="C135" s="6">
        <f>A22</f>
        <v>45078</v>
      </c>
      <c r="D135">
        <f ca="1">SUMPRODUCT(D22:CP22,$D$71:$CP$71)</f>
        <v>100.32606081573111</v>
      </c>
    </row>
    <row r="136" spans="3:6" x14ac:dyDescent="0.25">
      <c r="C136" s="6">
        <f>A23</f>
        <v>45108</v>
      </c>
      <c r="D136">
        <f ca="1">SUMPRODUCT(D23:CP23,$D$71:$CP$71)</f>
        <v>100.37047558581803</v>
      </c>
    </row>
    <row r="137" spans="3:6" x14ac:dyDescent="0.25">
      <c r="C137" s="6">
        <f>A24</f>
        <v>45139</v>
      </c>
      <c r="D137">
        <f ca="1">SUMPRODUCT(D24:CP24,$D$71:$CP$71)</f>
        <v>100.45716006282049</v>
      </c>
    </row>
    <row r="138" spans="3:6" x14ac:dyDescent="0.25">
      <c r="C138" s="6">
        <f>A25</f>
        <v>45170</v>
      </c>
      <c r="D138">
        <f ca="1">SUMPRODUCT(D25:CP25,$D$71:$CP$71)</f>
        <v>100.4750092072176</v>
      </c>
    </row>
    <row r="139" spans="3:6" x14ac:dyDescent="0.25">
      <c r="C139" s="6">
        <f>A26</f>
        <v>45200</v>
      </c>
      <c r="D139">
        <f ca="1">SUMPRODUCT(D26:CP26,$D$71:$CP$71)</f>
        <v>100.54996899943112</v>
      </c>
    </row>
    <row r="140" spans="3:6" x14ac:dyDescent="0.25">
      <c r="C140" s="6">
        <f>A27</f>
        <v>45231</v>
      </c>
      <c r="D140">
        <f ca="1">SUMPRODUCT(D27:CP27,$D$71:$CP$71)</f>
        <v>100.59516911679056</v>
      </c>
    </row>
    <row r="141" spans="3:6" x14ac:dyDescent="0.25">
      <c r="C141" s="6">
        <f>A28</f>
        <v>45261</v>
      </c>
      <c r="D141">
        <f ca="1">SUMPRODUCT(D28:CP28,$D$71:$CP$71)</f>
        <v>100.73274159106963</v>
      </c>
    </row>
    <row r="142" spans="3:6" x14ac:dyDescent="0.25">
      <c r="C142" s="6">
        <f t="shared" ref="C142" si="17">A31</f>
        <v>45292</v>
      </c>
      <c r="D142">
        <f ca="1">SUMPRODUCT(D31:CP31,$D$72:$CP$72)</f>
        <v>99.999999999999957</v>
      </c>
    </row>
    <row r="143" spans="3:6" x14ac:dyDescent="0.25">
      <c r="C143" s="6">
        <f>A32</f>
        <v>45323</v>
      </c>
      <c r="D143">
        <f ca="1">SUMPRODUCT(D32:CP32,$D$72:$CP$72)</f>
        <v>100.05086042028589</v>
      </c>
    </row>
    <row r="144" spans="3:6" x14ac:dyDescent="0.25">
      <c r="C144" s="6">
        <f>A33</f>
        <v>45352</v>
      </c>
      <c r="D144">
        <f ca="1">SUMPRODUCT(D33:CP33,$D$72:$CP$72)</f>
        <v>100.11759902254882</v>
      </c>
    </row>
    <row r="145" spans="3:4" x14ac:dyDescent="0.25">
      <c r="C145" s="6">
        <f>A34</f>
        <v>45383</v>
      </c>
      <c r="D145">
        <f ca="1">SUMPRODUCT(D34:CP34,$D$72:$CP$72)</f>
        <v>100.19100094388048</v>
      </c>
    </row>
    <row r="146" spans="3:4" x14ac:dyDescent="0.25">
      <c r="C146" s="6">
        <f>A35</f>
        <v>45413</v>
      </c>
      <c r="D146">
        <f ca="1">SUMPRODUCT(D35:CP35,$D$72:$CP$72)</f>
        <v>100.20915699241773</v>
      </c>
    </row>
    <row r="147" spans="3:4" x14ac:dyDescent="0.25">
      <c r="C147" s="6">
        <f>A36</f>
        <v>45444</v>
      </c>
      <c r="D147">
        <f ca="1">SUMPRODUCT(D36:CP36,$D$72:$CP$72)</f>
        <v>100.27012506248873</v>
      </c>
    </row>
    <row r="148" spans="3:4" x14ac:dyDescent="0.25">
      <c r="C148" s="6">
        <f>A37</f>
        <v>45474</v>
      </c>
      <c r="D148" t="e">
        <f>SUMPRODUCT(D37:CP37,$D$72:$CP$72)</f>
        <v>#N/A</v>
      </c>
    </row>
    <row r="149" spans="3:4" x14ac:dyDescent="0.25">
      <c r="C149" s="6"/>
    </row>
    <row r="150" spans="3:4" x14ac:dyDescent="0.25">
      <c r="C150" s="6"/>
    </row>
    <row r="151" spans="3:4" x14ac:dyDescent="0.25">
      <c r="C151" s="6"/>
    </row>
    <row r="152" spans="3:4" x14ac:dyDescent="0.25">
      <c r="C152" s="6"/>
    </row>
    <row r="153" spans="3:4" x14ac:dyDescent="0.25">
      <c r="C153" s="6"/>
    </row>
    <row r="154" spans="3:4" x14ac:dyDescent="0.25">
      <c r="C154" s="6"/>
    </row>
    <row r="155" spans="3:4" x14ac:dyDescent="0.25">
      <c r="C155" s="6"/>
    </row>
    <row r="156" spans="3:4" x14ac:dyDescent="0.25">
      <c r="C156" s="6"/>
    </row>
    <row r="157" spans="3:4" x14ac:dyDescent="0.25">
      <c r="C15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90DBE-5E93-48F0-A285-66001CC8BCE0}">
  <sheetPr codeName="Sheet5"/>
  <dimension ref="A1:CN22"/>
  <sheetViews>
    <sheetView workbookViewId="0">
      <selection activeCell="H22" sqref="H22:H23"/>
    </sheetView>
  </sheetViews>
  <sheetFormatPr defaultRowHeight="15" x14ac:dyDescent="0.25"/>
  <cols>
    <col min="1" max="16384" width="9" style="3"/>
  </cols>
  <sheetData>
    <row r="1" spans="1:92" x14ac:dyDescent="0.25"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107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108</v>
      </c>
      <c r="N1" s="3" t="s">
        <v>28</v>
      </c>
      <c r="O1" s="3" t="s">
        <v>29</v>
      </c>
      <c r="P1" s="3" t="s">
        <v>109</v>
      </c>
      <c r="Q1" s="3" t="s">
        <v>31</v>
      </c>
      <c r="R1" s="3" t="s">
        <v>110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111</v>
      </c>
      <c r="AB1" s="3" t="s">
        <v>42</v>
      </c>
      <c r="AC1" s="3" t="s">
        <v>43</v>
      </c>
      <c r="AD1" s="3" t="s">
        <v>112</v>
      </c>
      <c r="AE1" s="3" t="s">
        <v>45</v>
      </c>
      <c r="AF1" s="3" t="s">
        <v>46</v>
      </c>
      <c r="AG1" s="3" t="s">
        <v>113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114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115</v>
      </c>
      <c r="AU1" s="3" t="s">
        <v>61</v>
      </c>
      <c r="AV1" s="3" t="s">
        <v>62</v>
      </c>
      <c r="AW1" s="3" t="s">
        <v>63</v>
      </c>
      <c r="AX1" s="3" t="s">
        <v>116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117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118</v>
      </c>
    </row>
    <row r="2" spans="1:92" x14ac:dyDescent="0.25">
      <c r="A2" s="3">
        <v>2008</v>
      </c>
      <c r="B2" s="3">
        <v>5</v>
      </c>
      <c r="C2" s="3">
        <v>4</v>
      </c>
      <c r="D2" s="3">
        <v>6</v>
      </c>
      <c r="E2" s="3">
        <v>4</v>
      </c>
      <c r="F2" s="3">
        <v>2</v>
      </c>
      <c r="G2" s="3">
        <v>1</v>
      </c>
      <c r="H2" s="3">
        <v>1</v>
      </c>
      <c r="I2" s="3">
        <v>2</v>
      </c>
      <c r="J2" s="3">
        <v>4</v>
      </c>
      <c r="K2" s="3">
        <v>7</v>
      </c>
      <c r="L2" s="3">
        <v>4</v>
      </c>
      <c r="M2" s="3">
        <v>2</v>
      </c>
      <c r="N2" s="3">
        <v>2</v>
      </c>
      <c r="O2" s="3">
        <v>1</v>
      </c>
      <c r="P2" s="3">
        <v>1</v>
      </c>
      <c r="Q2" s="3">
        <v>3</v>
      </c>
      <c r="R2" s="3">
        <v>1</v>
      </c>
      <c r="S2" s="3">
        <v>5</v>
      </c>
      <c r="T2" s="3">
        <v>4</v>
      </c>
      <c r="U2" s="3">
        <v>1</v>
      </c>
      <c r="V2" s="3">
        <v>1</v>
      </c>
      <c r="W2" s="3">
        <v>12</v>
      </c>
      <c r="X2" s="3">
        <v>1</v>
      </c>
      <c r="Y2" s="3">
        <v>10</v>
      </c>
      <c r="Z2" s="3">
        <v>5</v>
      </c>
      <c r="AA2" s="3">
        <v>2</v>
      </c>
      <c r="AB2" s="3">
        <v>3</v>
      </c>
      <c r="AC2" s="3">
        <v>9</v>
      </c>
      <c r="AD2" s="3">
        <v>7</v>
      </c>
      <c r="AE2" s="3">
        <v>2</v>
      </c>
      <c r="AF2" s="3">
        <v>8</v>
      </c>
      <c r="AG2" s="3">
        <v>7</v>
      </c>
      <c r="AH2" s="3">
        <v>1</v>
      </c>
      <c r="AI2" s="3">
        <v>10</v>
      </c>
      <c r="AJ2" s="3">
        <v>26</v>
      </c>
      <c r="AK2" s="3">
        <v>4</v>
      </c>
      <c r="AL2" s="3">
        <v>17</v>
      </c>
      <c r="AM2" s="3">
        <v>31</v>
      </c>
      <c r="AN2" s="3">
        <v>26</v>
      </c>
      <c r="AO2" s="3">
        <v>5</v>
      </c>
      <c r="AP2" s="3">
        <v>28</v>
      </c>
      <c r="AQ2" s="3">
        <v>15</v>
      </c>
      <c r="AR2" s="3">
        <v>13</v>
      </c>
      <c r="AS2" s="3">
        <v>24</v>
      </c>
      <c r="AT2" s="3">
        <v>3</v>
      </c>
      <c r="AU2" s="3">
        <v>59</v>
      </c>
      <c r="AV2" s="3">
        <v>60</v>
      </c>
      <c r="AW2" s="3">
        <v>55</v>
      </c>
      <c r="AX2" s="3">
        <v>39</v>
      </c>
      <c r="AY2" s="3">
        <v>12</v>
      </c>
      <c r="AZ2" s="3">
        <v>12</v>
      </c>
      <c r="BA2" s="3">
        <v>9</v>
      </c>
      <c r="BB2" s="3">
        <v>8</v>
      </c>
      <c r="BC2" s="3">
        <v>1</v>
      </c>
      <c r="BD2" s="3">
        <v>16</v>
      </c>
      <c r="BE2" s="3">
        <v>13</v>
      </c>
      <c r="BF2" s="3">
        <v>3</v>
      </c>
      <c r="BG2" s="3">
        <v>23</v>
      </c>
      <c r="BH2" s="3">
        <v>12</v>
      </c>
      <c r="BI2" s="3">
        <v>7</v>
      </c>
      <c r="BJ2" s="3">
        <v>4</v>
      </c>
      <c r="BK2" s="3">
        <v>13</v>
      </c>
      <c r="BL2" s="3">
        <v>7</v>
      </c>
      <c r="BM2" s="3">
        <v>1</v>
      </c>
      <c r="BN2" s="3">
        <v>21</v>
      </c>
      <c r="BO2" s="3">
        <v>13</v>
      </c>
      <c r="BP2" s="3">
        <v>29</v>
      </c>
      <c r="BQ2" s="3">
        <v>8</v>
      </c>
      <c r="BR2" s="3">
        <v>15</v>
      </c>
      <c r="BS2" s="3">
        <v>5</v>
      </c>
      <c r="BT2" s="3">
        <v>6</v>
      </c>
      <c r="BU2" s="3">
        <v>8</v>
      </c>
      <c r="BV2" s="3">
        <v>11</v>
      </c>
      <c r="BW2" s="3">
        <v>15</v>
      </c>
      <c r="BX2" s="3">
        <v>15</v>
      </c>
      <c r="BY2" s="3">
        <v>49</v>
      </c>
      <c r="BZ2" s="3">
        <v>19</v>
      </c>
      <c r="CA2" s="3">
        <v>43</v>
      </c>
      <c r="CB2" s="3">
        <v>22</v>
      </c>
      <c r="CC2" s="3">
        <v>5</v>
      </c>
      <c r="CD2" s="3">
        <v>4</v>
      </c>
      <c r="CE2" s="3">
        <v>11</v>
      </c>
      <c r="CF2" s="3">
        <v>8</v>
      </c>
      <c r="CG2" s="3">
        <v>4</v>
      </c>
      <c r="CH2" s="3">
        <v>10</v>
      </c>
      <c r="CI2" s="3">
        <v>10</v>
      </c>
      <c r="CJ2" s="3">
        <v>6</v>
      </c>
      <c r="CK2" s="3">
        <v>11</v>
      </c>
      <c r="CL2" s="3">
        <v>16</v>
      </c>
      <c r="CM2" s="3">
        <v>31</v>
      </c>
      <c r="CN2" s="3">
        <v>7</v>
      </c>
    </row>
    <row r="3" spans="1:92" x14ac:dyDescent="0.25">
      <c r="A3" s="3">
        <v>2009</v>
      </c>
      <c r="B3" s="3">
        <v>5</v>
      </c>
      <c r="C3" s="3">
        <v>4</v>
      </c>
      <c r="D3" s="3">
        <v>7</v>
      </c>
      <c r="E3" s="3">
        <v>5</v>
      </c>
      <c r="F3" s="3">
        <v>2</v>
      </c>
      <c r="G3" s="3">
        <v>1</v>
      </c>
      <c r="H3" s="3">
        <v>1</v>
      </c>
      <c r="I3" s="3">
        <v>2</v>
      </c>
      <c r="J3" s="3">
        <v>4</v>
      </c>
      <c r="K3" s="3">
        <v>7</v>
      </c>
      <c r="L3" s="3">
        <v>3</v>
      </c>
      <c r="M3" s="3">
        <v>2</v>
      </c>
      <c r="N3" s="3">
        <v>1</v>
      </c>
      <c r="O3" s="3">
        <v>1</v>
      </c>
      <c r="P3" s="3">
        <v>2</v>
      </c>
      <c r="Q3" s="3">
        <v>4</v>
      </c>
      <c r="R3" s="3">
        <v>1</v>
      </c>
      <c r="S3" s="3">
        <v>5</v>
      </c>
      <c r="T3" s="3">
        <v>4</v>
      </c>
      <c r="U3" s="3">
        <v>1</v>
      </c>
      <c r="V3" s="3">
        <v>1</v>
      </c>
      <c r="W3" s="3">
        <v>12</v>
      </c>
      <c r="X3" s="3">
        <v>1</v>
      </c>
      <c r="Y3" s="3">
        <v>12</v>
      </c>
      <c r="Z3" s="3">
        <v>5</v>
      </c>
      <c r="AA3" s="3">
        <v>2</v>
      </c>
      <c r="AB3" s="3">
        <v>3</v>
      </c>
      <c r="AC3" s="3">
        <v>10</v>
      </c>
      <c r="AD3" s="3">
        <v>8</v>
      </c>
      <c r="AE3" s="3">
        <v>2</v>
      </c>
      <c r="AF3" s="3">
        <v>8</v>
      </c>
      <c r="AG3" s="3">
        <v>7</v>
      </c>
      <c r="AH3" s="3">
        <v>1</v>
      </c>
      <c r="AI3" s="3">
        <v>11</v>
      </c>
      <c r="AJ3" s="3">
        <v>27</v>
      </c>
      <c r="AK3" s="3">
        <v>4</v>
      </c>
      <c r="AL3" s="3">
        <v>19</v>
      </c>
      <c r="AM3" s="3">
        <v>32</v>
      </c>
      <c r="AN3" s="3">
        <v>26</v>
      </c>
      <c r="AO3" s="3">
        <v>6</v>
      </c>
      <c r="AP3" s="3">
        <v>31</v>
      </c>
      <c r="AQ3" s="3">
        <v>17</v>
      </c>
      <c r="AR3" s="3">
        <v>14</v>
      </c>
      <c r="AS3" s="3">
        <v>24</v>
      </c>
      <c r="AT3" s="3">
        <v>3</v>
      </c>
      <c r="AU3" s="3">
        <v>62</v>
      </c>
      <c r="AV3" s="3">
        <v>41</v>
      </c>
      <c r="AW3" s="3">
        <v>50</v>
      </c>
      <c r="AX3" s="3">
        <v>40</v>
      </c>
      <c r="AY3" s="3">
        <v>14</v>
      </c>
      <c r="AZ3" s="3">
        <v>12</v>
      </c>
      <c r="BA3" s="3">
        <v>9</v>
      </c>
      <c r="BB3" s="3">
        <v>8</v>
      </c>
      <c r="BC3" s="3">
        <v>1</v>
      </c>
      <c r="BD3" s="3">
        <v>23</v>
      </c>
      <c r="BE3" s="3">
        <v>23</v>
      </c>
      <c r="BF3" s="3">
        <v>2</v>
      </c>
      <c r="BG3" s="3">
        <v>26</v>
      </c>
      <c r="BH3" s="3">
        <v>12</v>
      </c>
      <c r="BI3" s="3">
        <v>7</v>
      </c>
      <c r="BJ3" s="3">
        <v>4</v>
      </c>
      <c r="BK3" s="3">
        <v>13</v>
      </c>
      <c r="BL3" s="3">
        <v>8</v>
      </c>
      <c r="BM3" s="3">
        <v>1</v>
      </c>
      <c r="BN3" s="3">
        <v>23</v>
      </c>
      <c r="BO3" s="3">
        <v>12</v>
      </c>
      <c r="BP3" s="3">
        <v>25</v>
      </c>
      <c r="BQ3" s="3">
        <v>9</v>
      </c>
      <c r="BR3" s="3">
        <v>13</v>
      </c>
      <c r="BS3" s="3">
        <v>4</v>
      </c>
      <c r="BT3" s="3">
        <v>5</v>
      </c>
      <c r="BU3" s="3">
        <v>8</v>
      </c>
      <c r="BV3" s="3">
        <v>12</v>
      </c>
      <c r="BW3" s="3">
        <v>15</v>
      </c>
      <c r="BX3" s="3">
        <v>14</v>
      </c>
      <c r="BY3" s="3">
        <v>42</v>
      </c>
      <c r="BZ3" s="3">
        <v>20</v>
      </c>
      <c r="CA3" s="3">
        <v>36</v>
      </c>
      <c r="CB3" s="3">
        <v>23</v>
      </c>
      <c r="CC3" s="3">
        <v>4</v>
      </c>
      <c r="CD3" s="3">
        <v>3</v>
      </c>
      <c r="CE3" s="3">
        <v>13</v>
      </c>
      <c r="CF3" s="3">
        <v>8</v>
      </c>
      <c r="CG3" s="3">
        <v>4</v>
      </c>
      <c r="CH3" s="3">
        <v>11</v>
      </c>
      <c r="CI3" s="3">
        <v>9</v>
      </c>
      <c r="CJ3" s="3">
        <v>6</v>
      </c>
      <c r="CK3" s="3">
        <v>11</v>
      </c>
      <c r="CL3" s="3">
        <v>13</v>
      </c>
      <c r="CM3" s="3">
        <v>36</v>
      </c>
      <c r="CN3" s="3">
        <v>7</v>
      </c>
    </row>
    <row r="4" spans="1:92" x14ac:dyDescent="0.25">
      <c r="A4" s="3">
        <v>2010</v>
      </c>
      <c r="B4" s="3">
        <v>5</v>
      </c>
      <c r="C4" s="3">
        <v>4</v>
      </c>
      <c r="D4" s="3">
        <v>6</v>
      </c>
      <c r="E4" s="3">
        <v>4</v>
      </c>
      <c r="F4" s="3">
        <v>2</v>
      </c>
      <c r="G4" s="3">
        <v>1</v>
      </c>
      <c r="H4" s="3">
        <v>1</v>
      </c>
      <c r="I4" s="3">
        <v>2</v>
      </c>
      <c r="J4" s="3">
        <v>4</v>
      </c>
      <c r="K4" s="3">
        <v>7</v>
      </c>
      <c r="L4" s="3">
        <v>4</v>
      </c>
      <c r="M4" s="3">
        <v>2</v>
      </c>
      <c r="N4" s="3">
        <v>2</v>
      </c>
      <c r="O4" s="3">
        <v>1</v>
      </c>
      <c r="P4" s="3">
        <v>2</v>
      </c>
      <c r="Q4" s="3">
        <v>3</v>
      </c>
      <c r="R4" s="3">
        <v>1</v>
      </c>
      <c r="S4" s="3">
        <v>5</v>
      </c>
      <c r="T4" s="3">
        <v>4</v>
      </c>
      <c r="U4" s="3">
        <v>1</v>
      </c>
      <c r="V4" s="3">
        <v>1</v>
      </c>
      <c r="W4" s="3">
        <v>11</v>
      </c>
      <c r="X4" s="3">
        <v>1</v>
      </c>
      <c r="Y4" s="3">
        <v>11</v>
      </c>
      <c r="Z4" s="3">
        <v>5</v>
      </c>
      <c r="AA4" s="3">
        <v>2</v>
      </c>
      <c r="AB4" s="3">
        <v>3</v>
      </c>
      <c r="AC4" s="3">
        <v>9</v>
      </c>
      <c r="AD4" s="3">
        <v>7</v>
      </c>
      <c r="AE4" s="3">
        <v>2</v>
      </c>
      <c r="AF4" s="3">
        <v>7</v>
      </c>
      <c r="AG4" s="3">
        <v>6</v>
      </c>
      <c r="AH4" s="3">
        <v>1</v>
      </c>
      <c r="AI4" s="3">
        <v>11</v>
      </c>
      <c r="AJ4" s="3">
        <v>26</v>
      </c>
      <c r="AK4" s="3">
        <v>4</v>
      </c>
      <c r="AL4" s="3">
        <v>17</v>
      </c>
      <c r="AM4" s="3">
        <v>31</v>
      </c>
      <c r="AN4" s="3">
        <v>26</v>
      </c>
      <c r="AO4" s="3">
        <v>5</v>
      </c>
      <c r="AP4" s="3">
        <v>33</v>
      </c>
      <c r="AQ4" s="3">
        <v>18</v>
      </c>
      <c r="AR4" s="3">
        <v>15</v>
      </c>
      <c r="AS4" s="3">
        <v>24</v>
      </c>
      <c r="AT4" s="3">
        <v>3</v>
      </c>
      <c r="AU4" s="3">
        <v>69</v>
      </c>
      <c r="AV4" s="3">
        <v>34</v>
      </c>
      <c r="AW4" s="3">
        <v>55</v>
      </c>
      <c r="AX4" s="3">
        <v>39</v>
      </c>
      <c r="AY4" s="3">
        <v>13</v>
      </c>
      <c r="AZ4" s="3">
        <v>12</v>
      </c>
      <c r="BA4" s="3">
        <v>8</v>
      </c>
      <c r="BB4" s="3">
        <v>7</v>
      </c>
      <c r="BC4" s="3">
        <v>1</v>
      </c>
      <c r="BD4" s="3">
        <v>18</v>
      </c>
      <c r="BE4" s="3">
        <v>17</v>
      </c>
      <c r="BF4" s="3">
        <v>4</v>
      </c>
      <c r="BG4" s="3">
        <v>26</v>
      </c>
      <c r="BH4" s="3">
        <v>10</v>
      </c>
      <c r="BI4" s="3">
        <v>7</v>
      </c>
      <c r="BJ4" s="3">
        <v>4</v>
      </c>
      <c r="BK4" s="3">
        <v>13</v>
      </c>
      <c r="BL4" s="3">
        <v>7</v>
      </c>
      <c r="BM4" s="3">
        <v>1</v>
      </c>
      <c r="BN4" s="3">
        <v>23</v>
      </c>
      <c r="BO4" s="3">
        <v>13</v>
      </c>
      <c r="BP4" s="3">
        <v>22</v>
      </c>
      <c r="BQ4" s="3">
        <v>8</v>
      </c>
      <c r="BR4" s="3">
        <v>14</v>
      </c>
      <c r="BS4" s="3">
        <v>5</v>
      </c>
      <c r="BT4" s="3">
        <v>5</v>
      </c>
      <c r="BU4" s="3">
        <v>8</v>
      </c>
      <c r="BV4" s="3">
        <v>11</v>
      </c>
      <c r="BW4" s="3">
        <v>16</v>
      </c>
      <c r="BX4" s="3">
        <v>14</v>
      </c>
      <c r="BY4" s="3">
        <v>50</v>
      </c>
      <c r="BZ4" s="3">
        <v>19</v>
      </c>
      <c r="CA4" s="3">
        <v>49</v>
      </c>
      <c r="CB4" s="3">
        <v>26</v>
      </c>
      <c r="CC4" s="3">
        <v>6</v>
      </c>
      <c r="CD4" s="3">
        <v>4</v>
      </c>
      <c r="CE4" s="3">
        <v>10</v>
      </c>
      <c r="CF4" s="3">
        <v>8</v>
      </c>
      <c r="CG4" s="3">
        <v>3</v>
      </c>
      <c r="CH4" s="3">
        <v>12</v>
      </c>
      <c r="CI4" s="3">
        <v>8</v>
      </c>
      <c r="CJ4" s="3">
        <v>6</v>
      </c>
      <c r="CK4" s="3">
        <v>12</v>
      </c>
      <c r="CL4" s="3">
        <v>15</v>
      </c>
      <c r="CM4" s="3">
        <v>31</v>
      </c>
      <c r="CN4" s="3">
        <v>7</v>
      </c>
    </row>
    <row r="5" spans="1:92" x14ac:dyDescent="0.25">
      <c r="A5" s="3">
        <v>2011</v>
      </c>
      <c r="B5" s="3">
        <v>5</v>
      </c>
      <c r="C5" s="3">
        <v>4</v>
      </c>
      <c r="D5" s="3">
        <v>7</v>
      </c>
      <c r="E5" s="3">
        <v>4</v>
      </c>
      <c r="F5" s="3">
        <v>2</v>
      </c>
      <c r="G5" s="3">
        <v>1</v>
      </c>
      <c r="H5" s="3">
        <v>1</v>
      </c>
      <c r="I5" s="3">
        <v>2</v>
      </c>
      <c r="J5" s="3">
        <v>4</v>
      </c>
      <c r="K5" s="3">
        <v>7</v>
      </c>
      <c r="L5" s="3">
        <v>4</v>
      </c>
      <c r="M5" s="3">
        <v>2</v>
      </c>
      <c r="N5" s="3">
        <v>2</v>
      </c>
      <c r="O5" s="3">
        <v>1</v>
      </c>
      <c r="P5" s="3">
        <v>2</v>
      </c>
      <c r="Q5" s="3">
        <v>4</v>
      </c>
      <c r="R5" s="3">
        <v>1</v>
      </c>
      <c r="S5" s="3">
        <v>5</v>
      </c>
      <c r="T5" s="3">
        <v>4</v>
      </c>
      <c r="U5" s="3">
        <v>1</v>
      </c>
      <c r="V5" s="3">
        <v>1</v>
      </c>
      <c r="W5" s="3">
        <v>13</v>
      </c>
      <c r="X5" s="3">
        <v>1</v>
      </c>
      <c r="Y5" s="3">
        <v>12</v>
      </c>
      <c r="Z5" s="3">
        <v>5</v>
      </c>
      <c r="AA5" s="3">
        <v>2</v>
      </c>
      <c r="AB5" s="3">
        <v>3</v>
      </c>
      <c r="AC5" s="3">
        <v>9</v>
      </c>
      <c r="AD5" s="3">
        <v>7</v>
      </c>
      <c r="AE5" s="3">
        <v>2</v>
      </c>
      <c r="AF5" s="3">
        <v>8</v>
      </c>
      <c r="AG5" s="3">
        <v>7</v>
      </c>
      <c r="AH5" s="3">
        <v>1</v>
      </c>
      <c r="AI5" s="3">
        <v>11</v>
      </c>
      <c r="AJ5" s="3">
        <v>26</v>
      </c>
      <c r="AK5" s="3">
        <v>4</v>
      </c>
      <c r="AL5" s="3">
        <v>17</v>
      </c>
      <c r="AM5" s="3">
        <v>29</v>
      </c>
      <c r="AN5" s="3">
        <v>23</v>
      </c>
      <c r="AO5" s="3">
        <v>6</v>
      </c>
      <c r="AP5" s="3">
        <v>31</v>
      </c>
      <c r="AQ5" s="3">
        <v>17</v>
      </c>
      <c r="AR5" s="3">
        <v>14</v>
      </c>
      <c r="AS5" s="3">
        <v>24</v>
      </c>
      <c r="AT5" s="3">
        <v>4</v>
      </c>
      <c r="AU5" s="3">
        <v>73</v>
      </c>
      <c r="AV5" s="3">
        <v>32</v>
      </c>
      <c r="AW5" s="3">
        <v>54</v>
      </c>
      <c r="AX5" s="3">
        <v>40</v>
      </c>
      <c r="AY5" s="3">
        <v>13</v>
      </c>
      <c r="AZ5" s="3">
        <v>10</v>
      </c>
      <c r="BA5" s="3">
        <v>9</v>
      </c>
      <c r="BB5" s="3">
        <v>7</v>
      </c>
      <c r="BC5" s="3">
        <v>1</v>
      </c>
      <c r="BD5" s="3">
        <v>20</v>
      </c>
      <c r="BE5" s="3">
        <v>18</v>
      </c>
      <c r="BF5" s="3">
        <v>3</v>
      </c>
      <c r="BG5" s="3">
        <v>24</v>
      </c>
      <c r="BH5" s="3">
        <v>10</v>
      </c>
      <c r="BI5" s="3">
        <v>6</v>
      </c>
      <c r="BJ5" s="3">
        <v>5</v>
      </c>
      <c r="BK5" s="3">
        <v>13</v>
      </c>
      <c r="BL5" s="3">
        <v>7</v>
      </c>
      <c r="BM5" s="3">
        <v>1</v>
      </c>
      <c r="BN5" s="3">
        <v>23</v>
      </c>
      <c r="BO5" s="3">
        <v>14</v>
      </c>
      <c r="BP5" s="3">
        <v>25</v>
      </c>
      <c r="BQ5" s="3">
        <v>9</v>
      </c>
      <c r="BR5" s="3">
        <v>17</v>
      </c>
      <c r="BS5" s="3">
        <v>5</v>
      </c>
      <c r="BT5" s="3">
        <v>5</v>
      </c>
      <c r="BU5" s="3">
        <v>8</v>
      </c>
      <c r="BV5" s="3">
        <v>9</v>
      </c>
      <c r="BW5" s="3">
        <v>16</v>
      </c>
      <c r="BX5" s="3">
        <v>13</v>
      </c>
      <c r="BY5" s="3">
        <v>45</v>
      </c>
      <c r="BZ5" s="3">
        <v>20</v>
      </c>
      <c r="CA5" s="3">
        <v>46</v>
      </c>
      <c r="CB5" s="3">
        <v>26</v>
      </c>
      <c r="CC5" s="3">
        <v>6</v>
      </c>
      <c r="CD5" s="3">
        <v>4</v>
      </c>
      <c r="CE5" s="3">
        <v>10</v>
      </c>
      <c r="CF5" s="3">
        <v>9</v>
      </c>
      <c r="CG5" s="3">
        <v>3</v>
      </c>
      <c r="CH5" s="3">
        <v>10</v>
      </c>
      <c r="CI5" s="3">
        <v>8</v>
      </c>
      <c r="CJ5" s="3">
        <v>6</v>
      </c>
      <c r="CK5" s="3">
        <v>12</v>
      </c>
      <c r="CL5" s="3">
        <v>14</v>
      </c>
      <c r="CM5" s="3">
        <v>29</v>
      </c>
      <c r="CN5" s="3">
        <v>9</v>
      </c>
    </row>
    <row r="6" spans="1:92" x14ac:dyDescent="0.25">
      <c r="A6" s="3">
        <v>2012</v>
      </c>
      <c r="B6" s="3">
        <v>4</v>
      </c>
      <c r="C6" s="3">
        <v>4</v>
      </c>
      <c r="D6" s="3">
        <v>7</v>
      </c>
      <c r="E6" s="3">
        <v>4</v>
      </c>
      <c r="F6" s="3">
        <v>2</v>
      </c>
      <c r="G6" s="3">
        <v>1</v>
      </c>
      <c r="H6" s="3">
        <v>1</v>
      </c>
      <c r="I6" s="3">
        <v>2</v>
      </c>
      <c r="J6" s="3">
        <v>4</v>
      </c>
      <c r="K6" s="3">
        <v>7</v>
      </c>
      <c r="L6" s="3">
        <v>4</v>
      </c>
      <c r="M6" s="3">
        <v>2</v>
      </c>
      <c r="N6" s="3">
        <v>2</v>
      </c>
      <c r="O6" s="3">
        <v>1</v>
      </c>
      <c r="P6" s="3">
        <v>2</v>
      </c>
      <c r="Q6" s="3">
        <v>4</v>
      </c>
      <c r="R6" s="3">
        <v>1</v>
      </c>
      <c r="S6" s="3">
        <v>4</v>
      </c>
      <c r="T6" s="3">
        <v>4</v>
      </c>
      <c r="U6" s="3">
        <v>1</v>
      </c>
      <c r="V6" s="3">
        <v>2</v>
      </c>
      <c r="W6" s="3">
        <v>11</v>
      </c>
      <c r="X6" s="3">
        <v>1</v>
      </c>
      <c r="Y6" s="3">
        <v>11</v>
      </c>
      <c r="Z6" s="3">
        <v>5</v>
      </c>
      <c r="AA6" s="3">
        <v>2</v>
      </c>
      <c r="AB6" s="3">
        <v>3</v>
      </c>
      <c r="AC6" s="3">
        <v>9</v>
      </c>
      <c r="AD6" s="3">
        <v>7</v>
      </c>
      <c r="AE6" s="3">
        <v>2</v>
      </c>
      <c r="AF6" s="3">
        <v>8</v>
      </c>
      <c r="AG6" s="3">
        <v>6</v>
      </c>
      <c r="AH6" s="3">
        <v>2</v>
      </c>
      <c r="AI6" s="3">
        <v>11</v>
      </c>
      <c r="AJ6" s="3">
        <v>27</v>
      </c>
      <c r="AK6" s="3">
        <v>3</v>
      </c>
      <c r="AL6" s="3">
        <v>17</v>
      </c>
      <c r="AM6" s="3">
        <v>26</v>
      </c>
      <c r="AN6" s="3">
        <v>21</v>
      </c>
      <c r="AO6" s="3">
        <v>5</v>
      </c>
      <c r="AP6" s="3">
        <v>30</v>
      </c>
      <c r="AQ6" s="3">
        <v>16</v>
      </c>
      <c r="AR6" s="3">
        <v>14</v>
      </c>
      <c r="AS6" s="3">
        <v>25</v>
      </c>
      <c r="AT6" s="3">
        <v>4</v>
      </c>
      <c r="AU6" s="3">
        <v>75</v>
      </c>
      <c r="AV6" s="3">
        <v>29</v>
      </c>
      <c r="AW6" s="3">
        <v>56</v>
      </c>
      <c r="AX6" s="3">
        <v>41</v>
      </c>
      <c r="AY6" s="3">
        <v>13</v>
      </c>
      <c r="AZ6" s="3">
        <v>9</v>
      </c>
      <c r="BA6" s="3">
        <v>8</v>
      </c>
      <c r="BB6" s="3">
        <v>6</v>
      </c>
      <c r="BC6" s="3">
        <v>1</v>
      </c>
      <c r="BD6" s="3">
        <v>21</v>
      </c>
      <c r="BE6" s="3">
        <v>21</v>
      </c>
      <c r="BF6" s="3">
        <v>3</v>
      </c>
      <c r="BG6" s="3">
        <v>22</v>
      </c>
      <c r="BH6" s="3">
        <v>9</v>
      </c>
      <c r="BI6" s="3">
        <v>6</v>
      </c>
      <c r="BJ6" s="3">
        <v>4</v>
      </c>
      <c r="BK6" s="3">
        <v>13</v>
      </c>
      <c r="BL6" s="3">
        <v>8</v>
      </c>
      <c r="BM6" s="3">
        <v>1</v>
      </c>
      <c r="BN6" s="3">
        <v>24</v>
      </c>
      <c r="BO6" s="3">
        <v>13</v>
      </c>
      <c r="BP6" s="3">
        <v>29</v>
      </c>
      <c r="BQ6" s="3">
        <v>9</v>
      </c>
      <c r="BR6" s="3">
        <v>16</v>
      </c>
      <c r="BS6" s="3">
        <v>5</v>
      </c>
      <c r="BT6" s="3">
        <v>6</v>
      </c>
      <c r="BU6" s="3">
        <v>9</v>
      </c>
      <c r="BV6" s="3">
        <v>10</v>
      </c>
      <c r="BW6" s="3">
        <v>15</v>
      </c>
      <c r="BX6" s="3">
        <v>14</v>
      </c>
      <c r="BY6" s="3">
        <v>39</v>
      </c>
      <c r="BZ6" s="3">
        <v>20</v>
      </c>
      <c r="CA6" s="3">
        <v>47</v>
      </c>
      <c r="CB6" s="3">
        <v>25</v>
      </c>
      <c r="CC6" s="3">
        <v>6</v>
      </c>
      <c r="CD6" s="3">
        <v>4</v>
      </c>
      <c r="CE6" s="3">
        <v>13</v>
      </c>
      <c r="CF6" s="3">
        <v>7</v>
      </c>
      <c r="CG6" s="3">
        <v>3</v>
      </c>
      <c r="CH6" s="3">
        <v>10</v>
      </c>
      <c r="CI6" s="3">
        <v>8</v>
      </c>
      <c r="CJ6" s="3">
        <v>5</v>
      </c>
      <c r="CK6" s="3">
        <v>12</v>
      </c>
      <c r="CL6" s="3">
        <v>17</v>
      </c>
      <c r="CM6" s="3">
        <v>33</v>
      </c>
      <c r="CN6" s="3">
        <v>9</v>
      </c>
    </row>
    <row r="7" spans="1:92" x14ac:dyDescent="0.25">
      <c r="A7" s="3">
        <v>2013</v>
      </c>
      <c r="B7" s="3">
        <v>5</v>
      </c>
      <c r="C7" s="3">
        <v>4</v>
      </c>
      <c r="D7" s="3">
        <v>7</v>
      </c>
      <c r="E7" s="3">
        <v>4</v>
      </c>
      <c r="F7" s="3">
        <v>2</v>
      </c>
      <c r="G7" s="3">
        <v>1</v>
      </c>
      <c r="H7" s="3">
        <v>1</v>
      </c>
      <c r="I7" s="3">
        <v>2</v>
      </c>
      <c r="J7" s="3">
        <v>4</v>
      </c>
      <c r="K7" s="3">
        <v>7</v>
      </c>
      <c r="L7" s="3">
        <v>4</v>
      </c>
      <c r="M7" s="3">
        <v>2</v>
      </c>
      <c r="N7" s="3">
        <v>2</v>
      </c>
      <c r="O7" s="3">
        <v>1</v>
      </c>
      <c r="P7" s="3">
        <v>2</v>
      </c>
      <c r="Q7" s="3">
        <v>3</v>
      </c>
      <c r="R7" s="3">
        <v>1</v>
      </c>
      <c r="S7" s="3">
        <v>4</v>
      </c>
      <c r="T7" s="3">
        <v>4</v>
      </c>
      <c r="U7" s="3">
        <v>1</v>
      </c>
      <c r="V7" s="3">
        <v>1</v>
      </c>
      <c r="W7" s="3">
        <v>12</v>
      </c>
      <c r="X7" s="3">
        <v>1</v>
      </c>
      <c r="Y7" s="3">
        <v>13</v>
      </c>
      <c r="Z7" s="3">
        <v>5</v>
      </c>
      <c r="AA7" s="3">
        <v>2</v>
      </c>
      <c r="AB7" s="3">
        <v>3</v>
      </c>
      <c r="AC7" s="3">
        <v>9</v>
      </c>
      <c r="AD7" s="3">
        <v>7</v>
      </c>
      <c r="AE7" s="3">
        <v>2</v>
      </c>
      <c r="AF7" s="3">
        <v>8</v>
      </c>
      <c r="AG7" s="3">
        <v>7</v>
      </c>
      <c r="AH7" s="3">
        <v>1</v>
      </c>
      <c r="AI7" s="3">
        <v>11</v>
      </c>
      <c r="AJ7" s="3">
        <v>27</v>
      </c>
      <c r="AK7" s="3">
        <v>4</v>
      </c>
      <c r="AL7" s="3">
        <v>16</v>
      </c>
      <c r="AM7" s="3">
        <v>26</v>
      </c>
      <c r="AN7" s="3">
        <v>21</v>
      </c>
      <c r="AO7" s="3">
        <v>5</v>
      </c>
      <c r="AP7" s="3">
        <v>35</v>
      </c>
      <c r="AQ7" s="3">
        <v>20</v>
      </c>
      <c r="AR7" s="3">
        <v>15</v>
      </c>
      <c r="AS7" s="3">
        <v>26</v>
      </c>
      <c r="AT7" s="3">
        <v>4</v>
      </c>
      <c r="AU7" s="3">
        <v>86</v>
      </c>
      <c r="AV7" s="3">
        <v>29</v>
      </c>
      <c r="AW7" s="3">
        <v>58</v>
      </c>
      <c r="AX7" s="3">
        <v>43</v>
      </c>
      <c r="AY7" s="3">
        <v>14</v>
      </c>
      <c r="AZ7" s="3">
        <v>10</v>
      </c>
      <c r="BA7" s="3">
        <v>7</v>
      </c>
      <c r="BB7" s="3">
        <v>7</v>
      </c>
      <c r="BC7" s="3">
        <v>1</v>
      </c>
      <c r="BD7" s="3">
        <v>20</v>
      </c>
      <c r="BE7" s="3">
        <v>19</v>
      </c>
      <c r="BF7" s="3">
        <v>3</v>
      </c>
      <c r="BG7" s="3">
        <v>21</v>
      </c>
      <c r="BH7" s="3">
        <v>9</v>
      </c>
      <c r="BI7" s="3">
        <v>6</v>
      </c>
      <c r="BJ7" s="3">
        <v>4</v>
      </c>
      <c r="BK7" s="3">
        <v>12</v>
      </c>
      <c r="BL7" s="3">
        <v>8</v>
      </c>
      <c r="BM7" s="3">
        <v>1</v>
      </c>
      <c r="BN7" s="3">
        <v>24</v>
      </c>
      <c r="BO7" s="3">
        <v>13</v>
      </c>
      <c r="BP7" s="3">
        <v>24</v>
      </c>
      <c r="BQ7" s="3">
        <v>9</v>
      </c>
      <c r="BR7" s="3">
        <v>16</v>
      </c>
      <c r="BS7" s="3">
        <v>5</v>
      </c>
      <c r="BT7" s="3">
        <v>5</v>
      </c>
      <c r="BU7" s="3">
        <v>8</v>
      </c>
      <c r="BV7" s="3">
        <v>10</v>
      </c>
      <c r="BW7" s="3">
        <v>15</v>
      </c>
      <c r="BX7" s="3">
        <v>15</v>
      </c>
      <c r="BY7" s="3">
        <v>34</v>
      </c>
      <c r="BZ7" s="3">
        <v>19</v>
      </c>
      <c r="CA7" s="3">
        <v>45</v>
      </c>
      <c r="CB7" s="3">
        <v>24</v>
      </c>
      <c r="CC7" s="3">
        <v>6</v>
      </c>
      <c r="CD7" s="3">
        <v>4</v>
      </c>
      <c r="CE7" s="3">
        <v>8</v>
      </c>
      <c r="CF7" s="3">
        <v>6</v>
      </c>
      <c r="CG7" s="3">
        <v>3</v>
      </c>
      <c r="CH7" s="3">
        <v>9</v>
      </c>
      <c r="CI7" s="3">
        <v>7</v>
      </c>
      <c r="CJ7" s="3">
        <v>5</v>
      </c>
      <c r="CK7" s="3">
        <v>13</v>
      </c>
      <c r="CL7" s="3">
        <v>15</v>
      </c>
      <c r="CM7" s="3">
        <v>35</v>
      </c>
      <c r="CN7" s="3">
        <v>11</v>
      </c>
    </row>
    <row r="8" spans="1:92" x14ac:dyDescent="0.25">
      <c r="A8" s="3">
        <v>2014</v>
      </c>
      <c r="B8" s="3">
        <v>5</v>
      </c>
      <c r="C8" s="3">
        <v>4</v>
      </c>
      <c r="D8" s="3">
        <v>7</v>
      </c>
      <c r="E8" s="3">
        <v>4</v>
      </c>
      <c r="F8" s="3">
        <v>2</v>
      </c>
      <c r="G8" s="3">
        <v>1</v>
      </c>
      <c r="H8" s="3">
        <v>1</v>
      </c>
      <c r="I8" s="3">
        <v>2</v>
      </c>
      <c r="J8" s="3">
        <v>4</v>
      </c>
      <c r="K8" s="3">
        <v>7</v>
      </c>
      <c r="L8" s="3">
        <v>4</v>
      </c>
      <c r="M8" s="3">
        <v>2</v>
      </c>
      <c r="N8" s="3">
        <v>2</v>
      </c>
      <c r="O8" s="3">
        <v>1</v>
      </c>
      <c r="P8" s="3">
        <v>2</v>
      </c>
      <c r="Q8" s="3">
        <v>4</v>
      </c>
      <c r="R8" s="3">
        <v>1</v>
      </c>
      <c r="S8" s="3">
        <v>4</v>
      </c>
      <c r="T8" s="3">
        <v>4</v>
      </c>
      <c r="U8" s="3">
        <v>1</v>
      </c>
      <c r="V8" s="3">
        <v>2</v>
      </c>
      <c r="W8" s="3">
        <v>11</v>
      </c>
      <c r="X8" s="3">
        <v>1</v>
      </c>
      <c r="Y8" s="3">
        <v>11</v>
      </c>
      <c r="Z8" s="3">
        <v>5</v>
      </c>
      <c r="AA8" s="3">
        <v>2</v>
      </c>
      <c r="AB8" s="3">
        <v>3</v>
      </c>
      <c r="AC8" s="3">
        <v>9</v>
      </c>
      <c r="AD8" s="3">
        <v>7</v>
      </c>
      <c r="AE8" s="3">
        <v>2</v>
      </c>
      <c r="AF8" s="3">
        <v>7</v>
      </c>
      <c r="AG8" s="3">
        <v>6</v>
      </c>
      <c r="AH8" s="3">
        <v>1</v>
      </c>
      <c r="AI8" s="3">
        <v>11</v>
      </c>
      <c r="AJ8" s="3">
        <v>28</v>
      </c>
      <c r="AK8" s="3">
        <v>3</v>
      </c>
      <c r="AL8" s="3">
        <v>16</v>
      </c>
      <c r="AM8" s="3">
        <v>25</v>
      </c>
      <c r="AN8" s="3">
        <v>20</v>
      </c>
      <c r="AO8" s="3">
        <v>5</v>
      </c>
      <c r="AP8" s="3">
        <v>33</v>
      </c>
      <c r="AQ8" s="3">
        <v>18</v>
      </c>
      <c r="AR8" s="3">
        <v>15</v>
      </c>
      <c r="AS8" s="3">
        <v>25</v>
      </c>
      <c r="AT8" s="3">
        <v>4</v>
      </c>
      <c r="AU8" s="3">
        <v>87</v>
      </c>
      <c r="AV8" s="3">
        <v>30</v>
      </c>
      <c r="AW8" s="3">
        <v>58</v>
      </c>
      <c r="AX8" s="3">
        <v>42</v>
      </c>
      <c r="AY8" s="3">
        <v>14</v>
      </c>
      <c r="AZ8" s="3">
        <v>10</v>
      </c>
      <c r="BA8" s="3">
        <v>6</v>
      </c>
      <c r="BB8" s="3">
        <v>6</v>
      </c>
      <c r="BC8" s="3">
        <v>1</v>
      </c>
      <c r="BD8" s="3">
        <v>22</v>
      </c>
      <c r="BE8" s="3">
        <v>21</v>
      </c>
      <c r="BF8" s="3">
        <v>4</v>
      </c>
      <c r="BG8" s="3">
        <v>21</v>
      </c>
      <c r="BH8" s="3">
        <v>9</v>
      </c>
      <c r="BI8" s="3">
        <v>6</v>
      </c>
      <c r="BJ8" s="3">
        <v>4</v>
      </c>
      <c r="BK8" s="3">
        <v>12</v>
      </c>
      <c r="BL8" s="3">
        <v>9</v>
      </c>
      <c r="BM8" s="3">
        <v>1</v>
      </c>
      <c r="BN8" s="3">
        <v>24</v>
      </c>
      <c r="BO8" s="3">
        <v>13</v>
      </c>
      <c r="BP8" s="3">
        <v>24</v>
      </c>
      <c r="BQ8" s="3">
        <v>10</v>
      </c>
      <c r="BR8" s="3">
        <v>16</v>
      </c>
      <c r="BS8" s="3">
        <v>5</v>
      </c>
      <c r="BT8" s="3">
        <v>5</v>
      </c>
      <c r="BU8" s="3">
        <v>9</v>
      </c>
      <c r="BV8" s="3">
        <v>10</v>
      </c>
      <c r="BW8" s="3">
        <v>16</v>
      </c>
      <c r="BX8" s="3">
        <v>14</v>
      </c>
      <c r="BY8" s="3">
        <v>36</v>
      </c>
      <c r="BZ8" s="3">
        <v>17</v>
      </c>
      <c r="CA8" s="3">
        <v>43</v>
      </c>
      <c r="CB8" s="3">
        <v>24</v>
      </c>
      <c r="CC8" s="3">
        <v>7</v>
      </c>
      <c r="CD8" s="3">
        <v>4</v>
      </c>
      <c r="CE8" s="3">
        <v>11</v>
      </c>
      <c r="CF8" s="3">
        <v>7</v>
      </c>
      <c r="CG8" s="3">
        <v>2</v>
      </c>
      <c r="CH8" s="3">
        <v>9</v>
      </c>
      <c r="CI8" s="3">
        <v>7</v>
      </c>
      <c r="CJ8" s="3">
        <v>5</v>
      </c>
      <c r="CK8" s="3">
        <v>12</v>
      </c>
      <c r="CL8" s="3">
        <v>15</v>
      </c>
      <c r="CM8" s="3">
        <v>34</v>
      </c>
      <c r="CN8" s="3">
        <v>10</v>
      </c>
    </row>
    <row r="9" spans="1:92" x14ac:dyDescent="0.25">
      <c r="A9" s="3">
        <v>2015</v>
      </c>
      <c r="B9" s="3">
        <v>4</v>
      </c>
      <c r="C9" s="3">
        <v>4</v>
      </c>
      <c r="D9" s="3">
        <v>7</v>
      </c>
      <c r="E9" s="3">
        <v>4</v>
      </c>
      <c r="F9" s="3">
        <v>2</v>
      </c>
      <c r="G9" s="3">
        <v>1</v>
      </c>
      <c r="H9" s="3">
        <v>1</v>
      </c>
      <c r="I9" s="3">
        <v>2</v>
      </c>
      <c r="J9" s="3">
        <v>4</v>
      </c>
      <c r="K9" s="3">
        <v>7</v>
      </c>
      <c r="L9" s="3">
        <v>4</v>
      </c>
      <c r="M9" s="3">
        <v>2</v>
      </c>
      <c r="N9" s="3">
        <v>2</v>
      </c>
      <c r="O9" s="3">
        <v>1</v>
      </c>
      <c r="P9" s="3">
        <v>1</v>
      </c>
      <c r="Q9" s="3">
        <v>4</v>
      </c>
      <c r="R9" s="3">
        <v>1</v>
      </c>
      <c r="S9" s="3">
        <v>3</v>
      </c>
      <c r="T9" s="3">
        <v>4</v>
      </c>
      <c r="U9" s="3">
        <v>1</v>
      </c>
      <c r="V9" s="3">
        <v>1</v>
      </c>
      <c r="W9" s="3">
        <v>10</v>
      </c>
      <c r="X9" s="3">
        <v>1</v>
      </c>
      <c r="Y9" s="3">
        <v>11</v>
      </c>
      <c r="Z9" s="3">
        <v>5</v>
      </c>
      <c r="AA9" s="3">
        <v>2</v>
      </c>
      <c r="AB9" s="3">
        <v>3</v>
      </c>
      <c r="AC9" s="3">
        <v>8</v>
      </c>
      <c r="AD9" s="3">
        <v>6</v>
      </c>
      <c r="AE9" s="3">
        <v>2</v>
      </c>
      <c r="AF9" s="3">
        <v>8</v>
      </c>
      <c r="AG9" s="3">
        <v>6</v>
      </c>
      <c r="AH9" s="3">
        <v>2</v>
      </c>
      <c r="AI9" s="3">
        <v>11</v>
      </c>
      <c r="AJ9" s="3">
        <v>28</v>
      </c>
      <c r="AK9" s="3">
        <v>3</v>
      </c>
      <c r="AL9" s="3">
        <v>16</v>
      </c>
      <c r="AM9" s="3">
        <v>24</v>
      </c>
      <c r="AN9" s="3">
        <v>19</v>
      </c>
      <c r="AO9" s="3">
        <v>5</v>
      </c>
      <c r="AP9" s="3">
        <v>32</v>
      </c>
      <c r="AQ9" s="3">
        <v>18</v>
      </c>
      <c r="AR9" s="3">
        <v>14</v>
      </c>
      <c r="AS9" s="3">
        <v>23</v>
      </c>
      <c r="AT9" s="3">
        <v>4</v>
      </c>
      <c r="AU9" s="3">
        <v>84</v>
      </c>
      <c r="AV9" s="3">
        <v>29</v>
      </c>
      <c r="AW9" s="3">
        <v>73</v>
      </c>
      <c r="AX9" s="3">
        <v>40</v>
      </c>
      <c r="AY9" s="3">
        <v>14</v>
      </c>
      <c r="AZ9" s="3">
        <v>9</v>
      </c>
      <c r="BA9" s="3">
        <v>8</v>
      </c>
      <c r="BB9" s="3">
        <v>6</v>
      </c>
      <c r="BC9" s="3">
        <v>1</v>
      </c>
      <c r="BD9" s="3">
        <v>21</v>
      </c>
      <c r="BE9" s="3">
        <v>21</v>
      </c>
      <c r="BF9" s="3">
        <v>2</v>
      </c>
      <c r="BG9" s="3">
        <v>22</v>
      </c>
      <c r="BH9" s="3">
        <v>9</v>
      </c>
      <c r="BI9" s="3">
        <v>5</v>
      </c>
      <c r="BJ9" s="3">
        <v>4</v>
      </c>
      <c r="BK9" s="3">
        <v>12</v>
      </c>
      <c r="BL9" s="3">
        <v>7</v>
      </c>
      <c r="BM9" s="3">
        <v>1</v>
      </c>
      <c r="BN9" s="3">
        <v>25</v>
      </c>
      <c r="BO9" s="3">
        <v>13</v>
      </c>
      <c r="BP9" s="3">
        <v>26</v>
      </c>
      <c r="BQ9" s="3">
        <v>8</v>
      </c>
      <c r="BR9" s="3">
        <v>16</v>
      </c>
      <c r="BS9" s="3">
        <v>5</v>
      </c>
      <c r="BT9" s="3">
        <v>5</v>
      </c>
      <c r="BU9" s="3">
        <v>8</v>
      </c>
      <c r="BV9" s="3">
        <v>10</v>
      </c>
      <c r="BW9" s="3">
        <v>17</v>
      </c>
      <c r="BX9" s="3">
        <v>14</v>
      </c>
      <c r="BY9" s="3">
        <v>42</v>
      </c>
      <c r="BZ9" s="3">
        <v>16</v>
      </c>
      <c r="CA9" s="3">
        <v>35</v>
      </c>
      <c r="CB9" s="3">
        <v>22</v>
      </c>
      <c r="CC9" s="3">
        <v>7</v>
      </c>
      <c r="CD9" s="3">
        <v>3</v>
      </c>
      <c r="CE9" s="3">
        <v>15</v>
      </c>
      <c r="CF9" s="3">
        <v>7</v>
      </c>
      <c r="CG9" s="3">
        <v>2</v>
      </c>
      <c r="CH9" s="3">
        <v>8</v>
      </c>
      <c r="CI9" s="3">
        <v>6</v>
      </c>
      <c r="CJ9" s="3">
        <v>5</v>
      </c>
      <c r="CK9" s="3">
        <v>12</v>
      </c>
      <c r="CL9" s="3">
        <v>15</v>
      </c>
      <c r="CM9" s="3">
        <v>41</v>
      </c>
      <c r="CN9" s="3">
        <v>10</v>
      </c>
    </row>
    <row r="10" spans="1:92" x14ac:dyDescent="0.25">
      <c r="A10" s="3">
        <v>2016</v>
      </c>
      <c r="B10" s="3">
        <v>4</v>
      </c>
      <c r="C10" s="3">
        <v>4</v>
      </c>
      <c r="D10" s="3">
        <v>6</v>
      </c>
      <c r="E10" s="3">
        <v>4</v>
      </c>
      <c r="F10" s="3">
        <v>2</v>
      </c>
      <c r="G10" s="3">
        <v>1</v>
      </c>
      <c r="H10" s="3">
        <v>1</v>
      </c>
      <c r="I10" s="3">
        <v>1</v>
      </c>
      <c r="J10" s="3">
        <v>4</v>
      </c>
      <c r="K10" s="3">
        <v>6</v>
      </c>
      <c r="L10" s="3">
        <v>4</v>
      </c>
      <c r="M10" s="3">
        <v>2</v>
      </c>
      <c r="N10" s="3">
        <v>2</v>
      </c>
      <c r="O10" s="3">
        <v>1</v>
      </c>
      <c r="P10" s="3">
        <v>1</v>
      </c>
      <c r="Q10" s="3">
        <v>3</v>
      </c>
      <c r="R10" s="3">
        <v>1</v>
      </c>
      <c r="S10" s="3">
        <v>3</v>
      </c>
      <c r="T10" s="3">
        <v>4</v>
      </c>
      <c r="U10" s="3">
        <v>1</v>
      </c>
      <c r="V10" s="3">
        <v>2</v>
      </c>
      <c r="W10" s="3">
        <v>9</v>
      </c>
      <c r="X10" s="3">
        <v>1</v>
      </c>
      <c r="Y10" s="3">
        <v>11</v>
      </c>
      <c r="Z10" s="3">
        <v>3</v>
      </c>
      <c r="AA10" s="3">
        <v>1</v>
      </c>
      <c r="AB10" s="3">
        <v>2</v>
      </c>
      <c r="AC10" s="3">
        <v>8</v>
      </c>
      <c r="AD10" s="3">
        <v>6</v>
      </c>
      <c r="AE10" s="3">
        <v>2</v>
      </c>
      <c r="AF10" s="3">
        <v>8</v>
      </c>
      <c r="AG10" s="3">
        <v>7</v>
      </c>
      <c r="AH10" s="3">
        <v>1</v>
      </c>
      <c r="AI10" s="3">
        <v>10</v>
      </c>
      <c r="AJ10" s="3">
        <v>28</v>
      </c>
      <c r="AK10" s="3">
        <v>3</v>
      </c>
      <c r="AL10" s="3">
        <v>16</v>
      </c>
      <c r="AM10" s="3">
        <v>24</v>
      </c>
      <c r="AN10" s="3">
        <v>19</v>
      </c>
      <c r="AO10" s="3">
        <v>5</v>
      </c>
      <c r="AP10" s="3">
        <v>33</v>
      </c>
      <c r="AQ10" s="3">
        <v>19</v>
      </c>
      <c r="AR10" s="3">
        <v>14</v>
      </c>
      <c r="AS10" s="3">
        <v>21</v>
      </c>
      <c r="AT10" s="3">
        <v>4</v>
      </c>
      <c r="AU10" s="3">
        <v>83</v>
      </c>
      <c r="AV10" s="3">
        <v>28</v>
      </c>
      <c r="AW10" s="3">
        <v>80</v>
      </c>
      <c r="AX10" s="3">
        <v>40</v>
      </c>
      <c r="AY10" s="3">
        <v>13</v>
      </c>
      <c r="AZ10" s="3">
        <v>9</v>
      </c>
      <c r="BA10" s="3">
        <v>7</v>
      </c>
      <c r="BB10" s="3">
        <v>6</v>
      </c>
      <c r="BC10" s="3">
        <v>1</v>
      </c>
      <c r="BD10" s="3">
        <v>20</v>
      </c>
      <c r="BE10" s="3">
        <v>18</v>
      </c>
      <c r="BF10" s="3">
        <v>2</v>
      </c>
      <c r="BG10" s="3">
        <v>25</v>
      </c>
      <c r="BH10" s="3">
        <v>8</v>
      </c>
      <c r="BI10" s="3">
        <v>7</v>
      </c>
      <c r="BJ10" s="3">
        <v>4</v>
      </c>
      <c r="BK10" s="3">
        <v>11</v>
      </c>
      <c r="BL10" s="3">
        <v>7</v>
      </c>
      <c r="BM10" s="3">
        <v>1</v>
      </c>
      <c r="BN10" s="3">
        <v>25</v>
      </c>
      <c r="BO10" s="3">
        <v>14</v>
      </c>
      <c r="BP10" s="3">
        <v>27</v>
      </c>
      <c r="BQ10" s="3">
        <v>9</v>
      </c>
      <c r="BR10" s="3">
        <v>15</v>
      </c>
      <c r="BS10" s="3">
        <v>4</v>
      </c>
      <c r="BT10" s="3">
        <v>5</v>
      </c>
      <c r="BU10" s="3">
        <v>8</v>
      </c>
      <c r="BV10" s="3">
        <v>12</v>
      </c>
      <c r="BW10" s="3">
        <v>15</v>
      </c>
      <c r="BX10" s="3">
        <v>15</v>
      </c>
      <c r="BY10" s="3">
        <v>45</v>
      </c>
      <c r="BZ10" s="3">
        <v>16</v>
      </c>
      <c r="CA10" s="3">
        <v>33</v>
      </c>
      <c r="CB10" s="3">
        <v>23</v>
      </c>
      <c r="CC10" s="3">
        <v>7</v>
      </c>
      <c r="CD10" s="3">
        <v>3</v>
      </c>
      <c r="CE10" s="3">
        <v>16</v>
      </c>
      <c r="CF10" s="3">
        <v>7</v>
      </c>
      <c r="CG10" s="3">
        <v>2</v>
      </c>
      <c r="CH10" s="3">
        <v>9</v>
      </c>
      <c r="CI10" s="3">
        <v>6</v>
      </c>
      <c r="CJ10" s="3">
        <v>5</v>
      </c>
      <c r="CK10" s="3">
        <v>12</v>
      </c>
      <c r="CL10" s="3">
        <v>16</v>
      </c>
      <c r="CM10" s="3">
        <v>40</v>
      </c>
      <c r="CN10" s="3">
        <v>10</v>
      </c>
    </row>
    <row r="11" spans="1:92" x14ac:dyDescent="0.25">
      <c r="A11" s="3">
        <v>2017</v>
      </c>
      <c r="B11" s="3">
        <v>4</v>
      </c>
      <c r="C11" s="3">
        <v>3</v>
      </c>
      <c r="D11" s="3">
        <v>6</v>
      </c>
      <c r="E11" s="3">
        <v>4</v>
      </c>
      <c r="F11" s="3">
        <v>2</v>
      </c>
      <c r="G11" s="3">
        <v>1</v>
      </c>
      <c r="H11" s="3">
        <v>1</v>
      </c>
      <c r="I11" s="3">
        <v>1</v>
      </c>
      <c r="J11" s="3">
        <v>3</v>
      </c>
      <c r="K11" s="3">
        <v>6</v>
      </c>
      <c r="L11" s="3">
        <v>4</v>
      </c>
      <c r="M11" s="3">
        <v>2</v>
      </c>
      <c r="N11" s="3">
        <v>2</v>
      </c>
      <c r="O11" s="3">
        <v>1</v>
      </c>
      <c r="P11" s="3">
        <v>1</v>
      </c>
      <c r="Q11" s="3">
        <v>3</v>
      </c>
      <c r="R11" s="3">
        <v>1</v>
      </c>
      <c r="S11" s="3">
        <v>3</v>
      </c>
      <c r="T11" s="3">
        <v>4</v>
      </c>
      <c r="U11" s="3">
        <v>1</v>
      </c>
      <c r="V11" s="3">
        <v>2</v>
      </c>
      <c r="W11" s="3">
        <v>8</v>
      </c>
      <c r="X11" s="3">
        <v>1</v>
      </c>
      <c r="Y11" s="3">
        <v>11</v>
      </c>
      <c r="Z11" s="3">
        <v>4</v>
      </c>
      <c r="AA11" s="3">
        <v>1</v>
      </c>
      <c r="AB11" s="3">
        <v>3</v>
      </c>
      <c r="AC11" s="3">
        <v>8</v>
      </c>
      <c r="AD11" s="3">
        <v>6</v>
      </c>
      <c r="AE11" s="3">
        <v>2</v>
      </c>
      <c r="AF11" s="3">
        <v>9</v>
      </c>
      <c r="AG11" s="3">
        <v>7</v>
      </c>
      <c r="AH11" s="3">
        <v>2</v>
      </c>
      <c r="AI11" s="3">
        <v>11</v>
      </c>
      <c r="AJ11" s="3">
        <v>29</v>
      </c>
      <c r="AK11" s="3">
        <v>3</v>
      </c>
      <c r="AL11" s="3">
        <v>16</v>
      </c>
      <c r="AM11" s="3">
        <v>24</v>
      </c>
      <c r="AN11" s="3">
        <v>19</v>
      </c>
      <c r="AO11" s="3">
        <v>5</v>
      </c>
      <c r="AP11" s="3">
        <v>33</v>
      </c>
      <c r="AQ11" s="3">
        <v>19</v>
      </c>
      <c r="AR11" s="3">
        <v>14</v>
      </c>
      <c r="AS11" s="3">
        <v>20</v>
      </c>
      <c r="AT11" s="3">
        <v>4</v>
      </c>
      <c r="AU11" s="3">
        <v>84</v>
      </c>
      <c r="AV11" s="3">
        <v>25</v>
      </c>
      <c r="AW11" s="3">
        <v>84</v>
      </c>
      <c r="AX11" s="3">
        <v>39</v>
      </c>
      <c r="AY11" s="3">
        <v>13</v>
      </c>
      <c r="AZ11" s="3">
        <v>9</v>
      </c>
      <c r="BA11" s="3">
        <v>6</v>
      </c>
      <c r="BB11" s="3">
        <v>6</v>
      </c>
      <c r="BC11" s="3">
        <v>1</v>
      </c>
      <c r="BD11" s="3">
        <v>19</v>
      </c>
      <c r="BE11" s="3">
        <v>16</v>
      </c>
      <c r="BF11" s="3">
        <v>2</v>
      </c>
      <c r="BG11" s="3">
        <v>26</v>
      </c>
      <c r="BH11" s="3">
        <v>10</v>
      </c>
      <c r="BI11" s="3">
        <v>6</v>
      </c>
      <c r="BJ11" s="3">
        <v>4</v>
      </c>
      <c r="BK11" s="3">
        <v>11</v>
      </c>
      <c r="BL11" s="3">
        <v>8</v>
      </c>
      <c r="BM11" s="3">
        <v>1</v>
      </c>
      <c r="BN11" s="3">
        <v>26</v>
      </c>
      <c r="BO11" s="3">
        <v>15</v>
      </c>
      <c r="BP11" s="3">
        <v>22</v>
      </c>
      <c r="BQ11" s="3">
        <v>8</v>
      </c>
      <c r="BR11" s="3">
        <v>15</v>
      </c>
      <c r="BS11" s="3">
        <v>5</v>
      </c>
      <c r="BT11" s="3">
        <v>5</v>
      </c>
      <c r="BU11" s="3">
        <v>8</v>
      </c>
      <c r="BV11" s="3">
        <v>9</v>
      </c>
      <c r="BW11" s="3">
        <v>15</v>
      </c>
      <c r="BX11" s="3">
        <v>14</v>
      </c>
      <c r="BY11" s="3">
        <v>46</v>
      </c>
      <c r="BZ11" s="3">
        <v>16</v>
      </c>
      <c r="CA11" s="3">
        <v>37</v>
      </c>
      <c r="CB11" s="3">
        <v>24</v>
      </c>
      <c r="CC11" s="3">
        <v>6</v>
      </c>
      <c r="CD11" s="3">
        <v>3</v>
      </c>
      <c r="CE11" s="3">
        <v>17</v>
      </c>
      <c r="CF11" s="3">
        <v>6</v>
      </c>
      <c r="CG11" s="3">
        <v>2</v>
      </c>
      <c r="CH11" s="3">
        <v>9</v>
      </c>
      <c r="CI11" s="3">
        <v>6</v>
      </c>
      <c r="CJ11" s="3">
        <v>6</v>
      </c>
      <c r="CK11" s="3">
        <v>12</v>
      </c>
      <c r="CL11" s="3">
        <v>16</v>
      </c>
      <c r="CM11" s="3">
        <v>40</v>
      </c>
      <c r="CN11" s="3">
        <v>11</v>
      </c>
    </row>
    <row r="12" spans="1:92" x14ac:dyDescent="0.25">
      <c r="A12" s="3">
        <v>2018</v>
      </c>
      <c r="B12" s="3">
        <v>4</v>
      </c>
      <c r="C12" s="3">
        <v>3</v>
      </c>
      <c r="D12" s="3">
        <v>6</v>
      </c>
      <c r="E12" s="3">
        <v>3</v>
      </c>
      <c r="F12" s="3">
        <v>2</v>
      </c>
      <c r="G12" s="3">
        <v>1</v>
      </c>
      <c r="H12" s="3">
        <v>1</v>
      </c>
      <c r="I12" s="3">
        <v>1</v>
      </c>
      <c r="J12" s="3">
        <v>4</v>
      </c>
      <c r="K12" s="3">
        <v>6</v>
      </c>
      <c r="L12" s="3">
        <v>4</v>
      </c>
      <c r="M12" s="3">
        <v>2</v>
      </c>
      <c r="N12" s="3">
        <v>2</v>
      </c>
      <c r="O12" s="3">
        <v>1</v>
      </c>
      <c r="P12" s="3">
        <v>1</v>
      </c>
      <c r="Q12" s="3">
        <v>3</v>
      </c>
      <c r="R12" s="3">
        <v>1</v>
      </c>
      <c r="S12" s="3">
        <v>3</v>
      </c>
      <c r="T12" s="3">
        <v>4</v>
      </c>
      <c r="U12" s="3">
        <v>1</v>
      </c>
      <c r="V12" s="3">
        <v>2</v>
      </c>
      <c r="W12" s="3">
        <v>8</v>
      </c>
      <c r="X12" s="3">
        <v>1</v>
      </c>
      <c r="Y12" s="3">
        <v>11</v>
      </c>
      <c r="Z12" s="3">
        <v>4</v>
      </c>
      <c r="AA12" s="3">
        <v>1</v>
      </c>
      <c r="AB12" s="3">
        <v>3</v>
      </c>
      <c r="AC12" s="3">
        <v>8</v>
      </c>
      <c r="AD12" s="3">
        <v>6</v>
      </c>
      <c r="AE12" s="3">
        <v>2</v>
      </c>
      <c r="AF12" s="3">
        <v>9</v>
      </c>
      <c r="AG12" s="3">
        <v>7</v>
      </c>
      <c r="AH12" s="3">
        <v>2</v>
      </c>
      <c r="AI12" s="3">
        <v>11</v>
      </c>
      <c r="AJ12" s="3">
        <v>30</v>
      </c>
      <c r="AK12" s="3">
        <v>3</v>
      </c>
      <c r="AL12" s="3">
        <v>17</v>
      </c>
      <c r="AM12" s="3">
        <v>23</v>
      </c>
      <c r="AN12" s="3">
        <v>18</v>
      </c>
      <c r="AO12" s="3">
        <v>5</v>
      </c>
      <c r="AP12" s="3">
        <v>33</v>
      </c>
      <c r="AQ12" s="3">
        <v>19</v>
      </c>
      <c r="AR12" s="3">
        <v>14</v>
      </c>
      <c r="AS12" s="3">
        <v>19</v>
      </c>
      <c r="AT12" s="3">
        <v>4</v>
      </c>
      <c r="AU12" s="3">
        <v>76</v>
      </c>
      <c r="AV12" s="3">
        <v>24</v>
      </c>
      <c r="AW12" s="3">
        <v>83</v>
      </c>
      <c r="AX12" s="3">
        <v>38</v>
      </c>
      <c r="AY12" s="3">
        <v>12</v>
      </c>
      <c r="AZ12" s="3">
        <v>9</v>
      </c>
      <c r="BA12" s="3">
        <v>8</v>
      </c>
      <c r="BB12" s="3">
        <v>7</v>
      </c>
      <c r="BC12" s="3">
        <v>1</v>
      </c>
      <c r="BD12" s="3">
        <v>20</v>
      </c>
      <c r="BE12" s="3">
        <v>15</v>
      </c>
      <c r="BF12" s="3">
        <v>1</v>
      </c>
      <c r="BG12" s="3">
        <v>28</v>
      </c>
      <c r="BH12" s="3">
        <v>9</v>
      </c>
      <c r="BI12" s="3">
        <v>7</v>
      </c>
      <c r="BJ12" s="3">
        <v>4</v>
      </c>
      <c r="BK12" s="3">
        <v>11</v>
      </c>
      <c r="BL12" s="3">
        <v>9</v>
      </c>
      <c r="BM12" s="3">
        <v>1</v>
      </c>
      <c r="BN12" s="3">
        <v>25</v>
      </c>
      <c r="BO12" s="3">
        <v>13</v>
      </c>
      <c r="BP12" s="3">
        <v>19</v>
      </c>
      <c r="BQ12" s="3">
        <v>9</v>
      </c>
      <c r="BR12" s="3">
        <v>16</v>
      </c>
      <c r="BS12" s="3">
        <v>5</v>
      </c>
      <c r="BT12" s="3">
        <v>5</v>
      </c>
      <c r="BU12" s="3">
        <v>8</v>
      </c>
      <c r="BV12" s="3">
        <v>11</v>
      </c>
      <c r="BW12" s="3">
        <v>15</v>
      </c>
      <c r="BX12" s="3">
        <v>16</v>
      </c>
      <c r="BY12" s="3">
        <v>50</v>
      </c>
      <c r="BZ12" s="3">
        <v>16</v>
      </c>
      <c r="CA12" s="3">
        <v>34</v>
      </c>
      <c r="CB12" s="3">
        <v>24</v>
      </c>
      <c r="CC12" s="3">
        <v>6</v>
      </c>
      <c r="CD12" s="3">
        <v>3</v>
      </c>
      <c r="CE12" s="3">
        <v>16</v>
      </c>
      <c r="CF12" s="3">
        <v>6</v>
      </c>
      <c r="CG12" s="3">
        <v>2</v>
      </c>
      <c r="CH12" s="3">
        <v>10</v>
      </c>
      <c r="CI12" s="3">
        <v>6</v>
      </c>
      <c r="CJ12" s="3">
        <v>6</v>
      </c>
      <c r="CK12" s="3">
        <v>11</v>
      </c>
      <c r="CL12" s="3">
        <v>16</v>
      </c>
      <c r="CM12" s="3">
        <v>47</v>
      </c>
      <c r="CN12" s="3">
        <v>11</v>
      </c>
    </row>
    <row r="13" spans="1:92" x14ac:dyDescent="0.25">
      <c r="A13" s="3">
        <v>2019</v>
      </c>
      <c r="B13" s="3">
        <v>3</v>
      </c>
      <c r="C13" s="3">
        <v>3</v>
      </c>
      <c r="D13" s="3">
        <v>6</v>
      </c>
      <c r="E13" s="3">
        <v>3</v>
      </c>
      <c r="F13" s="3">
        <v>2</v>
      </c>
      <c r="G13" s="3">
        <v>1</v>
      </c>
      <c r="H13" s="3">
        <v>1</v>
      </c>
      <c r="I13" s="3">
        <v>1</v>
      </c>
      <c r="J13" s="3">
        <v>4</v>
      </c>
      <c r="K13" s="3">
        <v>6</v>
      </c>
      <c r="L13" s="3">
        <v>4</v>
      </c>
      <c r="M13" s="3">
        <v>2</v>
      </c>
      <c r="N13" s="3">
        <v>2</v>
      </c>
      <c r="O13" s="3">
        <v>1</v>
      </c>
      <c r="P13" s="3">
        <v>1</v>
      </c>
      <c r="Q13" s="3">
        <v>3</v>
      </c>
      <c r="R13" s="3">
        <v>1</v>
      </c>
      <c r="S13" s="3">
        <v>3</v>
      </c>
      <c r="T13" s="3">
        <v>4</v>
      </c>
      <c r="U13" s="3">
        <v>1</v>
      </c>
      <c r="V13" s="3">
        <v>2</v>
      </c>
      <c r="W13" s="3">
        <v>9</v>
      </c>
      <c r="X13" s="3">
        <v>1</v>
      </c>
      <c r="Y13" s="3">
        <v>11</v>
      </c>
      <c r="Z13" s="3">
        <v>4</v>
      </c>
      <c r="AA13" s="3">
        <v>1</v>
      </c>
      <c r="AB13" s="3">
        <v>3</v>
      </c>
      <c r="AC13" s="3">
        <v>8</v>
      </c>
      <c r="AD13" s="3">
        <v>6</v>
      </c>
      <c r="AE13" s="3">
        <v>2</v>
      </c>
      <c r="AF13" s="3">
        <v>8</v>
      </c>
      <c r="AG13" s="3">
        <v>7</v>
      </c>
      <c r="AH13" s="3">
        <v>1</v>
      </c>
      <c r="AI13" s="3">
        <v>11</v>
      </c>
      <c r="AJ13" s="3">
        <v>29</v>
      </c>
      <c r="AK13" s="3">
        <v>3</v>
      </c>
      <c r="AL13" s="3">
        <v>17</v>
      </c>
      <c r="AM13" s="3">
        <v>25</v>
      </c>
      <c r="AN13" s="3">
        <v>19</v>
      </c>
      <c r="AO13" s="3">
        <v>6</v>
      </c>
      <c r="AP13" s="3">
        <v>34</v>
      </c>
      <c r="AQ13" s="3">
        <v>19</v>
      </c>
      <c r="AR13" s="3">
        <v>15</v>
      </c>
      <c r="AS13" s="3">
        <v>18</v>
      </c>
      <c r="AT13" s="3">
        <v>5</v>
      </c>
      <c r="AU13" s="3">
        <v>75</v>
      </c>
      <c r="AV13" s="3">
        <v>25</v>
      </c>
      <c r="AW13" s="3">
        <v>84</v>
      </c>
      <c r="AX13" s="3">
        <v>39</v>
      </c>
      <c r="AY13" s="3">
        <v>12</v>
      </c>
      <c r="AZ13" s="3">
        <v>10</v>
      </c>
      <c r="BA13" s="3">
        <v>7</v>
      </c>
      <c r="BB13" s="3">
        <v>6</v>
      </c>
      <c r="BC13" s="3">
        <v>1</v>
      </c>
      <c r="BD13" s="3">
        <v>17</v>
      </c>
      <c r="BE13" s="3">
        <v>14</v>
      </c>
      <c r="BF13" s="3">
        <v>3</v>
      </c>
      <c r="BG13" s="3">
        <v>27</v>
      </c>
      <c r="BH13" s="3">
        <v>9</v>
      </c>
      <c r="BI13" s="3">
        <v>7</v>
      </c>
      <c r="BJ13" s="3">
        <v>5</v>
      </c>
      <c r="BK13" s="3">
        <v>11</v>
      </c>
      <c r="BL13" s="3">
        <v>9</v>
      </c>
      <c r="BM13" s="3">
        <v>1</v>
      </c>
      <c r="BN13" s="3">
        <v>24</v>
      </c>
      <c r="BO13" s="3">
        <v>14</v>
      </c>
      <c r="BP13" s="3">
        <v>23</v>
      </c>
      <c r="BQ13" s="3">
        <v>8</v>
      </c>
      <c r="BR13" s="3">
        <v>14</v>
      </c>
      <c r="BS13" s="3">
        <v>4</v>
      </c>
      <c r="BT13" s="3">
        <v>5</v>
      </c>
      <c r="BU13" s="3">
        <v>8</v>
      </c>
      <c r="BV13" s="3">
        <v>11</v>
      </c>
      <c r="BW13" s="3">
        <v>16</v>
      </c>
      <c r="BX13" s="3">
        <v>16</v>
      </c>
      <c r="BY13" s="3">
        <v>51</v>
      </c>
      <c r="BZ13" s="3">
        <v>17</v>
      </c>
      <c r="CA13" s="3">
        <v>35</v>
      </c>
      <c r="CB13" s="3">
        <v>22</v>
      </c>
      <c r="CC13" s="3">
        <v>7</v>
      </c>
      <c r="CD13" s="3">
        <v>3</v>
      </c>
      <c r="CE13" s="3">
        <v>18</v>
      </c>
      <c r="CF13" s="3">
        <v>4</v>
      </c>
      <c r="CG13" s="3">
        <v>1</v>
      </c>
      <c r="CH13" s="3">
        <v>9</v>
      </c>
      <c r="CI13" s="3">
        <v>5</v>
      </c>
      <c r="CJ13" s="3">
        <v>5</v>
      </c>
      <c r="CK13" s="3">
        <v>10</v>
      </c>
      <c r="CL13" s="3">
        <v>16</v>
      </c>
      <c r="CM13" s="3">
        <v>47</v>
      </c>
      <c r="CN13" s="3">
        <v>13</v>
      </c>
    </row>
    <row r="14" spans="1:92" x14ac:dyDescent="0.25">
      <c r="A14" s="3">
        <v>2020</v>
      </c>
      <c r="B14" s="3">
        <v>3</v>
      </c>
      <c r="C14" s="3">
        <v>3</v>
      </c>
      <c r="D14" s="3">
        <v>6</v>
      </c>
      <c r="E14" s="3">
        <v>3</v>
      </c>
      <c r="F14" s="3">
        <v>1</v>
      </c>
      <c r="G14" s="3">
        <v>1</v>
      </c>
      <c r="H14" s="3">
        <v>1</v>
      </c>
      <c r="I14" s="3">
        <v>1</v>
      </c>
      <c r="J14" s="3">
        <v>3</v>
      </c>
      <c r="K14" s="3">
        <v>6</v>
      </c>
      <c r="L14" s="3">
        <v>4</v>
      </c>
      <c r="M14" s="3">
        <v>2</v>
      </c>
      <c r="N14" s="3">
        <v>2</v>
      </c>
      <c r="O14" s="3">
        <v>1</v>
      </c>
      <c r="P14" s="3">
        <v>1</v>
      </c>
      <c r="Q14" s="3">
        <v>3</v>
      </c>
      <c r="R14" s="3">
        <v>1</v>
      </c>
      <c r="S14" s="3">
        <v>3</v>
      </c>
      <c r="T14" s="3">
        <v>4</v>
      </c>
      <c r="U14" s="3">
        <v>1</v>
      </c>
      <c r="V14" s="3">
        <v>2</v>
      </c>
      <c r="W14" s="3">
        <v>9</v>
      </c>
      <c r="X14" s="3">
        <v>1</v>
      </c>
      <c r="Y14" s="3">
        <v>12</v>
      </c>
      <c r="Z14" s="3">
        <v>4</v>
      </c>
      <c r="AA14" s="3">
        <v>1</v>
      </c>
      <c r="AB14" s="3">
        <v>3</v>
      </c>
      <c r="AC14" s="3">
        <v>8</v>
      </c>
      <c r="AD14" s="3">
        <v>6</v>
      </c>
      <c r="AE14" s="3">
        <v>2</v>
      </c>
      <c r="AF14" s="3">
        <v>9</v>
      </c>
      <c r="AG14" s="3">
        <v>7</v>
      </c>
      <c r="AH14" s="3">
        <v>2</v>
      </c>
      <c r="AI14" s="3">
        <v>12</v>
      </c>
      <c r="AJ14" s="3">
        <v>30</v>
      </c>
      <c r="AK14" s="3">
        <v>3</v>
      </c>
      <c r="AL14" s="3">
        <v>18</v>
      </c>
      <c r="AM14" s="3">
        <v>25</v>
      </c>
      <c r="AN14" s="3">
        <v>19</v>
      </c>
      <c r="AO14" s="3">
        <v>6</v>
      </c>
      <c r="AP14" s="3">
        <v>37</v>
      </c>
      <c r="AQ14" s="3">
        <v>21</v>
      </c>
      <c r="AR14" s="3">
        <v>16</v>
      </c>
      <c r="AS14" s="3">
        <v>18</v>
      </c>
      <c r="AT14" s="3">
        <v>4</v>
      </c>
      <c r="AU14" s="3">
        <v>82</v>
      </c>
      <c r="AV14" s="3">
        <v>24</v>
      </c>
      <c r="AW14" s="3">
        <v>84</v>
      </c>
      <c r="AX14" s="3">
        <v>41</v>
      </c>
      <c r="AY14" s="3">
        <v>13</v>
      </c>
      <c r="AZ14" s="3">
        <v>9</v>
      </c>
      <c r="BA14" s="3">
        <v>7</v>
      </c>
      <c r="BB14" s="3">
        <v>6</v>
      </c>
      <c r="BC14" s="3">
        <v>1</v>
      </c>
      <c r="BD14" s="3">
        <v>21</v>
      </c>
      <c r="BE14" s="3">
        <v>15</v>
      </c>
      <c r="BF14" s="3">
        <v>3</v>
      </c>
      <c r="BG14" s="3">
        <v>27</v>
      </c>
      <c r="BH14" s="3">
        <v>9</v>
      </c>
      <c r="BI14" s="3">
        <v>6</v>
      </c>
      <c r="BJ14" s="3">
        <v>4</v>
      </c>
      <c r="BK14" s="3">
        <v>12</v>
      </c>
      <c r="BL14" s="3">
        <v>9</v>
      </c>
      <c r="BM14" s="3">
        <v>1</v>
      </c>
      <c r="BN14" s="3">
        <v>24</v>
      </c>
      <c r="BO14" s="3">
        <v>12</v>
      </c>
      <c r="BP14" s="3">
        <v>18</v>
      </c>
      <c r="BQ14" s="3">
        <v>7</v>
      </c>
      <c r="BR14" s="3">
        <v>13</v>
      </c>
      <c r="BS14" s="3">
        <v>4</v>
      </c>
      <c r="BT14" s="3">
        <v>5</v>
      </c>
      <c r="BU14" s="3">
        <v>8</v>
      </c>
      <c r="BV14" s="3">
        <v>10</v>
      </c>
      <c r="BW14" s="3">
        <v>16</v>
      </c>
      <c r="BX14" s="3">
        <v>16</v>
      </c>
      <c r="BY14" s="3">
        <v>37</v>
      </c>
      <c r="BZ14" s="3">
        <v>15</v>
      </c>
      <c r="CA14" s="3">
        <v>37</v>
      </c>
      <c r="CB14" s="3">
        <v>24</v>
      </c>
      <c r="CC14" s="3">
        <v>7</v>
      </c>
      <c r="CD14" s="3">
        <v>3</v>
      </c>
      <c r="CE14" s="3">
        <v>16</v>
      </c>
      <c r="CF14" s="3">
        <v>5</v>
      </c>
      <c r="CG14" s="3">
        <v>1</v>
      </c>
      <c r="CH14" s="3">
        <v>9</v>
      </c>
      <c r="CI14" s="3">
        <v>5</v>
      </c>
      <c r="CJ14" s="3">
        <v>6</v>
      </c>
      <c r="CK14" s="3">
        <v>14</v>
      </c>
      <c r="CL14" s="3">
        <v>16</v>
      </c>
      <c r="CM14" s="3">
        <v>50</v>
      </c>
      <c r="CN14" s="3">
        <v>11</v>
      </c>
    </row>
    <row r="15" spans="1:92" x14ac:dyDescent="0.25">
      <c r="A15" s="3">
        <v>2021</v>
      </c>
      <c r="B15" s="3">
        <v>4</v>
      </c>
      <c r="C15" s="3">
        <v>4</v>
      </c>
      <c r="D15" s="3">
        <v>7</v>
      </c>
      <c r="E15" s="3">
        <v>4</v>
      </c>
      <c r="F15" s="3">
        <v>1</v>
      </c>
      <c r="G15" s="3">
        <v>1</v>
      </c>
      <c r="H15" s="3">
        <v>1</v>
      </c>
      <c r="I15" s="3">
        <v>1</v>
      </c>
      <c r="J15" s="3">
        <v>4</v>
      </c>
      <c r="K15" s="3">
        <v>6</v>
      </c>
      <c r="L15" s="3">
        <v>4</v>
      </c>
      <c r="M15" s="3">
        <v>2</v>
      </c>
      <c r="N15" s="3">
        <v>2</v>
      </c>
      <c r="O15" s="3">
        <v>1</v>
      </c>
      <c r="P15" s="3">
        <v>2</v>
      </c>
      <c r="Q15" s="3">
        <v>4</v>
      </c>
      <c r="R15" s="3">
        <v>1</v>
      </c>
      <c r="S15" s="3">
        <v>3</v>
      </c>
      <c r="T15" s="3">
        <v>4</v>
      </c>
      <c r="U15" s="3">
        <v>1</v>
      </c>
      <c r="V15" s="3">
        <v>2</v>
      </c>
      <c r="W15" s="3">
        <v>9</v>
      </c>
      <c r="X15" s="3">
        <v>1</v>
      </c>
      <c r="Y15" s="3">
        <v>14</v>
      </c>
      <c r="Z15" s="3">
        <v>4</v>
      </c>
      <c r="AA15" s="3">
        <v>1</v>
      </c>
      <c r="AB15" s="3">
        <v>3</v>
      </c>
      <c r="AC15" s="3">
        <v>9</v>
      </c>
      <c r="AD15" s="3">
        <v>7</v>
      </c>
      <c r="AE15" s="3">
        <v>2</v>
      </c>
      <c r="AF15" s="3">
        <v>10</v>
      </c>
      <c r="AG15" s="3">
        <v>8</v>
      </c>
      <c r="AH15" s="3">
        <v>2</v>
      </c>
      <c r="AI15" s="3">
        <v>13</v>
      </c>
      <c r="AJ15" s="3">
        <v>24</v>
      </c>
      <c r="AK15" s="3">
        <v>2</v>
      </c>
      <c r="AL15" s="3">
        <v>17</v>
      </c>
      <c r="AM15" s="3">
        <v>21</v>
      </c>
      <c r="AN15" s="3">
        <v>14</v>
      </c>
      <c r="AO15" s="3">
        <v>7</v>
      </c>
      <c r="AP15" s="3">
        <v>33</v>
      </c>
      <c r="AQ15" s="3">
        <v>15</v>
      </c>
      <c r="AR15" s="3">
        <v>18</v>
      </c>
      <c r="AS15" s="3">
        <v>17</v>
      </c>
      <c r="AT15" s="3">
        <v>4</v>
      </c>
      <c r="AU15" s="3">
        <v>79</v>
      </c>
      <c r="AV15" s="3">
        <v>24</v>
      </c>
      <c r="AW15" s="3">
        <v>90</v>
      </c>
      <c r="AX15" s="3">
        <v>45</v>
      </c>
      <c r="AY15" s="3">
        <v>13</v>
      </c>
      <c r="AZ15" s="3">
        <v>9</v>
      </c>
      <c r="BA15" s="3">
        <v>10</v>
      </c>
      <c r="BB15" s="3">
        <v>7</v>
      </c>
      <c r="BC15" s="3">
        <v>1</v>
      </c>
      <c r="BD15" s="3">
        <v>19</v>
      </c>
      <c r="BE15" s="3">
        <v>14</v>
      </c>
      <c r="BF15" s="3">
        <v>1</v>
      </c>
      <c r="BG15" s="3">
        <v>29</v>
      </c>
      <c r="BH15" s="3">
        <v>8</v>
      </c>
      <c r="BI15" s="3">
        <v>7</v>
      </c>
      <c r="BJ15" s="3">
        <v>5</v>
      </c>
      <c r="BK15" s="3">
        <v>13</v>
      </c>
      <c r="BL15" s="3">
        <v>11</v>
      </c>
      <c r="BM15" s="3">
        <v>1</v>
      </c>
      <c r="BN15" s="3">
        <v>24</v>
      </c>
      <c r="BO15" s="3">
        <v>11</v>
      </c>
      <c r="BP15" s="3">
        <v>19</v>
      </c>
      <c r="BQ15" s="3">
        <v>6</v>
      </c>
      <c r="BR15" s="3">
        <v>12</v>
      </c>
      <c r="BS15" s="3">
        <v>4</v>
      </c>
      <c r="BT15" s="3">
        <v>5</v>
      </c>
      <c r="BU15" s="3">
        <v>6</v>
      </c>
      <c r="BV15" s="3">
        <v>10</v>
      </c>
      <c r="BW15" s="3">
        <v>16</v>
      </c>
      <c r="BX15" s="3">
        <v>13</v>
      </c>
      <c r="BY15" s="3">
        <v>56</v>
      </c>
      <c r="BZ15" s="3">
        <v>15</v>
      </c>
      <c r="CA15" s="3">
        <v>28</v>
      </c>
      <c r="CB15" s="3">
        <v>23</v>
      </c>
      <c r="CC15" s="3">
        <v>6</v>
      </c>
      <c r="CD15" s="3">
        <v>3</v>
      </c>
      <c r="CE15" s="3">
        <v>16</v>
      </c>
      <c r="CF15" s="3">
        <v>6</v>
      </c>
      <c r="CG15" s="3">
        <v>1</v>
      </c>
      <c r="CH15" s="3">
        <v>10</v>
      </c>
      <c r="CI15" s="3">
        <v>5</v>
      </c>
      <c r="CJ15" s="3">
        <v>7</v>
      </c>
      <c r="CK15" s="3">
        <v>14</v>
      </c>
      <c r="CL15" s="3">
        <v>14</v>
      </c>
      <c r="CM15" s="3">
        <v>42</v>
      </c>
      <c r="CN15" s="3">
        <v>10</v>
      </c>
    </row>
    <row r="16" spans="1:92" x14ac:dyDescent="0.25">
      <c r="A16" s="3">
        <v>2022</v>
      </c>
      <c r="B16" s="3">
        <v>4</v>
      </c>
      <c r="C16" s="3">
        <v>4</v>
      </c>
      <c r="D16" s="3">
        <v>7</v>
      </c>
      <c r="E16" s="3">
        <v>4</v>
      </c>
      <c r="F16" s="3">
        <v>1</v>
      </c>
      <c r="G16" s="3">
        <v>1</v>
      </c>
      <c r="H16" s="3">
        <v>1</v>
      </c>
      <c r="I16" s="3">
        <v>1</v>
      </c>
      <c r="J16" s="3">
        <v>4</v>
      </c>
      <c r="K16" s="3">
        <v>7</v>
      </c>
      <c r="L16" s="3">
        <v>4</v>
      </c>
      <c r="M16" s="3">
        <v>2</v>
      </c>
      <c r="N16" s="3">
        <v>2</v>
      </c>
      <c r="O16" s="3">
        <v>1</v>
      </c>
      <c r="P16" s="3">
        <v>2</v>
      </c>
      <c r="Q16" s="3">
        <v>4</v>
      </c>
      <c r="R16" s="3">
        <v>1</v>
      </c>
      <c r="S16" s="3">
        <v>3</v>
      </c>
      <c r="T16" s="3">
        <v>5</v>
      </c>
      <c r="U16" s="3">
        <v>1</v>
      </c>
      <c r="V16" s="3">
        <v>2</v>
      </c>
      <c r="W16" s="3">
        <v>9</v>
      </c>
      <c r="X16" s="3">
        <v>2</v>
      </c>
      <c r="Y16" s="3">
        <v>14</v>
      </c>
      <c r="Z16" s="3">
        <v>5</v>
      </c>
      <c r="AA16" s="3">
        <v>1</v>
      </c>
      <c r="AB16" s="3">
        <v>4</v>
      </c>
      <c r="AC16" s="3">
        <v>9</v>
      </c>
      <c r="AD16" s="3">
        <v>7</v>
      </c>
      <c r="AE16" s="3">
        <v>2</v>
      </c>
      <c r="AF16" s="3">
        <v>10</v>
      </c>
      <c r="AG16" s="3">
        <v>8</v>
      </c>
      <c r="AH16" s="3">
        <v>2</v>
      </c>
      <c r="AI16" s="3">
        <v>15</v>
      </c>
      <c r="AJ16" s="3">
        <v>11</v>
      </c>
      <c r="AK16" s="3">
        <v>1</v>
      </c>
      <c r="AL16" s="3">
        <v>14</v>
      </c>
      <c r="AM16" s="3">
        <v>17</v>
      </c>
      <c r="AN16" s="3">
        <v>8</v>
      </c>
      <c r="AO16" s="3">
        <v>9</v>
      </c>
      <c r="AP16" s="3">
        <v>33</v>
      </c>
      <c r="AQ16" s="3">
        <v>11</v>
      </c>
      <c r="AR16" s="3">
        <v>22</v>
      </c>
      <c r="AS16" s="3">
        <v>20</v>
      </c>
      <c r="AT16" s="3">
        <v>7</v>
      </c>
      <c r="AU16" s="3">
        <v>84</v>
      </c>
      <c r="AV16" s="3">
        <v>24</v>
      </c>
      <c r="AW16" s="3">
        <v>103</v>
      </c>
      <c r="AX16" s="3">
        <v>49</v>
      </c>
      <c r="AY16" s="3">
        <v>13</v>
      </c>
      <c r="AZ16" s="3">
        <v>10</v>
      </c>
      <c r="BA16" s="3">
        <v>13</v>
      </c>
      <c r="BB16" s="3">
        <v>8</v>
      </c>
      <c r="BC16" s="3">
        <v>1</v>
      </c>
      <c r="BD16" s="3">
        <v>25</v>
      </c>
      <c r="BE16" s="3">
        <v>20</v>
      </c>
      <c r="BF16" s="3">
        <v>2</v>
      </c>
      <c r="BG16" s="3">
        <v>30</v>
      </c>
      <c r="BH16" s="3">
        <v>10</v>
      </c>
      <c r="BI16" s="3">
        <v>7</v>
      </c>
      <c r="BJ16" s="3">
        <v>5</v>
      </c>
      <c r="BK16" s="3">
        <v>13</v>
      </c>
      <c r="BL16" s="3">
        <v>11</v>
      </c>
      <c r="BM16" s="3">
        <v>1</v>
      </c>
      <c r="BN16" s="3">
        <v>25</v>
      </c>
      <c r="BO16" s="3">
        <v>7</v>
      </c>
      <c r="BP16" s="3">
        <v>27</v>
      </c>
      <c r="BQ16" s="3">
        <v>6</v>
      </c>
      <c r="BR16" s="3">
        <v>10</v>
      </c>
      <c r="BS16" s="3">
        <v>3</v>
      </c>
      <c r="BT16" s="3">
        <v>5</v>
      </c>
      <c r="BU16" s="3">
        <v>5</v>
      </c>
      <c r="BV16" s="3">
        <v>11</v>
      </c>
      <c r="BW16" s="3">
        <v>17</v>
      </c>
      <c r="BX16" s="3">
        <v>13</v>
      </c>
      <c r="BY16" s="3">
        <v>64</v>
      </c>
      <c r="BZ16" s="3">
        <v>18</v>
      </c>
      <c r="CA16" s="3">
        <v>28</v>
      </c>
      <c r="CB16" s="3">
        <v>26</v>
      </c>
      <c r="CC16" s="3">
        <v>1</v>
      </c>
      <c r="CD16" s="3">
        <v>1</v>
      </c>
      <c r="CE16" s="3">
        <v>9</v>
      </c>
      <c r="CF16" s="3">
        <v>7</v>
      </c>
      <c r="CG16" s="3">
        <v>1</v>
      </c>
      <c r="CH16" s="3">
        <v>11</v>
      </c>
      <c r="CI16" s="3">
        <v>5</v>
      </c>
      <c r="CJ16" s="3">
        <v>9</v>
      </c>
      <c r="CK16" s="3">
        <v>15</v>
      </c>
      <c r="CL16" s="3">
        <v>8</v>
      </c>
      <c r="CM16" s="3">
        <v>8</v>
      </c>
      <c r="CN16" s="3">
        <v>8</v>
      </c>
    </row>
    <row r="17" spans="1:92" x14ac:dyDescent="0.25">
      <c r="A17" s="3">
        <v>2022</v>
      </c>
      <c r="B17" s="3">
        <v>4</v>
      </c>
      <c r="C17" s="3">
        <v>4</v>
      </c>
      <c r="D17" s="3">
        <v>7</v>
      </c>
      <c r="E17" s="3">
        <v>4</v>
      </c>
      <c r="F17" s="3">
        <v>1</v>
      </c>
      <c r="G17" s="3">
        <v>0</v>
      </c>
      <c r="H17" s="3">
        <v>1</v>
      </c>
      <c r="I17" s="3">
        <v>1</v>
      </c>
      <c r="J17" s="3">
        <v>4</v>
      </c>
      <c r="K17" s="3">
        <v>7</v>
      </c>
      <c r="L17" s="3">
        <v>4</v>
      </c>
      <c r="M17" s="3">
        <v>0</v>
      </c>
      <c r="N17" s="3">
        <v>0</v>
      </c>
      <c r="O17" s="3">
        <v>1</v>
      </c>
      <c r="P17" s="3">
        <v>2</v>
      </c>
      <c r="Q17" s="3">
        <v>4</v>
      </c>
      <c r="R17" s="3">
        <v>1</v>
      </c>
      <c r="S17" s="3">
        <v>3</v>
      </c>
      <c r="T17" s="3">
        <v>5</v>
      </c>
      <c r="U17" s="3">
        <v>1</v>
      </c>
      <c r="V17" s="3">
        <v>2</v>
      </c>
      <c r="W17" s="3">
        <v>9</v>
      </c>
      <c r="X17" s="3">
        <v>2</v>
      </c>
      <c r="Y17" s="3">
        <v>14</v>
      </c>
      <c r="Z17" s="3">
        <v>5</v>
      </c>
      <c r="AA17" s="3">
        <v>0</v>
      </c>
      <c r="AB17" s="3">
        <v>0</v>
      </c>
      <c r="AC17" s="3">
        <v>9</v>
      </c>
      <c r="AD17" s="3">
        <v>0</v>
      </c>
      <c r="AE17" s="3">
        <v>0</v>
      </c>
      <c r="AF17" s="3">
        <v>10</v>
      </c>
      <c r="AG17" s="3">
        <v>0</v>
      </c>
      <c r="AH17" s="3">
        <v>0</v>
      </c>
      <c r="AI17" s="3">
        <v>15</v>
      </c>
      <c r="AJ17" s="3">
        <v>11</v>
      </c>
      <c r="AK17" s="3">
        <v>1</v>
      </c>
      <c r="AL17" s="3">
        <v>14</v>
      </c>
      <c r="AM17" s="3">
        <v>0</v>
      </c>
      <c r="AN17" s="3">
        <v>8</v>
      </c>
      <c r="AO17" s="3">
        <v>9</v>
      </c>
      <c r="AP17" s="3">
        <v>0</v>
      </c>
      <c r="AQ17" s="3">
        <v>11</v>
      </c>
      <c r="AR17" s="3">
        <v>22</v>
      </c>
      <c r="AS17" s="3">
        <v>20</v>
      </c>
      <c r="AT17" s="3">
        <v>7</v>
      </c>
      <c r="AU17" s="3">
        <v>84</v>
      </c>
      <c r="AV17" s="3">
        <v>24</v>
      </c>
      <c r="AW17" s="3">
        <v>103</v>
      </c>
      <c r="AX17" s="3">
        <v>49</v>
      </c>
      <c r="AY17" s="3">
        <v>13</v>
      </c>
      <c r="AZ17" s="3">
        <v>10</v>
      </c>
      <c r="BA17" s="3">
        <v>13</v>
      </c>
      <c r="BB17" s="3">
        <v>8</v>
      </c>
      <c r="BC17" s="3">
        <v>1</v>
      </c>
      <c r="BD17" s="3">
        <v>25</v>
      </c>
      <c r="BE17" s="3">
        <v>20</v>
      </c>
      <c r="BF17" s="3">
        <v>2</v>
      </c>
      <c r="BG17" s="3">
        <v>30</v>
      </c>
      <c r="BH17" s="3">
        <v>10</v>
      </c>
      <c r="BI17" s="3">
        <v>7</v>
      </c>
      <c r="BJ17" s="3">
        <v>5</v>
      </c>
      <c r="BK17" s="3">
        <v>13</v>
      </c>
      <c r="BL17" s="3">
        <v>11</v>
      </c>
      <c r="BM17" s="3">
        <v>1</v>
      </c>
      <c r="BN17" s="3">
        <v>25</v>
      </c>
      <c r="BO17" s="3">
        <v>7</v>
      </c>
      <c r="BP17" s="3">
        <v>27</v>
      </c>
      <c r="BQ17" s="3">
        <v>6</v>
      </c>
      <c r="BR17" s="3">
        <v>10</v>
      </c>
      <c r="BS17" s="3">
        <v>3</v>
      </c>
      <c r="BT17" s="3">
        <v>5</v>
      </c>
      <c r="BU17" s="3">
        <v>5</v>
      </c>
      <c r="BV17" s="3">
        <v>11</v>
      </c>
      <c r="BW17" s="3">
        <v>17</v>
      </c>
      <c r="BX17" s="3">
        <v>13</v>
      </c>
      <c r="BY17" s="3">
        <v>64</v>
      </c>
      <c r="BZ17" s="3">
        <v>18</v>
      </c>
      <c r="CA17" s="3">
        <v>28</v>
      </c>
      <c r="CB17" s="3">
        <v>26</v>
      </c>
      <c r="CC17" s="3">
        <v>1</v>
      </c>
      <c r="CD17" s="3">
        <v>1</v>
      </c>
      <c r="CE17" s="3">
        <v>9</v>
      </c>
      <c r="CF17" s="3">
        <v>7</v>
      </c>
      <c r="CG17" s="3">
        <v>1</v>
      </c>
      <c r="CH17" s="3">
        <v>11</v>
      </c>
      <c r="CI17" s="3">
        <v>5</v>
      </c>
      <c r="CJ17" s="3">
        <v>9</v>
      </c>
      <c r="CK17" s="3">
        <v>15</v>
      </c>
      <c r="CL17" s="3">
        <v>8</v>
      </c>
      <c r="CM17" s="3">
        <v>8</v>
      </c>
      <c r="CN17" s="3">
        <v>8</v>
      </c>
    </row>
    <row r="18" spans="1:92" x14ac:dyDescent="0.25">
      <c r="A18" s="3">
        <v>2023</v>
      </c>
      <c r="B18" s="3">
        <v>4</v>
      </c>
      <c r="C18" s="3">
        <v>4</v>
      </c>
      <c r="D18" s="3">
        <v>7</v>
      </c>
      <c r="E18" s="3">
        <v>4</v>
      </c>
      <c r="F18" s="3">
        <v>1</v>
      </c>
      <c r="G18" s="3">
        <v>0</v>
      </c>
      <c r="H18" s="3">
        <v>1</v>
      </c>
      <c r="I18" s="3">
        <v>1</v>
      </c>
      <c r="J18" s="3">
        <v>4</v>
      </c>
      <c r="K18" s="3">
        <v>7</v>
      </c>
      <c r="L18" s="3">
        <v>4</v>
      </c>
      <c r="M18" s="3">
        <v>0</v>
      </c>
      <c r="N18" s="3">
        <v>0</v>
      </c>
      <c r="O18" s="3">
        <v>1</v>
      </c>
      <c r="P18" s="3">
        <v>2</v>
      </c>
      <c r="Q18" s="3">
        <v>4</v>
      </c>
      <c r="R18" s="3">
        <v>1</v>
      </c>
      <c r="S18" s="3">
        <v>3</v>
      </c>
      <c r="T18" s="3">
        <v>5</v>
      </c>
      <c r="U18" s="3">
        <v>1</v>
      </c>
      <c r="V18" s="3">
        <v>2</v>
      </c>
      <c r="W18" s="3">
        <v>9</v>
      </c>
      <c r="X18" s="3">
        <v>2</v>
      </c>
      <c r="Y18" s="3">
        <v>14</v>
      </c>
      <c r="Z18" s="3">
        <v>5</v>
      </c>
      <c r="AA18" s="3">
        <v>0</v>
      </c>
      <c r="AB18" s="3">
        <v>0</v>
      </c>
      <c r="AC18" s="3">
        <v>9</v>
      </c>
      <c r="AD18" s="3">
        <v>0</v>
      </c>
      <c r="AE18" s="3">
        <v>0</v>
      </c>
      <c r="AF18" s="3">
        <v>10</v>
      </c>
      <c r="AG18" s="3">
        <v>0</v>
      </c>
      <c r="AH18" s="3">
        <v>0</v>
      </c>
      <c r="AI18" s="3">
        <v>15</v>
      </c>
      <c r="AJ18" s="3">
        <v>11</v>
      </c>
      <c r="AK18" s="3">
        <v>1</v>
      </c>
      <c r="AL18" s="3">
        <v>14</v>
      </c>
      <c r="AM18" s="3">
        <v>0</v>
      </c>
      <c r="AN18" s="3">
        <v>8</v>
      </c>
      <c r="AO18" s="3">
        <v>9</v>
      </c>
      <c r="AP18" s="3">
        <v>0</v>
      </c>
      <c r="AQ18" s="3">
        <v>11</v>
      </c>
      <c r="AR18" s="3">
        <v>22</v>
      </c>
      <c r="AS18" s="3">
        <v>20</v>
      </c>
      <c r="AT18" s="3">
        <v>7</v>
      </c>
      <c r="AU18" s="3">
        <v>84</v>
      </c>
      <c r="AV18" s="3">
        <v>24</v>
      </c>
      <c r="AW18" s="3">
        <v>103</v>
      </c>
      <c r="AX18" s="3">
        <v>49</v>
      </c>
      <c r="AY18" s="3">
        <v>13</v>
      </c>
      <c r="AZ18" s="3">
        <v>10</v>
      </c>
      <c r="BA18" s="3">
        <v>13</v>
      </c>
      <c r="BB18" s="3">
        <v>8</v>
      </c>
      <c r="BC18" s="3">
        <v>1</v>
      </c>
      <c r="BD18" s="3">
        <v>25</v>
      </c>
      <c r="BE18" s="3">
        <v>20</v>
      </c>
      <c r="BF18" s="3">
        <v>2</v>
      </c>
      <c r="BG18" s="3">
        <v>30</v>
      </c>
      <c r="BH18" s="3">
        <v>10</v>
      </c>
      <c r="BI18" s="3">
        <v>7</v>
      </c>
      <c r="BJ18" s="3">
        <v>5</v>
      </c>
      <c r="BK18" s="3">
        <v>13</v>
      </c>
      <c r="BL18" s="3">
        <v>11</v>
      </c>
      <c r="BM18" s="3">
        <v>1</v>
      </c>
      <c r="BN18" s="3">
        <v>25</v>
      </c>
      <c r="BO18" s="3">
        <v>7</v>
      </c>
      <c r="BP18" s="3">
        <v>27</v>
      </c>
      <c r="BQ18" s="3">
        <v>6</v>
      </c>
      <c r="BR18" s="3">
        <v>10</v>
      </c>
      <c r="BS18" s="3">
        <v>3</v>
      </c>
      <c r="BT18" s="3">
        <v>5</v>
      </c>
      <c r="BU18" s="3">
        <v>5</v>
      </c>
      <c r="BV18" s="3">
        <v>11</v>
      </c>
      <c r="BW18" s="3">
        <v>17</v>
      </c>
      <c r="BX18" s="3">
        <v>13</v>
      </c>
      <c r="BY18" s="3">
        <v>64</v>
      </c>
      <c r="BZ18" s="3">
        <v>18</v>
      </c>
      <c r="CA18" s="3">
        <v>28</v>
      </c>
      <c r="CB18" s="3">
        <v>26</v>
      </c>
      <c r="CC18" s="3">
        <v>1</v>
      </c>
      <c r="CD18" s="3">
        <v>1</v>
      </c>
      <c r="CE18" s="3">
        <v>9</v>
      </c>
      <c r="CF18" s="3">
        <v>7</v>
      </c>
      <c r="CG18" s="3">
        <v>1</v>
      </c>
      <c r="CH18" s="3">
        <v>11</v>
      </c>
      <c r="CI18" s="3">
        <v>5</v>
      </c>
      <c r="CJ18" s="3">
        <v>9</v>
      </c>
      <c r="CK18" s="3">
        <v>15</v>
      </c>
      <c r="CL18" s="3">
        <v>8</v>
      </c>
      <c r="CM18" s="3">
        <v>8</v>
      </c>
      <c r="CN18" s="3">
        <v>8</v>
      </c>
    </row>
    <row r="19" spans="1:92" x14ac:dyDescent="0.25">
      <c r="A19" s="3">
        <v>2024</v>
      </c>
      <c r="B19" s="3">
        <v>4</v>
      </c>
      <c r="C19" s="3">
        <v>4</v>
      </c>
      <c r="D19" s="3">
        <v>7</v>
      </c>
      <c r="E19" s="3">
        <v>4</v>
      </c>
      <c r="F19" s="3">
        <v>1</v>
      </c>
      <c r="G19" s="3">
        <v>0</v>
      </c>
      <c r="H19" s="3">
        <v>1</v>
      </c>
      <c r="I19" s="3">
        <v>1</v>
      </c>
      <c r="J19" s="3">
        <v>4</v>
      </c>
      <c r="K19" s="3">
        <v>7</v>
      </c>
      <c r="L19" s="3">
        <v>4</v>
      </c>
      <c r="M19" s="3">
        <v>0</v>
      </c>
      <c r="N19" s="3">
        <v>0</v>
      </c>
      <c r="O19" s="3">
        <v>1</v>
      </c>
      <c r="P19" s="3">
        <v>2</v>
      </c>
      <c r="Q19" s="3">
        <v>4</v>
      </c>
      <c r="R19" s="3">
        <v>1</v>
      </c>
      <c r="S19" s="3">
        <v>3</v>
      </c>
      <c r="T19" s="3">
        <v>5</v>
      </c>
      <c r="U19" s="3">
        <v>1</v>
      </c>
      <c r="V19" s="3">
        <v>2</v>
      </c>
      <c r="W19" s="3">
        <v>9</v>
      </c>
      <c r="X19" s="3">
        <v>2</v>
      </c>
      <c r="Y19" s="3">
        <v>14</v>
      </c>
      <c r="Z19" s="3">
        <v>5</v>
      </c>
      <c r="AA19" s="3">
        <v>0</v>
      </c>
      <c r="AB19" s="3">
        <v>0</v>
      </c>
      <c r="AC19" s="3">
        <v>9</v>
      </c>
      <c r="AD19" s="3">
        <v>0</v>
      </c>
      <c r="AE19" s="3">
        <v>0</v>
      </c>
      <c r="AF19" s="3">
        <v>10</v>
      </c>
      <c r="AG19" s="3">
        <v>0</v>
      </c>
      <c r="AH19" s="3">
        <v>0</v>
      </c>
      <c r="AI19" s="3">
        <v>15</v>
      </c>
      <c r="AJ19" s="3">
        <v>11</v>
      </c>
      <c r="AK19" s="3">
        <v>1</v>
      </c>
      <c r="AL19" s="3">
        <v>14</v>
      </c>
      <c r="AM19" s="3">
        <v>0</v>
      </c>
      <c r="AN19" s="3">
        <v>8</v>
      </c>
      <c r="AO19" s="3">
        <v>9</v>
      </c>
      <c r="AP19" s="3">
        <v>0</v>
      </c>
      <c r="AQ19" s="3">
        <v>11</v>
      </c>
      <c r="AR19" s="3">
        <v>22</v>
      </c>
      <c r="AS19" s="3">
        <v>20</v>
      </c>
      <c r="AT19" s="3">
        <v>7</v>
      </c>
      <c r="AU19" s="3">
        <v>84</v>
      </c>
      <c r="AV19" s="3">
        <v>24</v>
      </c>
      <c r="AW19" s="3">
        <v>103</v>
      </c>
      <c r="AX19" s="3">
        <v>49</v>
      </c>
      <c r="AY19" s="3">
        <v>13</v>
      </c>
      <c r="AZ19" s="3">
        <v>10</v>
      </c>
      <c r="BA19" s="3">
        <v>13</v>
      </c>
      <c r="BB19" s="3">
        <v>8</v>
      </c>
      <c r="BC19" s="3">
        <v>1</v>
      </c>
      <c r="BD19" s="3">
        <v>25</v>
      </c>
      <c r="BE19" s="3">
        <v>20</v>
      </c>
      <c r="BF19" s="3">
        <v>2</v>
      </c>
      <c r="BG19" s="3">
        <v>30</v>
      </c>
      <c r="BH19" s="3">
        <v>10</v>
      </c>
      <c r="BI19" s="3">
        <v>7</v>
      </c>
      <c r="BJ19" s="3">
        <v>5</v>
      </c>
      <c r="BK19" s="3">
        <v>13</v>
      </c>
      <c r="BL19" s="3">
        <v>11</v>
      </c>
      <c r="BM19" s="3">
        <v>1</v>
      </c>
      <c r="BN19" s="3">
        <v>25</v>
      </c>
      <c r="BO19" s="3">
        <v>7</v>
      </c>
      <c r="BP19" s="3">
        <v>27</v>
      </c>
      <c r="BQ19" s="3">
        <v>6</v>
      </c>
      <c r="BR19" s="3">
        <v>10</v>
      </c>
      <c r="BS19" s="3">
        <v>3</v>
      </c>
      <c r="BT19" s="3">
        <v>5</v>
      </c>
      <c r="BU19" s="3">
        <v>5</v>
      </c>
      <c r="BV19" s="3">
        <v>11</v>
      </c>
      <c r="BW19" s="3">
        <v>17</v>
      </c>
      <c r="BX19" s="3">
        <v>13</v>
      </c>
      <c r="BY19" s="3">
        <v>64</v>
      </c>
      <c r="BZ19" s="3">
        <v>18</v>
      </c>
      <c r="CA19" s="3">
        <v>28</v>
      </c>
      <c r="CB19" s="3">
        <v>26</v>
      </c>
      <c r="CC19" s="3">
        <v>1</v>
      </c>
      <c r="CD19" s="3">
        <v>1</v>
      </c>
      <c r="CE19" s="3">
        <v>9</v>
      </c>
      <c r="CF19" s="3">
        <v>7</v>
      </c>
      <c r="CG19" s="3">
        <v>1</v>
      </c>
      <c r="CH19" s="3">
        <v>11</v>
      </c>
      <c r="CI19" s="3">
        <v>5</v>
      </c>
      <c r="CJ19" s="3">
        <v>9</v>
      </c>
      <c r="CK19" s="3">
        <v>15</v>
      </c>
      <c r="CL19" s="3">
        <v>8</v>
      </c>
      <c r="CM19" s="3">
        <v>8</v>
      </c>
      <c r="CN19" s="3">
        <v>8</v>
      </c>
    </row>
    <row r="20" spans="1:92" x14ac:dyDescent="0.25">
      <c r="AG20" s="3">
        <f t="shared" ref="AG19:AG22" si="0">SUM(B15:CN15)</f>
        <v>1082</v>
      </c>
    </row>
    <row r="21" spans="1:92" x14ac:dyDescent="0.25">
      <c r="AG21" s="3">
        <f t="shared" si="0"/>
        <v>1079</v>
      </c>
    </row>
    <row r="22" spans="1:92" x14ac:dyDescent="0.25">
      <c r="AG22" s="3">
        <f t="shared" si="0"/>
        <v>1000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9A488-A370-41F2-80E8-4E622F9D102E}">
  <sheetPr codeName="Sheet6"/>
  <dimension ref="A1:CN428"/>
  <sheetViews>
    <sheetView topLeftCell="A47" workbookViewId="0">
      <pane xSplit="1" topLeftCell="AF1" activePane="topRight" state="frozen"/>
      <selection activeCell="A2" sqref="A2"/>
      <selection pane="topRight" activeCell="AS80" sqref="AS80"/>
    </sheetView>
  </sheetViews>
  <sheetFormatPr defaultRowHeight="15" x14ac:dyDescent="0.25"/>
  <cols>
    <col min="1" max="1" width="12.625" style="3" customWidth="1"/>
    <col min="2" max="48" width="9" style="3"/>
    <col min="49" max="49" width="27.25" style="3" customWidth="1"/>
    <col min="50" max="90" width="9" style="3"/>
    <col min="91" max="91" width="40.25" style="3" customWidth="1"/>
    <col min="92" max="92" width="8" style="3" customWidth="1"/>
    <col min="93" max="16384" width="9" style="3"/>
  </cols>
  <sheetData>
    <row r="1" spans="1:92" x14ac:dyDescent="0.25">
      <c r="A1" s="3" t="s">
        <v>15</v>
      </c>
      <c r="B1" s="3" t="s">
        <v>16</v>
      </c>
      <c r="C1" s="3" t="s">
        <v>17</v>
      </c>
      <c r="D1" s="3" t="s">
        <v>18</v>
      </c>
      <c r="E1" s="3" t="s">
        <v>19</v>
      </c>
      <c r="F1" s="3" t="s">
        <v>20</v>
      </c>
      <c r="G1" s="3" t="s">
        <v>21</v>
      </c>
      <c r="H1" s="3" t="s">
        <v>22</v>
      </c>
      <c r="I1" s="3" t="s">
        <v>23</v>
      </c>
      <c r="J1" s="3" t="s">
        <v>24</v>
      </c>
      <c r="K1" s="3" t="s">
        <v>25</v>
      </c>
      <c r="L1" s="3" t="s">
        <v>26</v>
      </c>
      <c r="M1" s="3" t="s">
        <v>27</v>
      </c>
      <c r="N1" s="3" t="s">
        <v>28</v>
      </c>
      <c r="O1" s="3" t="s">
        <v>29</v>
      </c>
      <c r="P1" s="3" t="s">
        <v>30</v>
      </c>
      <c r="Q1" s="3" t="s">
        <v>31</v>
      </c>
      <c r="R1" s="3" t="s">
        <v>32</v>
      </c>
      <c r="S1" s="3" t="s">
        <v>33</v>
      </c>
      <c r="T1" s="3" t="s">
        <v>34</v>
      </c>
      <c r="U1" s="3" t="s">
        <v>35</v>
      </c>
      <c r="V1" s="3" t="s">
        <v>36</v>
      </c>
      <c r="W1" s="3" t="s">
        <v>37</v>
      </c>
      <c r="X1" s="3" t="s">
        <v>38</v>
      </c>
      <c r="Y1" s="3" t="s">
        <v>39</v>
      </c>
      <c r="Z1" s="3" t="s">
        <v>40</v>
      </c>
      <c r="AA1" s="3" t="s">
        <v>41</v>
      </c>
      <c r="AB1" s="3" t="s">
        <v>42</v>
      </c>
      <c r="AC1" s="3" t="s">
        <v>43</v>
      </c>
      <c r="AD1" s="3" t="s">
        <v>44</v>
      </c>
      <c r="AE1" s="3" t="s">
        <v>45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3" t="s">
        <v>53</v>
      </c>
      <c r="AN1" s="3" t="s">
        <v>54</v>
      </c>
      <c r="AO1" s="3" t="s">
        <v>55</v>
      </c>
      <c r="AP1" s="3" t="s">
        <v>56</v>
      </c>
      <c r="AQ1" s="3" t="s">
        <v>57</v>
      </c>
      <c r="AR1" s="3" t="s">
        <v>58</v>
      </c>
      <c r="AS1" s="3" t="s">
        <v>59</v>
      </c>
      <c r="AT1" s="3" t="s">
        <v>60</v>
      </c>
      <c r="AU1" s="3" t="s">
        <v>61</v>
      </c>
      <c r="AV1" s="3" t="s">
        <v>62</v>
      </c>
      <c r="AW1" s="3" t="s">
        <v>63</v>
      </c>
      <c r="AX1" s="3" t="s">
        <v>64</v>
      </c>
      <c r="AY1" s="3" t="s">
        <v>65</v>
      </c>
      <c r="AZ1" s="3" t="s">
        <v>66</v>
      </c>
      <c r="BA1" s="3" t="s">
        <v>67</v>
      </c>
      <c r="BB1" s="3" t="s">
        <v>68</v>
      </c>
      <c r="BC1" s="3" t="s">
        <v>69</v>
      </c>
      <c r="BD1" s="3" t="s">
        <v>70</v>
      </c>
      <c r="BE1" s="3" t="s">
        <v>71</v>
      </c>
      <c r="BF1" s="3" t="s">
        <v>72</v>
      </c>
      <c r="BG1" s="3" t="s">
        <v>73</v>
      </c>
      <c r="BH1" s="3" t="s">
        <v>74</v>
      </c>
      <c r="BI1" s="3" t="s">
        <v>75</v>
      </c>
      <c r="BJ1" s="3" t="s">
        <v>76</v>
      </c>
      <c r="BK1" s="3" t="s">
        <v>77</v>
      </c>
      <c r="BL1" s="3" t="s">
        <v>78</v>
      </c>
      <c r="BM1" s="3" t="s">
        <v>79</v>
      </c>
      <c r="BN1" s="3" t="s">
        <v>80</v>
      </c>
      <c r="BO1" s="3" t="s">
        <v>81</v>
      </c>
      <c r="BP1" s="3" t="s">
        <v>82</v>
      </c>
      <c r="BQ1" s="3" t="s">
        <v>83</v>
      </c>
      <c r="BR1" s="3" t="s">
        <v>84</v>
      </c>
      <c r="BS1" s="3" t="s">
        <v>85</v>
      </c>
      <c r="BT1" s="3" t="s">
        <v>86</v>
      </c>
      <c r="BU1" s="3" t="s">
        <v>87</v>
      </c>
      <c r="BV1" s="3" t="s">
        <v>88</v>
      </c>
      <c r="BW1" s="3" t="s">
        <v>89</v>
      </c>
      <c r="BX1" s="3" t="s">
        <v>90</v>
      </c>
      <c r="BY1" s="3" t="s">
        <v>91</v>
      </c>
      <c r="BZ1" s="3" t="s">
        <v>92</v>
      </c>
      <c r="CA1" s="3" t="s">
        <v>93</v>
      </c>
      <c r="CB1" s="3" t="s">
        <v>94</v>
      </c>
      <c r="CC1" s="3" t="s">
        <v>95</v>
      </c>
      <c r="CD1" s="3" t="s">
        <v>96</v>
      </c>
      <c r="CE1" s="3" t="s">
        <v>97</v>
      </c>
      <c r="CF1" s="3" t="s">
        <v>98</v>
      </c>
      <c r="CG1" s="3" t="s">
        <v>99</v>
      </c>
      <c r="CH1" s="3" t="s">
        <v>100</v>
      </c>
      <c r="CI1" s="3" t="s">
        <v>101</v>
      </c>
      <c r="CJ1" s="3" t="s">
        <v>102</v>
      </c>
      <c r="CK1" s="3" t="s">
        <v>103</v>
      </c>
      <c r="CL1" s="3" t="s">
        <v>104</v>
      </c>
      <c r="CM1" s="3" t="s">
        <v>105</v>
      </c>
      <c r="CN1" s="3" t="s">
        <v>106</v>
      </c>
    </row>
    <row r="2" spans="1:92" x14ac:dyDescent="0.25">
      <c r="A2" s="4">
        <v>31778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>
        <v>100</v>
      </c>
      <c r="J2" s="3">
        <v>100</v>
      </c>
      <c r="K2" s="3">
        <v>100</v>
      </c>
      <c r="L2" s="3">
        <v>100</v>
      </c>
      <c r="M2" s="3">
        <v>100</v>
      </c>
      <c r="N2" s="3">
        <v>100</v>
      </c>
      <c r="O2" s="3">
        <v>100</v>
      </c>
      <c r="P2" s="3">
        <v>100</v>
      </c>
      <c r="Q2" s="3">
        <v>100</v>
      </c>
      <c r="R2" s="3">
        <v>100</v>
      </c>
      <c r="S2" s="3">
        <v>100</v>
      </c>
      <c r="T2" s="3">
        <v>100</v>
      </c>
      <c r="U2" s="3">
        <v>100</v>
      </c>
      <c r="V2" s="3">
        <v>100</v>
      </c>
      <c r="W2" s="3">
        <v>100</v>
      </c>
      <c r="X2" s="3">
        <v>100</v>
      </c>
      <c r="Y2" s="3">
        <v>100</v>
      </c>
      <c r="Z2" s="3">
        <v>100</v>
      </c>
      <c r="AA2" s="3">
        <v>100</v>
      </c>
      <c r="AB2" s="3">
        <v>100</v>
      </c>
      <c r="AC2" s="3">
        <v>100</v>
      </c>
      <c r="AD2" s="3">
        <v>100</v>
      </c>
      <c r="AE2" s="3">
        <v>100</v>
      </c>
      <c r="AF2" s="3">
        <v>100</v>
      </c>
      <c r="AG2" s="3">
        <v>100</v>
      </c>
      <c r="AH2" s="3">
        <v>100</v>
      </c>
      <c r="AI2" s="3">
        <v>100</v>
      </c>
      <c r="AJ2" s="3">
        <v>100</v>
      </c>
      <c r="AK2" s="3">
        <v>100</v>
      </c>
      <c r="AL2" s="3">
        <v>100</v>
      </c>
      <c r="AM2" s="3">
        <v>100</v>
      </c>
      <c r="AN2" s="3">
        <v>100</v>
      </c>
      <c r="AO2" s="3">
        <v>100</v>
      </c>
      <c r="AP2" s="3">
        <v>100</v>
      </c>
      <c r="AQ2" s="3">
        <v>100</v>
      </c>
      <c r="AR2" s="3">
        <v>100</v>
      </c>
      <c r="AS2" s="3">
        <v>100</v>
      </c>
      <c r="AT2" s="3">
        <v>100</v>
      </c>
      <c r="AU2" s="3">
        <v>100</v>
      </c>
      <c r="AV2" s="3">
        <v>100</v>
      </c>
      <c r="AX2" s="3">
        <v>100</v>
      </c>
      <c r="AY2" s="3">
        <v>100</v>
      </c>
      <c r="AZ2" s="3">
        <v>100</v>
      </c>
      <c r="BA2" s="3">
        <v>100</v>
      </c>
      <c r="BB2" s="3">
        <v>100</v>
      </c>
      <c r="BC2" s="3">
        <v>100</v>
      </c>
      <c r="BD2" s="3">
        <v>100</v>
      </c>
      <c r="BE2" s="3">
        <v>100</v>
      </c>
      <c r="BF2" s="3">
        <v>100</v>
      </c>
      <c r="BG2" s="3">
        <v>100</v>
      </c>
      <c r="BH2" s="3">
        <v>100</v>
      </c>
      <c r="BI2" s="3">
        <v>100</v>
      </c>
      <c r="BJ2" s="3">
        <v>100</v>
      </c>
      <c r="BK2" s="3">
        <v>100</v>
      </c>
      <c r="BL2" s="3">
        <v>100</v>
      </c>
      <c r="BM2" s="3">
        <v>100</v>
      </c>
      <c r="BN2" s="3">
        <v>100</v>
      </c>
      <c r="BO2" s="3">
        <v>100</v>
      </c>
      <c r="BP2" s="3">
        <v>100</v>
      </c>
      <c r="BQ2" s="3">
        <v>100</v>
      </c>
      <c r="BR2" s="3">
        <v>100</v>
      </c>
      <c r="BS2" s="3">
        <v>100</v>
      </c>
      <c r="BT2" s="3">
        <v>100</v>
      </c>
      <c r="BU2" s="3">
        <v>100</v>
      </c>
      <c r="BV2" s="3">
        <v>100</v>
      </c>
      <c r="BW2" s="3">
        <v>100</v>
      </c>
      <c r="BX2" s="3">
        <v>100</v>
      </c>
      <c r="BY2" s="3">
        <v>100</v>
      </c>
      <c r="BZ2" s="3">
        <v>100</v>
      </c>
      <c r="CA2" s="3">
        <v>100</v>
      </c>
      <c r="CB2" s="3">
        <v>100</v>
      </c>
      <c r="CC2" s="3">
        <v>100</v>
      </c>
      <c r="CD2" s="3">
        <v>100</v>
      </c>
      <c r="CE2" s="3">
        <v>100</v>
      </c>
      <c r="CF2" s="3">
        <v>100</v>
      </c>
      <c r="CG2" s="3">
        <v>100</v>
      </c>
      <c r="CH2" s="3">
        <v>100</v>
      </c>
      <c r="CI2" s="3">
        <v>100</v>
      </c>
      <c r="CJ2" s="3">
        <v>100</v>
      </c>
      <c r="CK2" s="3">
        <v>100</v>
      </c>
      <c r="CL2" s="3">
        <v>100</v>
      </c>
    </row>
    <row r="3" spans="1:92" x14ac:dyDescent="0.25">
      <c r="A3" s="4">
        <v>31809</v>
      </c>
      <c r="B3" s="3">
        <v>99.9</v>
      </c>
      <c r="C3" s="3">
        <v>101</v>
      </c>
      <c r="D3" s="3">
        <v>99.9</v>
      </c>
      <c r="E3" s="3">
        <v>99.5</v>
      </c>
      <c r="F3" s="3">
        <v>99.3</v>
      </c>
      <c r="G3" s="3">
        <v>98.3</v>
      </c>
      <c r="H3" s="3">
        <v>97.7</v>
      </c>
      <c r="I3" s="3">
        <v>99.1</v>
      </c>
      <c r="J3" s="3">
        <v>102.1</v>
      </c>
      <c r="K3" s="3">
        <v>100.4</v>
      </c>
      <c r="L3" s="3">
        <v>100.2</v>
      </c>
      <c r="M3" s="3">
        <v>98.4</v>
      </c>
      <c r="N3" s="3">
        <v>101.1</v>
      </c>
      <c r="O3" s="3">
        <v>99.5</v>
      </c>
      <c r="P3" s="3">
        <v>100.5</v>
      </c>
      <c r="Q3" s="3">
        <v>99.9</v>
      </c>
      <c r="R3" s="3">
        <v>100.1</v>
      </c>
      <c r="S3" s="3">
        <v>100.3</v>
      </c>
      <c r="T3" s="3">
        <v>100.4</v>
      </c>
      <c r="U3" s="3">
        <v>100.3</v>
      </c>
      <c r="V3" s="3">
        <v>99.5</v>
      </c>
      <c r="W3" s="3">
        <v>100.9</v>
      </c>
      <c r="X3" s="3">
        <v>100.4</v>
      </c>
      <c r="Y3" s="3">
        <v>100.1</v>
      </c>
      <c r="Z3" s="3">
        <v>103.3</v>
      </c>
      <c r="AA3" s="3">
        <v>105.8</v>
      </c>
      <c r="AB3" s="3">
        <v>100.1</v>
      </c>
      <c r="AC3" s="3">
        <v>105.5</v>
      </c>
      <c r="AD3" s="3">
        <v>107.7</v>
      </c>
      <c r="AE3" s="3">
        <v>101.6</v>
      </c>
      <c r="AF3" s="3">
        <v>101.8</v>
      </c>
      <c r="AG3" s="3">
        <v>101.9</v>
      </c>
      <c r="AH3" s="3">
        <v>101.5</v>
      </c>
      <c r="AI3" s="3">
        <v>100.2</v>
      </c>
      <c r="AJ3" s="3">
        <v>100.5</v>
      </c>
      <c r="AK3" s="3">
        <v>100.6</v>
      </c>
      <c r="AL3" s="3">
        <v>100.4</v>
      </c>
      <c r="AM3" s="3">
        <v>100.3</v>
      </c>
      <c r="AN3" s="3">
        <v>100.2</v>
      </c>
      <c r="AO3" s="3">
        <v>100.9</v>
      </c>
      <c r="AP3" s="3">
        <v>100.4</v>
      </c>
      <c r="AQ3" s="3">
        <v>100.2</v>
      </c>
      <c r="AR3" s="3">
        <v>100.5</v>
      </c>
      <c r="AS3" s="3">
        <v>99.9</v>
      </c>
      <c r="AT3" s="3">
        <v>100.1</v>
      </c>
      <c r="AU3" s="3">
        <v>100.2</v>
      </c>
      <c r="AV3" s="3">
        <v>100.9</v>
      </c>
      <c r="AX3" s="3">
        <v>100</v>
      </c>
      <c r="AY3" s="3">
        <v>100</v>
      </c>
      <c r="AZ3" s="3">
        <v>100</v>
      </c>
      <c r="BA3" s="3">
        <v>100.2</v>
      </c>
      <c r="BB3" s="3">
        <v>100.2</v>
      </c>
      <c r="BC3" s="3">
        <v>100.1</v>
      </c>
      <c r="BD3" s="3">
        <v>100</v>
      </c>
      <c r="BE3" s="3">
        <v>100</v>
      </c>
      <c r="BF3" s="3">
        <v>99.6</v>
      </c>
      <c r="BG3" s="3">
        <v>100.7</v>
      </c>
      <c r="BH3" s="3">
        <v>100.8</v>
      </c>
      <c r="BI3" s="3">
        <v>100.4</v>
      </c>
      <c r="BJ3" s="3">
        <v>100.8</v>
      </c>
      <c r="BK3" s="3">
        <v>100</v>
      </c>
      <c r="BL3" s="3">
        <v>99.9</v>
      </c>
      <c r="BM3" s="3">
        <v>100</v>
      </c>
      <c r="BN3" s="3">
        <v>100.2</v>
      </c>
      <c r="BO3" s="3">
        <v>100.1</v>
      </c>
      <c r="BP3" s="3">
        <v>100.1</v>
      </c>
      <c r="BQ3" s="3">
        <v>100.7</v>
      </c>
      <c r="BR3" s="3">
        <v>99.8</v>
      </c>
      <c r="BS3" s="3">
        <v>100.1</v>
      </c>
      <c r="BT3" s="3">
        <v>100.5</v>
      </c>
      <c r="BU3" s="3">
        <v>100.5</v>
      </c>
      <c r="BV3" s="3">
        <v>100</v>
      </c>
      <c r="BW3" s="3">
        <v>100.6</v>
      </c>
      <c r="BX3" s="3">
        <v>100.2</v>
      </c>
      <c r="BY3" s="3">
        <v>100.6</v>
      </c>
      <c r="BZ3" s="3">
        <v>101.4</v>
      </c>
      <c r="CA3" s="3">
        <v>102</v>
      </c>
      <c r="CB3" s="3">
        <v>100</v>
      </c>
      <c r="CC3" s="3">
        <v>100</v>
      </c>
      <c r="CD3" s="3">
        <v>100</v>
      </c>
      <c r="CE3" s="3">
        <v>99.5</v>
      </c>
      <c r="CF3" s="3">
        <v>99.4</v>
      </c>
      <c r="CG3" s="3">
        <v>100.1</v>
      </c>
      <c r="CH3" s="3">
        <v>100</v>
      </c>
      <c r="CI3" s="3">
        <v>100.8</v>
      </c>
      <c r="CJ3" s="3">
        <v>100.5</v>
      </c>
      <c r="CK3" s="3">
        <v>100.5</v>
      </c>
      <c r="CL3" s="3">
        <v>99.9</v>
      </c>
    </row>
    <row r="4" spans="1:92" x14ac:dyDescent="0.25">
      <c r="A4" s="4">
        <v>31837</v>
      </c>
      <c r="B4" s="3">
        <v>99.8</v>
      </c>
      <c r="C4" s="3">
        <v>101.4</v>
      </c>
      <c r="D4" s="3">
        <v>100.1</v>
      </c>
      <c r="E4" s="3">
        <v>99</v>
      </c>
      <c r="F4" s="3">
        <v>98.8</v>
      </c>
      <c r="G4" s="3">
        <v>98.2</v>
      </c>
      <c r="H4" s="3">
        <v>98.8</v>
      </c>
      <c r="I4" s="3">
        <v>98.6</v>
      </c>
      <c r="J4" s="3">
        <v>100.9</v>
      </c>
      <c r="K4" s="3">
        <v>100.7</v>
      </c>
      <c r="L4" s="3">
        <v>100.5</v>
      </c>
      <c r="M4" s="3">
        <v>99.7</v>
      </c>
      <c r="N4" s="3">
        <v>101</v>
      </c>
      <c r="O4" s="3">
        <v>100.2</v>
      </c>
      <c r="P4" s="3">
        <v>98.9</v>
      </c>
      <c r="Q4" s="3">
        <v>100.1</v>
      </c>
      <c r="R4" s="3">
        <v>101.4</v>
      </c>
      <c r="S4" s="3">
        <v>100.4</v>
      </c>
      <c r="T4" s="3">
        <v>100.8</v>
      </c>
      <c r="U4" s="3">
        <v>100.4</v>
      </c>
      <c r="V4" s="3">
        <v>98.9</v>
      </c>
      <c r="W4" s="3">
        <v>102.1</v>
      </c>
      <c r="X4" s="3">
        <v>100.7</v>
      </c>
      <c r="Y4" s="3">
        <v>99.9</v>
      </c>
      <c r="Z4" s="3">
        <v>101.5</v>
      </c>
      <c r="AA4" s="3">
        <v>102.8</v>
      </c>
      <c r="AB4" s="3">
        <v>99.8</v>
      </c>
      <c r="AC4" s="3">
        <v>105.3</v>
      </c>
      <c r="AD4" s="3">
        <v>107.5</v>
      </c>
      <c r="AE4" s="3">
        <v>101.3</v>
      </c>
      <c r="AF4" s="3">
        <v>102.4</v>
      </c>
      <c r="AG4" s="3">
        <v>102.3</v>
      </c>
      <c r="AH4" s="3">
        <v>102.7</v>
      </c>
      <c r="AI4" s="3">
        <v>100.7</v>
      </c>
      <c r="AJ4" s="3">
        <v>101</v>
      </c>
      <c r="AK4" s="3">
        <v>100.6</v>
      </c>
      <c r="AL4" s="3">
        <v>100.6</v>
      </c>
      <c r="AM4" s="3">
        <v>100.6</v>
      </c>
      <c r="AN4" s="3">
        <v>100.5</v>
      </c>
      <c r="AO4" s="3">
        <v>101.8</v>
      </c>
      <c r="AP4" s="3">
        <v>100.6</v>
      </c>
      <c r="AQ4" s="3">
        <v>100.5</v>
      </c>
      <c r="AR4" s="3">
        <v>100.7</v>
      </c>
      <c r="AS4" s="3">
        <v>100</v>
      </c>
      <c r="AT4" s="3">
        <v>99.7</v>
      </c>
      <c r="AU4" s="3">
        <v>100.2</v>
      </c>
      <c r="AV4" s="3">
        <v>101.6</v>
      </c>
      <c r="AX4" s="3">
        <v>100</v>
      </c>
      <c r="AY4" s="3">
        <v>100</v>
      </c>
      <c r="AZ4" s="3">
        <v>100.3</v>
      </c>
      <c r="BA4" s="3">
        <v>101.2</v>
      </c>
      <c r="BB4" s="3">
        <v>101</v>
      </c>
      <c r="BC4" s="3">
        <v>100.2</v>
      </c>
      <c r="BD4" s="3">
        <v>100</v>
      </c>
      <c r="BE4" s="3">
        <v>100</v>
      </c>
      <c r="BF4" s="3">
        <v>96</v>
      </c>
      <c r="BG4" s="3">
        <v>101.3</v>
      </c>
      <c r="BH4" s="3">
        <v>101.2</v>
      </c>
      <c r="BI4" s="3">
        <v>101.3</v>
      </c>
      <c r="BJ4" s="3">
        <v>101</v>
      </c>
      <c r="BK4" s="3">
        <v>100.2</v>
      </c>
      <c r="BL4" s="3">
        <v>100.7</v>
      </c>
      <c r="BM4" s="3">
        <v>100.1</v>
      </c>
      <c r="BN4" s="3">
        <v>100.2</v>
      </c>
      <c r="BO4" s="3">
        <v>100.6</v>
      </c>
      <c r="BP4" s="3">
        <v>100.3</v>
      </c>
      <c r="BQ4" s="3">
        <v>101.2</v>
      </c>
      <c r="BR4" s="3">
        <v>100.9</v>
      </c>
      <c r="BS4" s="3">
        <v>100.4</v>
      </c>
      <c r="BT4" s="3">
        <v>101</v>
      </c>
      <c r="BU4" s="3">
        <v>100.5</v>
      </c>
      <c r="BV4" s="3">
        <v>100.1</v>
      </c>
      <c r="BW4" s="3">
        <v>101.1</v>
      </c>
      <c r="BX4" s="3">
        <v>100.8</v>
      </c>
      <c r="BY4" s="3">
        <v>101.4</v>
      </c>
      <c r="BZ4" s="3">
        <v>101.2</v>
      </c>
      <c r="CA4" s="3">
        <v>101.8</v>
      </c>
      <c r="CB4" s="3">
        <v>100</v>
      </c>
      <c r="CC4" s="3">
        <v>100.1</v>
      </c>
      <c r="CD4" s="3">
        <v>100</v>
      </c>
      <c r="CE4" s="3">
        <v>99.6</v>
      </c>
      <c r="CF4" s="3">
        <v>99.6</v>
      </c>
      <c r="CG4" s="3">
        <v>99.9</v>
      </c>
      <c r="CH4" s="3">
        <v>100.7</v>
      </c>
      <c r="CI4" s="3">
        <v>101.1</v>
      </c>
      <c r="CJ4" s="3">
        <v>98.2</v>
      </c>
      <c r="CK4" s="3">
        <v>100.6</v>
      </c>
      <c r="CL4" s="3">
        <v>99.7</v>
      </c>
    </row>
    <row r="5" spans="1:92" x14ac:dyDescent="0.25">
      <c r="A5" s="4">
        <v>31868</v>
      </c>
      <c r="B5" s="3">
        <v>100.1</v>
      </c>
      <c r="C5" s="3">
        <v>102</v>
      </c>
      <c r="D5" s="3">
        <v>100.7</v>
      </c>
      <c r="E5" s="3">
        <v>100</v>
      </c>
      <c r="F5" s="3">
        <v>109.9</v>
      </c>
      <c r="G5" s="3">
        <v>112.9</v>
      </c>
      <c r="H5" s="3">
        <v>98.7</v>
      </c>
      <c r="I5" s="3">
        <v>99.4</v>
      </c>
      <c r="J5" s="3">
        <v>102.6</v>
      </c>
      <c r="K5" s="3">
        <v>100.9</v>
      </c>
      <c r="L5" s="3">
        <v>101.5</v>
      </c>
      <c r="M5" s="3">
        <v>99.6</v>
      </c>
      <c r="N5" s="3">
        <v>102.4</v>
      </c>
      <c r="O5" s="3">
        <v>99.9</v>
      </c>
      <c r="P5" s="3">
        <v>98.4</v>
      </c>
      <c r="Q5" s="3">
        <v>99.4</v>
      </c>
      <c r="R5" s="3">
        <v>107.2</v>
      </c>
      <c r="S5" s="3">
        <v>100.4</v>
      </c>
      <c r="T5" s="3">
        <v>101.9</v>
      </c>
      <c r="U5" s="3">
        <v>100.3</v>
      </c>
      <c r="V5" s="3">
        <v>95.4</v>
      </c>
      <c r="W5" s="3">
        <v>102</v>
      </c>
      <c r="X5" s="3">
        <v>101.3</v>
      </c>
      <c r="Y5" s="3">
        <v>99.7</v>
      </c>
      <c r="Z5" s="3">
        <v>101.5</v>
      </c>
      <c r="AA5" s="3">
        <v>102.1</v>
      </c>
      <c r="AB5" s="3">
        <v>100.8</v>
      </c>
      <c r="AC5" s="3">
        <v>110.4</v>
      </c>
      <c r="AD5" s="3">
        <v>115.1</v>
      </c>
      <c r="AE5" s="3">
        <v>102.3</v>
      </c>
      <c r="AF5" s="3">
        <v>102.7</v>
      </c>
      <c r="AG5" s="3">
        <v>102.8</v>
      </c>
      <c r="AH5" s="3">
        <v>102.5</v>
      </c>
      <c r="AI5" s="3">
        <v>100.8</v>
      </c>
      <c r="AJ5" s="3">
        <v>101.5</v>
      </c>
      <c r="AK5" s="3">
        <v>101.2</v>
      </c>
      <c r="AL5" s="3">
        <v>101.2</v>
      </c>
      <c r="AM5" s="3">
        <v>100.8</v>
      </c>
      <c r="AN5" s="3">
        <v>100.6</v>
      </c>
      <c r="AO5" s="3">
        <v>102.2</v>
      </c>
      <c r="AP5" s="3">
        <v>100.8</v>
      </c>
      <c r="AQ5" s="3">
        <v>100.8</v>
      </c>
      <c r="AR5" s="3">
        <v>100.9</v>
      </c>
      <c r="AS5" s="3">
        <v>99.9</v>
      </c>
      <c r="AT5" s="3">
        <v>99.4</v>
      </c>
      <c r="AU5" s="3">
        <v>103.8</v>
      </c>
      <c r="AV5" s="3">
        <v>105.6</v>
      </c>
      <c r="AX5" s="3">
        <v>107.7</v>
      </c>
      <c r="AY5" s="3">
        <v>105.6</v>
      </c>
      <c r="AZ5" s="3">
        <v>101.1</v>
      </c>
      <c r="BA5" s="3">
        <v>101.4</v>
      </c>
      <c r="BB5" s="3">
        <v>102</v>
      </c>
      <c r="BC5" s="3">
        <v>100.3</v>
      </c>
      <c r="BD5" s="3">
        <v>100</v>
      </c>
      <c r="BE5" s="3">
        <v>100</v>
      </c>
      <c r="BF5" s="3">
        <v>96.4</v>
      </c>
      <c r="BG5" s="3">
        <v>101.7</v>
      </c>
      <c r="BH5" s="3">
        <v>102.1</v>
      </c>
      <c r="BI5" s="3">
        <v>101.8</v>
      </c>
      <c r="BJ5" s="3">
        <v>101.6</v>
      </c>
      <c r="BK5" s="3">
        <v>101.1</v>
      </c>
      <c r="BL5" s="3">
        <v>100.4</v>
      </c>
      <c r="BM5" s="3">
        <v>100.1</v>
      </c>
      <c r="BN5" s="3">
        <v>100.2</v>
      </c>
      <c r="BO5" s="3">
        <v>101.1</v>
      </c>
      <c r="BP5" s="3">
        <v>101.4</v>
      </c>
      <c r="BQ5" s="3">
        <v>101.8</v>
      </c>
      <c r="BR5" s="3">
        <v>100.5</v>
      </c>
      <c r="BS5" s="3">
        <v>100.3</v>
      </c>
      <c r="BT5" s="3">
        <v>101.3</v>
      </c>
      <c r="BU5" s="3">
        <v>101.2</v>
      </c>
      <c r="BV5" s="3">
        <v>100.1</v>
      </c>
      <c r="BW5" s="3">
        <v>101.8</v>
      </c>
      <c r="BX5" s="3">
        <v>101.6</v>
      </c>
      <c r="BY5" s="3">
        <v>102.5</v>
      </c>
      <c r="BZ5" s="3">
        <v>101.6</v>
      </c>
      <c r="CA5" s="3">
        <v>101.3</v>
      </c>
      <c r="CB5" s="3">
        <v>103.1</v>
      </c>
      <c r="CC5" s="3">
        <v>100.1</v>
      </c>
      <c r="CD5" s="3">
        <v>100.9</v>
      </c>
      <c r="CE5" s="3">
        <v>99.7</v>
      </c>
      <c r="CF5" s="3">
        <v>99.2</v>
      </c>
      <c r="CG5" s="3">
        <v>100.1</v>
      </c>
      <c r="CH5" s="3">
        <v>100.1</v>
      </c>
      <c r="CI5" s="3">
        <v>103.5</v>
      </c>
      <c r="CJ5" s="3">
        <v>98.9</v>
      </c>
      <c r="CK5" s="3">
        <v>101</v>
      </c>
      <c r="CL5" s="3">
        <v>102</v>
      </c>
    </row>
    <row r="6" spans="1:92" x14ac:dyDescent="0.25">
      <c r="A6" s="4">
        <v>31898</v>
      </c>
      <c r="B6" s="3">
        <v>100.3</v>
      </c>
      <c r="C6" s="3">
        <v>102.5</v>
      </c>
      <c r="D6" s="3">
        <v>100.9</v>
      </c>
      <c r="E6" s="3">
        <v>100.7</v>
      </c>
      <c r="F6" s="3">
        <v>113.8</v>
      </c>
      <c r="G6" s="3">
        <v>118.1</v>
      </c>
      <c r="H6" s="3">
        <v>99.8</v>
      </c>
      <c r="I6" s="3">
        <v>100.1</v>
      </c>
      <c r="J6" s="3">
        <v>100.4</v>
      </c>
      <c r="K6" s="3">
        <v>101.3</v>
      </c>
      <c r="L6" s="3">
        <v>102.6</v>
      </c>
      <c r="M6" s="3">
        <v>100.9</v>
      </c>
      <c r="N6" s="3">
        <v>103.4</v>
      </c>
      <c r="O6" s="3">
        <v>99.4</v>
      </c>
      <c r="P6" s="3">
        <v>97.3</v>
      </c>
      <c r="Q6" s="3">
        <v>100.2</v>
      </c>
      <c r="R6" s="3">
        <v>105.1</v>
      </c>
      <c r="S6" s="3">
        <v>100.4</v>
      </c>
      <c r="T6" s="3">
        <v>99.8</v>
      </c>
      <c r="U6" s="3">
        <v>100.3</v>
      </c>
      <c r="V6" s="3">
        <v>94.9</v>
      </c>
      <c r="W6" s="3">
        <v>102.6</v>
      </c>
      <c r="X6" s="3">
        <v>102.3</v>
      </c>
      <c r="Y6" s="3">
        <v>99.9</v>
      </c>
      <c r="Z6" s="3">
        <v>103.5</v>
      </c>
      <c r="AA6" s="3">
        <v>105.4</v>
      </c>
      <c r="AB6" s="3">
        <v>100.9</v>
      </c>
      <c r="AC6" s="3">
        <v>113.5</v>
      </c>
      <c r="AD6" s="3">
        <v>119.9</v>
      </c>
      <c r="AE6" s="3">
        <v>102.3</v>
      </c>
      <c r="AF6" s="3">
        <v>105.5</v>
      </c>
      <c r="AG6" s="3">
        <v>106.1</v>
      </c>
      <c r="AH6" s="3">
        <v>103.2</v>
      </c>
      <c r="AI6" s="3">
        <v>101.2</v>
      </c>
      <c r="AJ6" s="3">
        <v>102</v>
      </c>
      <c r="AK6" s="3">
        <v>101.6</v>
      </c>
      <c r="AL6" s="3">
        <v>101.5</v>
      </c>
      <c r="AM6" s="3">
        <v>101</v>
      </c>
      <c r="AN6" s="3">
        <v>100.7</v>
      </c>
      <c r="AO6" s="3">
        <v>102.9</v>
      </c>
      <c r="AP6" s="3">
        <v>101.5</v>
      </c>
      <c r="AQ6" s="3">
        <v>101</v>
      </c>
      <c r="AR6" s="3">
        <v>101.9</v>
      </c>
      <c r="AS6" s="3">
        <v>99.9</v>
      </c>
      <c r="AT6" s="3">
        <v>99.3</v>
      </c>
      <c r="AU6" s="3">
        <v>104.3</v>
      </c>
      <c r="AV6" s="3">
        <v>99.7</v>
      </c>
      <c r="AX6" s="3">
        <v>107.7</v>
      </c>
      <c r="AY6" s="3">
        <v>105.6</v>
      </c>
      <c r="AZ6" s="3">
        <v>101.1</v>
      </c>
      <c r="BA6" s="3">
        <v>102.1</v>
      </c>
      <c r="BB6" s="3">
        <v>104</v>
      </c>
      <c r="BC6" s="3">
        <v>96.6</v>
      </c>
      <c r="BD6" s="3">
        <v>100</v>
      </c>
      <c r="BE6" s="3">
        <v>100</v>
      </c>
      <c r="BF6" s="3">
        <v>94.9</v>
      </c>
      <c r="BG6" s="3">
        <v>102.3</v>
      </c>
      <c r="BH6" s="3">
        <v>102.3</v>
      </c>
      <c r="BI6" s="3">
        <v>102.3</v>
      </c>
      <c r="BJ6" s="3">
        <v>102.3</v>
      </c>
      <c r="BK6" s="3">
        <v>101.9</v>
      </c>
      <c r="BL6" s="3">
        <v>100.4</v>
      </c>
      <c r="BM6" s="3">
        <v>100.1</v>
      </c>
      <c r="BN6" s="3">
        <v>100.2</v>
      </c>
      <c r="BO6" s="3">
        <v>101.2</v>
      </c>
      <c r="BP6" s="3">
        <v>102.6</v>
      </c>
      <c r="BQ6" s="3">
        <v>101.6</v>
      </c>
      <c r="BR6" s="3">
        <v>100.4</v>
      </c>
      <c r="BS6" s="3">
        <v>100.6</v>
      </c>
      <c r="BT6" s="3">
        <v>101.6</v>
      </c>
      <c r="BU6" s="3">
        <v>101.1</v>
      </c>
      <c r="BV6" s="3">
        <v>99.3</v>
      </c>
      <c r="BW6" s="3">
        <v>102.6</v>
      </c>
      <c r="BX6" s="3">
        <v>101.9</v>
      </c>
      <c r="BY6" s="3">
        <v>104.1</v>
      </c>
      <c r="BZ6" s="3">
        <v>102.7</v>
      </c>
      <c r="CA6" s="3">
        <v>101.1</v>
      </c>
      <c r="CB6" s="3">
        <v>103.1</v>
      </c>
      <c r="CC6" s="3">
        <v>100.1</v>
      </c>
      <c r="CD6" s="3">
        <v>103.1</v>
      </c>
      <c r="CE6" s="3">
        <v>100.8</v>
      </c>
      <c r="CF6" s="3">
        <v>99.1</v>
      </c>
      <c r="CG6" s="3">
        <v>100.1</v>
      </c>
      <c r="CH6" s="3">
        <v>100.8</v>
      </c>
      <c r="CI6" s="3">
        <v>104.5</v>
      </c>
      <c r="CJ6" s="3">
        <v>100.8</v>
      </c>
      <c r="CK6" s="3">
        <v>100.2</v>
      </c>
      <c r="CL6" s="3">
        <v>101.8</v>
      </c>
    </row>
    <row r="7" spans="1:92" x14ac:dyDescent="0.25">
      <c r="A7" s="4">
        <v>31929</v>
      </c>
      <c r="B7" s="3">
        <v>100.4</v>
      </c>
      <c r="C7" s="3">
        <v>102.9</v>
      </c>
      <c r="D7" s="3">
        <v>101.4</v>
      </c>
      <c r="E7" s="3">
        <v>101.2</v>
      </c>
      <c r="F7" s="3">
        <v>108.9</v>
      </c>
      <c r="G7" s="3">
        <v>111.7</v>
      </c>
      <c r="H7" s="3">
        <v>100.6</v>
      </c>
      <c r="I7" s="3">
        <v>99.2</v>
      </c>
      <c r="J7" s="3">
        <v>102.2</v>
      </c>
      <c r="K7" s="3">
        <v>101</v>
      </c>
      <c r="L7" s="3">
        <v>102.5</v>
      </c>
      <c r="M7" s="3">
        <v>100.4</v>
      </c>
      <c r="N7" s="3">
        <v>103.6</v>
      </c>
      <c r="O7" s="3">
        <v>99.2</v>
      </c>
      <c r="P7" s="3">
        <v>97.7</v>
      </c>
      <c r="Q7" s="3">
        <v>100.4</v>
      </c>
      <c r="R7" s="3">
        <v>104.2</v>
      </c>
      <c r="S7" s="3">
        <v>100.4</v>
      </c>
      <c r="T7" s="3">
        <v>102</v>
      </c>
      <c r="U7" s="3">
        <v>100.2</v>
      </c>
      <c r="V7" s="3">
        <v>94.5</v>
      </c>
      <c r="W7" s="3">
        <v>103</v>
      </c>
      <c r="X7" s="3">
        <v>102.7</v>
      </c>
      <c r="Y7" s="3">
        <v>100.4</v>
      </c>
      <c r="Z7" s="3">
        <v>105.6</v>
      </c>
      <c r="AA7" s="3">
        <v>108.8</v>
      </c>
      <c r="AB7" s="3">
        <v>101.3</v>
      </c>
      <c r="AC7" s="3">
        <v>102.2</v>
      </c>
      <c r="AD7" s="3">
        <v>102</v>
      </c>
      <c r="AE7" s="3">
        <v>102.6</v>
      </c>
      <c r="AF7" s="3">
        <v>104.9</v>
      </c>
      <c r="AG7" s="3">
        <v>105.3</v>
      </c>
      <c r="AH7" s="3">
        <v>103.5</v>
      </c>
      <c r="AI7" s="3">
        <v>100.9</v>
      </c>
      <c r="AJ7" s="3">
        <v>102.7</v>
      </c>
      <c r="AK7" s="3">
        <v>101.9</v>
      </c>
      <c r="AL7" s="3">
        <v>101.9</v>
      </c>
      <c r="AM7" s="3">
        <v>101.2</v>
      </c>
      <c r="AN7" s="3">
        <v>100.9</v>
      </c>
      <c r="AO7" s="3">
        <v>103.1</v>
      </c>
      <c r="AP7" s="3">
        <v>101.8</v>
      </c>
      <c r="AQ7" s="3">
        <v>101.4</v>
      </c>
      <c r="AR7" s="3">
        <v>102.1</v>
      </c>
      <c r="AS7" s="3">
        <v>99.9</v>
      </c>
      <c r="AT7" s="3">
        <v>99.3</v>
      </c>
      <c r="AU7" s="3">
        <v>104.7</v>
      </c>
      <c r="AV7" s="3">
        <v>98.2</v>
      </c>
      <c r="AX7" s="3">
        <v>107.7</v>
      </c>
      <c r="AY7" s="3">
        <v>105.6</v>
      </c>
      <c r="AZ7" s="3">
        <v>101.5</v>
      </c>
      <c r="BA7" s="3">
        <v>102.5</v>
      </c>
      <c r="BB7" s="3">
        <v>105.5</v>
      </c>
      <c r="BC7" s="3">
        <v>95.5</v>
      </c>
      <c r="BD7" s="3">
        <v>100</v>
      </c>
      <c r="BE7" s="3">
        <v>100</v>
      </c>
      <c r="BF7" s="3">
        <v>96.9</v>
      </c>
      <c r="BG7" s="3">
        <v>102.2</v>
      </c>
      <c r="BH7" s="3">
        <v>102.2</v>
      </c>
      <c r="BI7" s="3">
        <v>102.4</v>
      </c>
      <c r="BJ7" s="3">
        <v>102.6</v>
      </c>
      <c r="BK7" s="3">
        <v>101.5</v>
      </c>
      <c r="BL7" s="3">
        <v>99.9</v>
      </c>
      <c r="BM7" s="3">
        <v>100.1</v>
      </c>
      <c r="BN7" s="3">
        <v>100.2</v>
      </c>
      <c r="BO7" s="3">
        <v>101.7</v>
      </c>
      <c r="BP7" s="3">
        <v>103</v>
      </c>
      <c r="BQ7" s="3">
        <v>101.5</v>
      </c>
      <c r="BR7" s="3">
        <v>99.5</v>
      </c>
      <c r="BS7" s="3">
        <v>100.4</v>
      </c>
      <c r="BT7" s="3">
        <v>101.8</v>
      </c>
      <c r="BU7" s="3">
        <v>101.3</v>
      </c>
      <c r="BV7" s="3">
        <v>99.2</v>
      </c>
      <c r="BW7" s="3">
        <v>103.2</v>
      </c>
      <c r="BX7" s="3">
        <v>102.8</v>
      </c>
      <c r="BY7" s="3">
        <v>105.2</v>
      </c>
      <c r="BZ7" s="3">
        <v>102.9</v>
      </c>
      <c r="CA7" s="3">
        <v>100.7</v>
      </c>
      <c r="CB7" s="3">
        <v>103.1</v>
      </c>
      <c r="CC7" s="3">
        <v>100.1</v>
      </c>
      <c r="CD7" s="3">
        <v>103.5</v>
      </c>
      <c r="CE7" s="3">
        <v>100.9</v>
      </c>
      <c r="CF7" s="3">
        <v>98.4</v>
      </c>
      <c r="CG7" s="3">
        <v>99.9</v>
      </c>
      <c r="CH7" s="3">
        <v>101.4</v>
      </c>
      <c r="CI7" s="3">
        <v>105.6</v>
      </c>
      <c r="CJ7" s="3">
        <v>101.5</v>
      </c>
      <c r="CK7" s="3">
        <v>100.2</v>
      </c>
      <c r="CL7" s="3">
        <v>102.1</v>
      </c>
    </row>
    <row r="8" spans="1:92" x14ac:dyDescent="0.25">
      <c r="A8" s="4">
        <v>31959</v>
      </c>
      <c r="B8" s="3">
        <v>100.7</v>
      </c>
      <c r="C8" s="3">
        <v>101.8</v>
      </c>
      <c r="D8" s="3">
        <v>101.9</v>
      </c>
      <c r="E8" s="3">
        <v>100.9</v>
      </c>
      <c r="F8" s="3">
        <v>101.8</v>
      </c>
      <c r="G8" s="3">
        <v>102.1</v>
      </c>
      <c r="H8" s="3">
        <v>101.1</v>
      </c>
      <c r="I8" s="3">
        <v>99.9</v>
      </c>
      <c r="J8" s="3">
        <v>103.9</v>
      </c>
      <c r="K8" s="3">
        <v>100.9</v>
      </c>
      <c r="L8" s="3">
        <v>102.4</v>
      </c>
      <c r="M8" s="3">
        <v>100.5</v>
      </c>
      <c r="N8" s="3">
        <v>103.4</v>
      </c>
      <c r="O8" s="3">
        <v>98.9</v>
      </c>
      <c r="P8" s="3">
        <v>97.1</v>
      </c>
      <c r="Q8" s="3">
        <v>101</v>
      </c>
      <c r="R8" s="3">
        <v>103</v>
      </c>
      <c r="S8" s="3">
        <v>100.1</v>
      </c>
      <c r="T8" s="3">
        <v>101.9</v>
      </c>
      <c r="U8" s="3">
        <v>100.3</v>
      </c>
      <c r="V8" s="3">
        <v>93.8</v>
      </c>
      <c r="W8" s="3">
        <v>102.9</v>
      </c>
      <c r="X8" s="3">
        <v>103</v>
      </c>
      <c r="Y8" s="3">
        <v>100.4</v>
      </c>
      <c r="Z8" s="3">
        <v>92</v>
      </c>
      <c r="AA8" s="3">
        <v>85</v>
      </c>
      <c r="AB8" s="3">
        <v>101.3</v>
      </c>
      <c r="AC8" s="3">
        <v>96.3</v>
      </c>
      <c r="AD8" s="3">
        <v>94.1</v>
      </c>
      <c r="AE8" s="3">
        <v>100.1</v>
      </c>
      <c r="AF8" s="3">
        <v>101.8</v>
      </c>
      <c r="AG8" s="3">
        <v>101</v>
      </c>
      <c r="AH8" s="3">
        <v>104.6</v>
      </c>
      <c r="AI8" s="3">
        <v>101.9</v>
      </c>
      <c r="AJ8" s="3">
        <v>103.3</v>
      </c>
      <c r="AK8" s="3">
        <v>102.2</v>
      </c>
      <c r="AL8" s="3">
        <v>102.8</v>
      </c>
      <c r="AM8" s="3">
        <v>101.4</v>
      </c>
      <c r="AN8" s="3">
        <v>101.2</v>
      </c>
      <c r="AO8" s="3">
        <v>103.1</v>
      </c>
      <c r="AP8" s="3">
        <v>102.2</v>
      </c>
      <c r="AQ8" s="3">
        <v>101.7</v>
      </c>
      <c r="AR8" s="3">
        <v>102.7</v>
      </c>
      <c r="AS8" s="3">
        <v>99.8</v>
      </c>
      <c r="AT8" s="3">
        <v>99.1</v>
      </c>
      <c r="AU8" s="3">
        <v>104.7</v>
      </c>
      <c r="AV8" s="3">
        <v>99.2</v>
      </c>
      <c r="AX8" s="3">
        <v>107.7</v>
      </c>
      <c r="AY8" s="3">
        <v>105.6</v>
      </c>
      <c r="AZ8" s="3">
        <v>101.8</v>
      </c>
      <c r="BA8" s="3">
        <v>102.7</v>
      </c>
      <c r="BB8" s="3">
        <v>107.3</v>
      </c>
      <c r="BC8" s="3">
        <v>95.3</v>
      </c>
      <c r="BD8" s="3">
        <v>100</v>
      </c>
      <c r="BE8" s="3">
        <v>99.3</v>
      </c>
      <c r="BF8" s="3">
        <v>95.9</v>
      </c>
      <c r="BG8" s="3">
        <v>100.9</v>
      </c>
      <c r="BH8" s="3">
        <v>101.5</v>
      </c>
      <c r="BI8" s="3">
        <v>101.8</v>
      </c>
      <c r="BJ8" s="3">
        <v>101.9</v>
      </c>
      <c r="BK8" s="3">
        <v>102.6</v>
      </c>
      <c r="BL8" s="3">
        <v>99.8</v>
      </c>
      <c r="BM8" s="3">
        <v>100.1</v>
      </c>
      <c r="BN8" s="3">
        <v>100.2</v>
      </c>
      <c r="BO8" s="3">
        <v>102</v>
      </c>
      <c r="BP8" s="3">
        <v>103.7</v>
      </c>
      <c r="BQ8" s="3">
        <v>100</v>
      </c>
      <c r="BR8" s="3">
        <v>97.2</v>
      </c>
      <c r="BS8" s="3">
        <v>98.2</v>
      </c>
      <c r="BT8" s="3">
        <v>101.2</v>
      </c>
      <c r="BU8" s="3">
        <v>100.1</v>
      </c>
      <c r="BV8" s="3">
        <v>99.3</v>
      </c>
      <c r="BW8" s="3">
        <v>103.3</v>
      </c>
      <c r="BX8" s="3">
        <v>102.7</v>
      </c>
      <c r="BY8" s="3">
        <v>106.6</v>
      </c>
      <c r="BZ8" s="3">
        <v>103.1</v>
      </c>
      <c r="CA8" s="3">
        <v>101.1</v>
      </c>
      <c r="CB8" s="3">
        <v>106.2</v>
      </c>
      <c r="CC8" s="3">
        <v>101.1</v>
      </c>
      <c r="CD8" s="3">
        <v>104.9</v>
      </c>
      <c r="CE8" s="3">
        <v>100.8</v>
      </c>
      <c r="CF8" s="3">
        <v>96.9</v>
      </c>
      <c r="CG8" s="3">
        <v>99.7</v>
      </c>
      <c r="CH8" s="3">
        <v>101.5</v>
      </c>
      <c r="CI8" s="3">
        <v>106</v>
      </c>
      <c r="CJ8" s="3">
        <v>100.5</v>
      </c>
      <c r="CK8" s="3">
        <v>100</v>
      </c>
      <c r="CL8" s="3">
        <v>102.4</v>
      </c>
    </row>
    <row r="9" spans="1:92" x14ac:dyDescent="0.25">
      <c r="A9" s="4">
        <v>31990</v>
      </c>
      <c r="B9" s="3">
        <v>100.8</v>
      </c>
      <c r="C9" s="3">
        <v>101.5</v>
      </c>
      <c r="D9" s="3">
        <v>102.1</v>
      </c>
      <c r="E9" s="3">
        <v>100.5</v>
      </c>
      <c r="F9" s="3">
        <v>102.8</v>
      </c>
      <c r="G9" s="3">
        <v>103.6</v>
      </c>
      <c r="H9" s="3">
        <v>100</v>
      </c>
      <c r="I9" s="3">
        <v>99.7</v>
      </c>
      <c r="J9" s="3">
        <v>103.3</v>
      </c>
      <c r="K9" s="3">
        <v>100.8</v>
      </c>
      <c r="L9" s="3">
        <v>102.8</v>
      </c>
      <c r="M9" s="3">
        <v>101.6</v>
      </c>
      <c r="N9" s="3">
        <v>103.4</v>
      </c>
      <c r="O9" s="3">
        <v>98.8</v>
      </c>
      <c r="P9" s="3">
        <v>97.2</v>
      </c>
      <c r="Q9" s="3">
        <v>101</v>
      </c>
      <c r="R9" s="3">
        <v>101.5</v>
      </c>
      <c r="S9" s="3">
        <v>100.4</v>
      </c>
      <c r="T9" s="3">
        <v>102.2</v>
      </c>
      <c r="U9" s="3">
        <v>100.1</v>
      </c>
      <c r="V9" s="3">
        <v>94</v>
      </c>
      <c r="W9" s="3">
        <v>103.6</v>
      </c>
      <c r="X9" s="3">
        <v>104.1</v>
      </c>
      <c r="Y9" s="3">
        <v>100.4</v>
      </c>
      <c r="Z9" s="3">
        <v>92.8</v>
      </c>
      <c r="AA9" s="3">
        <v>86.1</v>
      </c>
      <c r="AB9" s="3">
        <v>101.8</v>
      </c>
      <c r="AC9" s="3">
        <v>98.2</v>
      </c>
      <c r="AD9" s="3">
        <v>96.7</v>
      </c>
      <c r="AE9" s="3">
        <v>100.8</v>
      </c>
      <c r="AF9" s="3">
        <v>103.6</v>
      </c>
      <c r="AG9" s="3">
        <v>103.6</v>
      </c>
      <c r="AH9" s="3">
        <v>103.6</v>
      </c>
      <c r="AI9" s="3">
        <v>101.8</v>
      </c>
      <c r="AJ9" s="3">
        <v>104.2</v>
      </c>
      <c r="AK9" s="3">
        <v>102.5</v>
      </c>
      <c r="AL9" s="3">
        <v>103.1</v>
      </c>
      <c r="AM9" s="3">
        <v>101.8</v>
      </c>
      <c r="AN9" s="3">
        <v>101.6</v>
      </c>
      <c r="AO9" s="3">
        <v>103.6</v>
      </c>
      <c r="AP9" s="3">
        <v>102.5</v>
      </c>
      <c r="AQ9" s="3">
        <v>102</v>
      </c>
      <c r="AR9" s="3">
        <v>102.8</v>
      </c>
      <c r="AS9" s="3">
        <v>99.7</v>
      </c>
      <c r="AT9" s="3">
        <v>98.5</v>
      </c>
      <c r="AU9" s="3">
        <v>104.6</v>
      </c>
      <c r="AV9" s="3">
        <v>100.2</v>
      </c>
      <c r="AX9" s="3">
        <v>107.7</v>
      </c>
      <c r="AY9" s="3">
        <v>105.6</v>
      </c>
      <c r="AZ9" s="3">
        <v>101.6</v>
      </c>
      <c r="BA9" s="3">
        <v>102.6</v>
      </c>
      <c r="BB9" s="3">
        <v>110</v>
      </c>
      <c r="BC9" s="3">
        <v>98.3</v>
      </c>
      <c r="BD9" s="3">
        <v>100</v>
      </c>
      <c r="BE9" s="3">
        <v>97.9</v>
      </c>
      <c r="BF9" s="3">
        <v>99</v>
      </c>
      <c r="BG9" s="3">
        <v>101.5</v>
      </c>
      <c r="BH9" s="3">
        <v>102.1</v>
      </c>
      <c r="BI9" s="3">
        <v>102.1</v>
      </c>
      <c r="BJ9" s="3">
        <v>102.2</v>
      </c>
      <c r="BK9" s="3">
        <v>103.1</v>
      </c>
      <c r="BL9" s="3">
        <v>99.8</v>
      </c>
      <c r="BM9" s="3">
        <v>100.1</v>
      </c>
      <c r="BN9" s="3">
        <v>100.2</v>
      </c>
      <c r="BO9" s="3">
        <v>102.5</v>
      </c>
      <c r="BP9" s="3">
        <v>104.5</v>
      </c>
      <c r="BQ9" s="3">
        <v>100.3</v>
      </c>
      <c r="BR9" s="3">
        <v>97.9</v>
      </c>
      <c r="BS9" s="3">
        <v>99</v>
      </c>
      <c r="BT9" s="3">
        <v>102</v>
      </c>
      <c r="BU9" s="3">
        <v>100.7</v>
      </c>
      <c r="BV9" s="3">
        <v>99.3</v>
      </c>
      <c r="BW9" s="3">
        <v>103.7</v>
      </c>
      <c r="BX9" s="3">
        <v>103.4</v>
      </c>
      <c r="BY9" s="3">
        <v>107.2</v>
      </c>
      <c r="BZ9" s="3">
        <v>103.9</v>
      </c>
      <c r="CA9" s="3">
        <v>101.1</v>
      </c>
      <c r="CB9" s="3">
        <v>106.2</v>
      </c>
      <c r="CC9" s="3">
        <v>101.1</v>
      </c>
      <c r="CD9" s="3">
        <v>104.9</v>
      </c>
      <c r="CE9" s="3">
        <v>101.1</v>
      </c>
      <c r="CF9" s="3">
        <v>96.9</v>
      </c>
      <c r="CG9" s="3">
        <v>99.6</v>
      </c>
      <c r="CH9" s="3">
        <v>101.8</v>
      </c>
      <c r="CI9" s="3">
        <v>106.1</v>
      </c>
      <c r="CJ9" s="3">
        <v>100.2</v>
      </c>
      <c r="CK9" s="3">
        <v>100</v>
      </c>
      <c r="CL9" s="3">
        <v>102.4</v>
      </c>
    </row>
    <row r="10" spans="1:92" x14ac:dyDescent="0.25">
      <c r="A10" s="4">
        <v>32021</v>
      </c>
      <c r="B10" s="3">
        <v>100.8</v>
      </c>
      <c r="C10" s="3">
        <v>102.3</v>
      </c>
      <c r="D10" s="3">
        <v>102.1</v>
      </c>
      <c r="E10" s="3">
        <v>101.6</v>
      </c>
      <c r="F10" s="3">
        <v>94.5</v>
      </c>
      <c r="G10" s="3">
        <v>93.2</v>
      </c>
      <c r="H10" s="3">
        <v>100.4</v>
      </c>
      <c r="I10" s="3">
        <v>99.8</v>
      </c>
      <c r="J10" s="3">
        <v>104.5</v>
      </c>
      <c r="K10" s="3">
        <v>100.3</v>
      </c>
      <c r="L10" s="3">
        <v>102.7</v>
      </c>
      <c r="M10" s="3">
        <v>101.6</v>
      </c>
      <c r="N10" s="3">
        <v>103.2</v>
      </c>
      <c r="O10" s="3">
        <v>100</v>
      </c>
      <c r="P10" s="3">
        <v>97.5</v>
      </c>
      <c r="Q10" s="3">
        <v>100.8</v>
      </c>
      <c r="R10" s="3">
        <v>105.1</v>
      </c>
      <c r="S10" s="3">
        <v>100.4</v>
      </c>
      <c r="T10" s="3">
        <v>102.6</v>
      </c>
      <c r="U10" s="3">
        <v>100.3</v>
      </c>
      <c r="V10" s="3">
        <v>93.1</v>
      </c>
      <c r="W10" s="3">
        <v>104</v>
      </c>
      <c r="X10" s="3">
        <v>105.4</v>
      </c>
      <c r="Y10" s="3">
        <v>100.6</v>
      </c>
      <c r="Z10" s="3">
        <v>94</v>
      </c>
      <c r="AA10" s="3">
        <v>87.9</v>
      </c>
      <c r="AB10" s="3">
        <v>102</v>
      </c>
      <c r="AC10" s="3">
        <v>97.1</v>
      </c>
      <c r="AD10" s="3">
        <v>95</v>
      </c>
      <c r="AE10" s="3">
        <v>100.9</v>
      </c>
      <c r="AF10" s="3">
        <v>98</v>
      </c>
      <c r="AG10" s="3">
        <v>96.4</v>
      </c>
      <c r="AH10" s="3">
        <v>103.5</v>
      </c>
      <c r="AI10" s="3">
        <v>102.1</v>
      </c>
      <c r="AJ10" s="3">
        <v>104.8</v>
      </c>
      <c r="AK10" s="3">
        <v>103.9</v>
      </c>
      <c r="AL10" s="3">
        <v>103.8</v>
      </c>
      <c r="AM10" s="3">
        <v>102.8</v>
      </c>
      <c r="AN10" s="3">
        <v>102.7</v>
      </c>
      <c r="AO10" s="3">
        <v>103.5</v>
      </c>
      <c r="AP10" s="3">
        <v>102.7</v>
      </c>
      <c r="AQ10" s="3">
        <v>102.6</v>
      </c>
      <c r="AR10" s="3">
        <v>102.8</v>
      </c>
      <c r="AS10" s="3">
        <v>99.9</v>
      </c>
      <c r="AT10" s="3">
        <v>98.5</v>
      </c>
      <c r="AU10" s="3">
        <v>104.6</v>
      </c>
      <c r="AV10" s="3">
        <v>101</v>
      </c>
      <c r="AX10" s="3">
        <v>107.7</v>
      </c>
      <c r="AY10" s="3">
        <v>105.6</v>
      </c>
      <c r="AZ10" s="3">
        <v>101.6</v>
      </c>
      <c r="BA10" s="3">
        <v>102.7</v>
      </c>
      <c r="BB10" s="3">
        <v>110.9</v>
      </c>
      <c r="BC10" s="3">
        <v>99.2</v>
      </c>
      <c r="BD10" s="3">
        <v>100</v>
      </c>
      <c r="BE10" s="3">
        <v>96.5</v>
      </c>
      <c r="BF10" s="3">
        <v>98</v>
      </c>
      <c r="BG10" s="3">
        <v>102.7</v>
      </c>
      <c r="BH10" s="3">
        <v>103.2</v>
      </c>
      <c r="BI10" s="3">
        <v>102.8</v>
      </c>
      <c r="BJ10" s="3">
        <v>102.9</v>
      </c>
      <c r="BK10" s="3">
        <v>103.3</v>
      </c>
      <c r="BL10" s="3">
        <v>100.7</v>
      </c>
      <c r="BM10" s="3">
        <v>100.6</v>
      </c>
      <c r="BN10" s="3">
        <v>100.2</v>
      </c>
      <c r="BO10" s="3">
        <v>102.7</v>
      </c>
      <c r="BP10" s="3">
        <v>105.5</v>
      </c>
      <c r="BQ10" s="3">
        <v>102.5</v>
      </c>
      <c r="BR10" s="3">
        <v>101.2</v>
      </c>
      <c r="BS10" s="3">
        <v>102.1</v>
      </c>
      <c r="BT10" s="3">
        <v>102.1</v>
      </c>
      <c r="BU10" s="3">
        <v>101.6</v>
      </c>
      <c r="BV10" s="3">
        <v>99.5</v>
      </c>
      <c r="BW10" s="3">
        <v>102.1</v>
      </c>
      <c r="BX10" s="3">
        <v>104</v>
      </c>
      <c r="BY10" s="3">
        <v>108</v>
      </c>
      <c r="BZ10" s="3">
        <v>103.9</v>
      </c>
      <c r="CA10" s="3">
        <v>101</v>
      </c>
      <c r="CB10" s="3">
        <v>106.2</v>
      </c>
      <c r="CC10" s="3">
        <v>101.1</v>
      </c>
      <c r="CD10" s="3">
        <v>104.9</v>
      </c>
      <c r="CE10" s="3">
        <v>101</v>
      </c>
      <c r="CF10" s="3">
        <v>96.7</v>
      </c>
      <c r="CG10" s="3">
        <v>100</v>
      </c>
      <c r="CH10" s="3">
        <v>101.9</v>
      </c>
      <c r="CI10" s="3">
        <v>106.5</v>
      </c>
      <c r="CJ10" s="3">
        <v>101</v>
      </c>
      <c r="CK10" s="3">
        <v>100</v>
      </c>
      <c r="CL10" s="3">
        <v>103.4</v>
      </c>
    </row>
    <row r="11" spans="1:92" x14ac:dyDescent="0.25">
      <c r="A11" s="4">
        <v>32051</v>
      </c>
      <c r="B11" s="3">
        <v>101.1</v>
      </c>
      <c r="C11" s="3">
        <v>102.1</v>
      </c>
      <c r="D11" s="3">
        <v>102.5</v>
      </c>
      <c r="E11" s="3">
        <v>102</v>
      </c>
      <c r="F11" s="3">
        <v>94.4</v>
      </c>
      <c r="G11" s="3">
        <v>92.6</v>
      </c>
      <c r="H11" s="3">
        <v>100.9</v>
      </c>
      <c r="I11" s="3">
        <v>100.8</v>
      </c>
      <c r="J11" s="3">
        <v>104.5</v>
      </c>
      <c r="K11" s="3">
        <v>100.5</v>
      </c>
      <c r="L11" s="3">
        <v>103.3</v>
      </c>
      <c r="M11" s="3">
        <v>102.1</v>
      </c>
      <c r="N11" s="3">
        <v>103.8</v>
      </c>
      <c r="O11" s="3">
        <v>100.2</v>
      </c>
      <c r="P11" s="3">
        <v>98.1</v>
      </c>
      <c r="Q11" s="3">
        <v>101.5</v>
      </c>
      <c r="R11" s="3">
        <v>103.2</v>
      </c>
      <c r="S11" s="3">
        <v>103.9</v>
      </c>
      <c r="T11" s="3">
        <v>103.7</v>
      </c>
      <c r="U11" s="3">
        <v>100.3</v>
      </c>
      <c r="V11" s="3">
        <v>92.3</v>
      </c>
      <c r="W11" s="3">
        <v>104.7</v>
      </c>
      <c r="X11" s="3">
        <v>105.9</v>
      </c>
      <c r="Y11" s="3">
        <v>100.6</v>
      </c>
      <c r="Z11" s="3">
        <v>94.3</v>
      </c>
      <c r="AA11" s="3">
        <v>87.5</v>
      </c>
      <c r="AB11" s="3">
        <v>103.3</v>
      </c>
      <c r="AC11" s="3">
        <v>98.1</v>
      </c>
      <c r="AD11" s="3">
        <v>96.3</v>
      </c>
      <c r="AE11" s="3">
        <v>101.1</v>
      </c>
      <c r="AF11" s="3">
        <v>100.6</v>
      </c>
      <c r="AG11" s="3">
        <v>100.1</v>
      </c>
      <c r="AH11" s="3">
        <v>102.4</v>
      </c>
      <c r="AI11" s="3">
        <v>102.3</v>
      </c>
      <c r="AJ11" s="3">
        <v>105.3</v>
      </c>
      <c r="AK11" s="3">
        <v>104</v>
      </c>
      <c r="AL11" s="3">
        <v>104.2</v>
      </c>
      <c r="AM11" s="3">
        <v>103.7</v>
      </c>
      <c r="AN11" s="3">
        <v>103.7</v>
      </c>
      <c r="AO11" s="3">
        <v>103.7</v>
      </c>
      <c r="AP11" s="3">
        <v>103.2</v>
      </c>
      <c r="AQ11" s="3">
        <v>103.3</v>
      </c>
      <c r="AR11" s="3">
        <v>103.1</v>
      </c>
      <c r="AS11" s="3">
        <v>100.7</v>
      </c>
      <c r="AT11" s="3">
        <v>99.2</v>
      </c>
      <c r="AU11" s="3">
        <v>105.1</v>
      </c>
      <c r="AV11" s="3">
        <v>102.1</v>
      </c>
      <c r="AX11" s="3">
        <v>107.7</v>
      </c>
      <c r="AY11" s="3">
        <v>105.6</v>
      </c>
      <c r="AZ11" s="3">
        <v>102.2</v>
      </c>
      <c r="BA11" s="3">
        <v>103.2</v>
      </c>
      <c r="BB11" s="3">
        <v>112</v>
      </c>
      <c r="BC11" s="3">
        <v>99.8</v>
      </c>
      <c r="BD11" s="3">
        <v>100</v>
      </c>
      <c r="BE11" s="3">
        <v>95.5</v>
      </c>
      <c r="BF11" s="3">
        <v>96.6</v>
      </c>
      <c r="BG11" s="3">
        <v>103.4</v>
      </c>
      <c r="BH11" s="3">
        <v>104.1</v>
      </c>
      <c r="BI11" s="3">
        <v>103.3</v>
      </c>
      <c r="BJ11" s="3">
        <v>103</v>
      </c>
      <c r="BK11" s="3">
        <v>103.9</v>
      </c>
      <c r="BL11" s="3">
        <v>101</v>
      </c>
      <c r="BM11" s="3">
        <v>100.6</v>
      </c>
      <c r="BN11" s="3">
        <v>100.2</v>
      </c>
      <c r="BO11" s="3">
        <v>103.3</v>
      </c>
      <c r="BP11" s="3">
        <v>105.9</v>
      </c>
      <c r="BQ11" s="3">
        <v>102.9</v>
      </c>
      <c r="BR11" s="3">
        <v>101.7</v>
      </c>
      <c r="BS11" s="3">
        <v>103.3</v>
      </c>
      <c r="BT11" s="3">
        <v>102.6</v>
      </c>
      <c r="BU11" s="3">
        <v>101.5</v>
      </c>
      <c r="BV11" s="3">
        <v>99.8</v>
      </c>
      <c r="BW11" s="3">
        <v>102.9</v>
      </c>
      <c r="BX11" s="3">
        <v>104.8</v>
      </c>
      <c r="BY11" s="3">
        <v>108.3</v>
      </c>
      <c r="BZ11" s="3">
        <v>104.2</v>
      </c>
      <c r="CA11" s="3">
        <v>100.4</v>
      </c>
      <c r="CB11" s="3">
        <v>108.3</v>
      </c>
      <c r="CC11" s="3">
        <v>101.1</v>
      </c>
      <c r="CD11" s="3">
        <v>105.3</v>
      </c>
      <c r="CE11" s="3">
        <v>101.5</v>
      </c>
      <c r="CF11" s="3">
        <v>96.5</v>
      </c>
      <c r="CG11" s="3">
        <v>103.3</v>
      </c>
      <c r="CH11" s="3">
        <v>101.8</v>
      </c>
      <c r="CI11" s="3">
        <v>107.8</v>
      </c>
      <c r="CJ11" s="3">
        <v>102</v>
      </c>
      <c r="CK11" s="3">
        <v>99.9</v>
      </c>
      <c r="CL11" s="3">
        <v>105.8</v>
      </c>
    </row>
    <row r="12" spans="1:92" x14ac:dyDescent="0.25">
      <c r="A12" s="4">
        <v>32082</v>
      </c>
      <c r="B12" s="3">
        <v>104.2</v>
      </c>
      <c r="C12" s="3">
        <v>102.6</v>
      </c>
      <c r="D12" s="3">
        <v>102.7</v>
      </c>
      <c r="E12" s="3">
        <v>102.2</v>
      </c>
      <c r="F12" s="3">
        <v>97.7</v>
      </c>
      <c r="G12" s="3">
        <v>97</v>
      </c>
      <c r="H12" s="3">
        <v>101.5</v>
      </c>
      <c r="I12" s="3">
        <v>101.7</v>
      </c>
      <c r="J12" s="3">
        <v>103.3</v>
      </c>
      <c r="K12" s="3">
        <v>100.5</v>
      </c>
      <c r="L12" s="3">
        <v>102.8</v>
      </c>
      <c r="M12" s="3">
        <v>100.7</v>
      </c>
      <c r="N12" s="3">
        <v>103.8</v>
      </c>
      <c r="O12" s="3">
        <v>100.8</v>
      </c>
      <c r="P12" s="3">
        <v>98.6</v>
      </c>
      <c r="Q12" s="3">
        <v>102.5</v>
      </c>
      <c r="R12" s="3">
        <v>107.7</v>
      </c>
      <c r="S12" s="3">
        <v>104.1</v>
      </c>
      <c r="T12" s="3">
        <v>105</v>
      </c>
      <c r="U12" s="3">
        <v>100.6</v>
      </c>
      <c r="V12" s="3">
        <v>92.4</v>
      </c>
      <c r="W12" s="3">
        <v>106</v>
      </c>
      <c r="X12" s="3">
        <v>106.3</v>
      </c>
      <c r="Y12" s="3">
        <v>100.2</v>
      </c>
      <c r="Z12" s="3">
        <v>96.9</v>
      </c>
      <c r="AA12" s="3">
        <v>93.3</v>
      </c>
      <c r="AB12" s="3">
        <v>101.8</v>
      </c>
      <c r="AC12" s="3">
        <v>99.2</v>
      </c>
      <c r="AD12" s="3">
        <v>98.7</v>
      </c>
      <c r="AE12" s="3">
        <v>100</v>
      </c>
      <c r="AF12" s="3">
        <v>99.3</v>
      </c>
      <c r="AG12" s="3">
        <v>98.6</v>
      </c>
      <c r="AH12" s="3">
        <v>102</v>
      </c>
      <c r="AI12" s="3">
        <v>102</v>
      </c>
      <c r="AJ12" s="3">
        <v>105.5</v>
      </c>
      <c r="AK12" s="3">
        <v>105</v>
      </c>
      <c r="AL12" s="3">
        <v>105.1</v>
      </c>
      <c r="AM12" s="3">
        <v>104</v>
      </c>
      <c r="AN12" s="3">
        <v>104.3</v>
      </c>
      <c r="AO12" s="3">
        <v>102.4</v>
      </c>
      <c r="AP12" s="3">
        <v>102.3</v>
      </c>
      <c r="AQ12" s="3">
        <v>103.6</v>
      </c>
      <c r="AR12" s="3">
        <v>101.4</v>
      </c>
      <c r="AS12" s="3">
        <v>101.4</v>
      </c>
      <c r="AT12" s="3">
        <v>99.4</v>
      </c>
      <c r="AU12" s="3">
        <v>105.6</v>
      </c>
      <c r="AV12" s="3">
        <v>103.1</v>
      </c>
      <c r="AX12" s="3">
        <v>107.7</v>
      </c>
      <c r="AY12" s="3">
        <v>107.6</v>
      </c>
      <c r="AZ12" s="3">
        <v>103</v>
      </c>
      <c r="BA12" s="3">
        <v>104.2</v>
      </c>
      <c r="BB12" s="3">
        <v>114.1</v>
      </c>
      <c r="BC12" s="3">
        <v>100.2</v>
      </c>
      <c r="BD12" s="3">
        <v>100</v>
      </c>
      <c r="BE12" s="3">
        <v>95.5</v>
      </c>
      <c r="BF12" s="3">
        <v>101.2</v>
      </c>
      <c r="BG12" s="3">
        <v>104.5</v>
      </c>
      <c r="BH12" s="3">
        <v>105.1</v>
      </c>
      <c r="BI12" s="3">
        <v>104.4</v>
      </c>
      <c r="BJ12" s="3">
        <v>103.8</v>
      </c>
      <c r="BK12" s="3">
        <v>105.2</v>
      </c>
      <c r="BL12" s="3">
        <v>100.8</v>
      </c>
      <c r="BM12" s="3">
        <v>100.6</v>
      </c>
      <c r="BN12" s="3">
        <v>100.9</v>
      </c>
      <c r="BO12" s="3">
        <v>104.3</v>
      </c>
      <c r="BP12" s="3">
        <v>106.4</v>
      </c>
      <c r="BQ12" s="3">
        <v>103.8</v>
      </c>
      <c r="BR12" s="3">
        <v>102.2</v>
      </c>
      <c r="BS12" s="3">
        <v>103.8</v>
      </c>
      <c r="BT12" s="3">
        <v>103.2</v>
      </c>
      <c r="BU12" s="3">
        <v>102.1</v>
      </c>
      <c r="BV12" s="3">
        <v>100.9</v>
      </c>
      <c r="BW12" s="3">
        <v>104.6</v>
      </c>
      <c r="BX12" s="3">
        <v>105.9</v>
      </c>
      <c r="BY12" s="3">
        <v>108.2</v>
      </c>
      <c r="BZ12" s="3">
        <v>104.9</v>
      </c>
      <c r="CA12" s="3">
        <v>100.2</v>
      </c>
      <c r="CB12" s="3">
        <v>108.3</v>
      </c>
      <c r="CC12" s="3">
        <v>101.1</v>
      </c>
      <c r="CD12" s="3">
        <v>106.7</v>
      </c>
      <c r="CE12" s="3">
        <v>101.8</v>
      </c>
      <c r="CF12" s="3">
        <v>96.9</v>
      </c>
      <c r="CG12" s="3">
        <v>103.9</v>
      </c>
      <c r="CH12" s="3">
        <v>102.3</v>
      </c>
      <c r="CI12" s="3">
        <v>108.4</v>
      </c>
      <c r="CJ12" s="3">
        <v>102.1</v>
      </c>
      <c r="CK12" s="3">
        <v>99.9</v>
      </c>
      <c r="CL12" s="3">
        <v>106.6</v>
      </c>
    </row>
    <row r="13" spans="1:92" x14ac:dyDescent="0.25">
      <c r="A13" s="4">
        <v>32112</v>
      </c>
      <c r="B13" s="3">
        <v>105.4</v>
      </c>
      <c r="C13" s="3">
        <v>103</v>
      </c>
      <c r="D13" s="3">
        <v>102.5</v>
      </c>
      <c r="E13" s="3">
        <v>103.8</v>
      </c>
      <c r="F13" s="3">
        <v>100.3</v>
      </c>
      <c r="G13" s="3">
        <v>100.4</v>
      </c>
      <c r="H13" s="3">
        <v>102</v>
      </c>
      <c r="I13" s="3">
        <v>101.8</v>
      </c>
      <c r="J13" s="3">
        <v>102.6</v>
      </c>
      <c r="K13" s="3">
        <v>100.9</v>
      </c>
      <c r="L13" s="3">
        <v>103.6</v>
      </c>
      <c r="M13" s="3">
        <v>103.4</v>
      </c>
      <c r="N13" s="3">
        <v>103.8</v>
      </c>
      <c r="O13" s="3">
        <v>101.1</v>
      </c>
      <c r="P13" s="3">
        <v>100</v>
      </c>
      <c r="Q13" s="3">
        <v>102.4</v>
      </c>
      <c r="R13" s="3">
        <v>109.2</v>
      </c>
      <c r="S13" s="3">
        <v>104.2</v>
      </c>
      <c r="T13" s="3">
        <v>105.3</v>
      </c>
      <c r="U13" s="3">
        <v>100.3</v>
      </c>
      <c r="V13" s="3">
        <v>91.9</v>
      </c>
      <c r="W13" s="3">
        <v>106.2</v>
      </c>
      <c r="X13" s="3">
        <v>107</v>
      </c>
      <c r="Y13" s="3">
        <v>100.3</v>
      </c>
      <c r="Z13" s="3">
        <v>98.7</v>
      </c>
      <c r="AA13" s="3">
        <v>96.1</v>
      </c>
      <c r="AB13" s="3">
        <v>102.1</v>
      </c>
      <c r="AC13" s="3">
        <v>103.7</v>
      </c>
      <c r="AD13" s="3">
        <v>105.8</v>
      </c>
      <c r="AE13" s="3">
        <v>99.9</v>
      </c>
      <c r="AF13" s="3">
        <v>100.7</v>
      </c>
      <c r="AG13" s="3">
        <v>100.4</v>
      </c>
      <c r="AH13" s="3">
        <v>101.7</v>
      </c>
      <c r="AI13" s="3">
        <v>102</v>
      </c>
      <c r="AJ13" s="3">
        <v>106</v>
      </c>
      <c r="AK13" s="3">
        <v>105.6</v>
      </c>
      <c r="AL13" s="3">
        <v>105.6</v>
      </c>
      <c r="AM13" s="3">
        <v>104</v>
      </c>
      <c r="AN13" s="3">
        <v>104.4</v>
      </c>
      <c r="AO13" s="3">
        <v>101.1</v>
      </c>
      <c r="AP13" s="3">
        <v>101.7</v>
      </c>
      <c r="AQ13" s="3">
        <v>103.7</v>
      </c>
      <c r="AR13" s="3">
        <v>100.2</v>
      </c>
      <c r="AS13" s="3">
        <v>101.5</v>
      </c>
      <c r="AT13" s="3">
        <v>99.3</v>
      </c>
      <c r="AU13" s="3">
        <v>105.6</v>
      </c>
      <c r="AV13" s="3">
        <v>96.6</v>
      </c>
      <c r="AX13" s="3">
        <v>107.7</v>
      </c>
      <c r="AY13" s="3">
        <v>107.6</v>
      </c>
      <c r="AZ13" s="3">
        <v>103.3</v>
      </c>
      <c r="BA13" s="3">
        <v>104.7</v>
      </c>
      <c r="BB13" s="3">
        <v>115</v>
      </c>
      <c r="BC13" s="3">
        <v>100.3</v>
      </c>
      <c r="BD13" s="3">
        <v>100</v>
      </c>
      <c r="BE13" s="3">
        <v>95.5</v>
      </c>
      <c r="BF13" s="3">
        <v>98.2</v>
      </c>
      <c r="BG13" s="3">
        <v>104.5</v>
      </c>
      <c r="BH13" s="3">
        <v>105.2</v>
      </c>
      <c r="BI13" s="3">
        <v>104.3</v>
      </c>
      <c r="BJ13" s="3">
        <v>104.3</v>
      </c>
      <c r="BK13" s="3">
        <v>105.5</v>
      </c>
      <c r="BL13" s="3">
        <v>100.5</v>
      </c>
      <c r="BM13" s="3">
        <v>100.3</v>
      </c>
      <c r="BN13" s="3">
        <v>101</v>
      </c>
      <c r="BO13" s="3">
        <v>104.5</v>
      </c>
      <c r="BP13" s="3">
        <v>106.6</v>
      </c>
      <c r="BQ13" s="3">
        <v>104.1</v>
      </c>
      <c r="BR13" s="3">
        <v>103</v>
      </c>
      <c r="BS13" s="3">
        <v>104.3</v>
      </c>
      <c r="BT13" s="3">
        <v>103.6</v>
      </c>
      <c r="BU13" s="3">
        <v>102.6</v>
      </c>
      <c r="BV13" s="3">
        <v>100.9</v>
      </c>
      <c r="BW13" s="3">
        <v>104.7</v>
      </c>
      <c r="BX13" s="3">
        <v>106.4</v>
      </c>
      <c r="BY13" s="3">
        <v>107.6</v>
      </c>
      <c r="BZ13" s="3">
        <v>105.3</v>
      </c>
      <c r="CA13" s="3">
        <v>99.7</v>
      </c>
      <c r="CB13" s="3">
        <v>108.3</v>
      </c>
      <c r="CC13" s="3">
        <v>101.1</v>
      </c>
      <c r="CD13" s="3">
        <v>106.7</v>
      </c>
      <c r="CE13" s="3">
        <v>102</v>
      </c>
      <c r="CF13" s="3">
        <v>96.9</v>
      </c>
      <c r="CG13" s="3">
        <v>104</v>
      </c>
      <c r="CH13" s="3">
        <v>102.3</v>
      </c>
      <c r="CI13" s="3">
        <v>108.4</v>
      </c>
      <c r="CJ13" s="3">
        <v>103.4</v>
      </c>
      <c r="CK13" s="3">
        <v>100</v>
      </c>
      <c r="CL13" s="3">
        <v>106.4</v>
      </c>
    </row>
    <row r="14" spans="1:92" x14ac:dyDescent="0.25">
      <c r="A14" s="4">
        <v>32143</v>
      </c>
      <c r="B14" s="3">
        <v>105.8</v>
      </c>
      <c r="C14" s="3">
        <v>103.8</v>
      </c>
      <c r="D14" s="3">
        <v>103</v>
      </c>
      <c r="E14" s="3">
        <v>104.8</v>
      </c>
      <c r="F14" s="3">
        <v>99.3</v>
      </c>
      <c r="G14" s="3">
        <v>99.3</v>
      </c>
      <c r="H14" s="3">
        <v>101.1</v>
      </c>
      <c r="I14" s="3">
        <v>102.2</v>
      </c>
      <c r="J14" s="3">
        <v>101.5</v>
      </c>
      <c r="K14" s="3">
        <v>100.7</v>
      </c>
      <c r="L14" s="3">
        <v>105.1</v>
      </c>
      <c r="M14" s="3">
        <v>108.1</v>
      </c>
      <c r="N14" s="3">
        <v>103.6</v>
      </c>
      <c r="O14" s="3">
        <v>101.5</v>
      </c>
      <c r="P14" s="3">
        <v>99.5</v>
      </c>
      <c r="Q14" s="3">
        <v>104.2</v>
      </c>
      <c r="R14" s="3">
        <v>110.7</v>
      </c>
      <c r="S14" s="3">
        <v>104.2</v>
      </c>
      <c r="T14" s="3">
        <v>105.7</v>
      </c>
      <c r="U14" s="3">
        <v>100.6</v>
      </c>
      <c r="V14" s="3">
        <v>91.9</v>
      </c>
      <c r="W14" s="3">
        <v>107.7</v>
      </c>
      <c r="X14" s="3">
        <v>107.6</v>
      </c>
      <c r="Y14" s="3">
        <v>100.7</v>
      </c>
      <c r="Z14" s="3">
        <v>99.8</v>
      </c>
      <c r="AA14" s="3">
        <v>97.9</v>
      </c>
      <c r="AB14" s="3">
        <v>102.3</v>
      </c>
      <c r="AC14" s="3">
        <v>105</v>
      </c>
      <c r="AD14" s="3">
        <v>107.2</v>
      </c>
      <c r="AE14" s="3">
        <v>101.3</v>
      </c>
      <c r="AF14" s="3">
        <v>101.3</v>
      </c>
      <c r="AG14" s="3">
        <v>101.2</v>
      </c>
      <c r="AH14" s="3">
        <v>101.7</v>
      </c>
      <c r="AI14" s="3">
        <v>102.8</v>
      </c>
      <c r="AJ14" s="3">
        <v>106.5</v>
      </c>
      <c r="AK14" s="3">
        <v>106.5</v>
      </c>
      <c r="AL14" s="3">
        <v>106.3</v>
      </c>
      <c r="AM14" s="3">
        <v>104.3</v>
      </c>
      <c r="AN14" s="3">
        <v>104.5</v>
      </c>
      <c r="AO14" s="3">
        <v>102.9</v>
      </c>
      <c r="AP14" s="3">
        <v>102.8</v>
      </c>
      <c r="AQ14" s="3">
        <v>104</v>
      </c>
      <c r="AR14" s="3">
        <v>102</v>
      </c>
      <c r="AS14" s="3">
        <v>101.7</v>
      </c>
      <c r="AT14" s="3">
        <v>99.7</v>
      </c>
      <c r="AU14" s="3">
        <v>105.7</v>
      </c>
      <c r="AV14" s="3">
        <v>96.3</v>
      </c>
      <c r="AX14" s="3">
        <v>107.7</v>
      </c>
      <c r="AY14" s="3">
        <v>107.6</v>
      </c>
      <c r="AZ14" s="3">
        <v>104.1</v>
      </c>
      <c r="BA14" s="3">
        <v>104.7</v>
      </c>
      <c r="BB14" s="3">
        <v>115.4</v>
      </c>
      <c r="BC14" s="3">
        <v>101.8</v>
      </c>
      <c r="BD14" s="3">
        <v>100</v>
      </c>
      <c r="BE14" s="3">
        <v>95.5</v>
      </c>
      <c r="BF14" s="3">
        <v>97.3</v>
      </c>
      <c r="BG14" s="3">
        <v>102.7</v>
      </c>
      <c r="BH14" s="3">
        <v>103.3</v>
      </c>
      <c r="BI14" s="3">
        <v>102.8</v>
      </c>
      <c r="BJ14" s="3">
        <v>103.6</v>
      </c>
      <c r="BK14" s="3">
        <v>105.6</v>
      </c>
      <c r="BL14" s="3">
        <v>100.5</v>
      </c>
      <c r="BM14" s="3">
        <v>100.6</v>
      </c>
      <c r="BN14" s="3">
        <v>101.2</v>
      </c>
      <c r="BO14" s="3">
        <v>105.8</v>
      </c>
      <c r="BP14" s="3">
        <v>108.4</v>
      </c>
      <c r="BQ14" s="3">
        <v>101.6</v>
      </c>
      <c r="BR14" s="3">
        <v>99.2</v>
      </c>
      <c r="BS14" s="3">
        <v>101</v>
      </c>
      <c r="BT14" s="3">
        <v>103</v>
      </c>
      <c r="BU14" s="3">
        <v>101.8</v>
      </c>
      <c r="BV14" s="3">
        <v>100.6</v>
      </c>
      <c r="BW14" s="3">
        <v>105.1</v>
      </c>
      <c r="BX14" s="3">
        <v>106.9</v>
      </c>
      <c r="BY14" s="3">
        <v>106.9</v>
      </c>
      <c r="BZ14" s="3">
        <v>105.8</v>
      </c>
      <c r="CA14" s="3">
        <v>98.9</v>
      </c>
      <c r="CB14" s="3">
        <v>112.2</v>
      </c>
      <c r="CC14" s="3">
        <v>107.1</v>
      </c>
      <c r="CD14" s="3">
        <v>106.7</v>
      </c>
      <c r="CE14" s="3">
        <v>102</v>
      </c>
      <c r="CF14" s="3">
        <v>95.3</v>
      </c>
      <c r="CG14" s="3">
        <v>100</v>
      </c>
      <c r="CH14" s="3">
        <v>102.2</v>
      </c>
      <c r="CI14" s="3">
        <v>109</v>
      </c>
      <c r="CJ14" s="3">
        <v>104.3</v>
      </c>
      <c r="CK14" s="3">
        <v>99.4</v>
      </c>
      <c r="CL14" s="3">
        <v>106.9</v>
      </c>
    </row>
    <row r="15" spans="1:92" x14ac:dyDescent="0.25">
      <c r="A15" s="4">
        <v>32174</v>
      </c>
      <c r="B15" s="3">
        <v>106.2</v>
      </c>
      <c r="C15" s="3">
        <v>105.5</v>
      </c>
      <c r="D15" s="3">
        <v>103.1</v>
      </c>
      <c r="E15" s="3">
        <v>104.9</v>
      </c>
      <c r="F15" s="3">
        <v>97.5</v>
      </c>
      <c r="G15" s="3">
        <v>92.7</v>
      </c>
      <c r="H15" s="3">
        <v>100.1</v>
      </c>
      <c r="I15" s="3">
        <v>102.2</v>
      </c>
      <c r="J15" s="3">
        <v>100.2</v>
      </c>
      <c r="K15" s="3">
        <v>100.5</v>
      </c>
      <c r="L15" s="3">
        <v>106.1</v>
      </c>
      <c r="M15" s="3">
        <v>107.9</v>
      </c>
      <c r="N15" s="3">
        <v>105.3</v>
      </c>
      <c r="O15" s="3">
        <v>101.7</v>
      </c>
      <c r="P15" s="3">
        <v>100.8</v>
      </c>
      <c r="Q15" s="3">
        <v>104.7</v>
      </c>
      <c r="R15" s="3">
        <v>110.6</v>
      </c>
      <c r="S15" s="3">
        <v>104.1</v>
      </c>
      <c r="T15" s="3">
        <v>105.7</v>
      </c>
      <c r="U15" s="3">
        <v>100.8</v>
      </c>
      <c r="V15" s="3">
        <v>92.3</v>
      </c>
      <c r="W15" s="3">
        <v>109.3</v>
      </c>
      <c r="X15" s="3">
        <v>107.6</v>
      </c>
      <c r="Y15" s="3">
        <v>100.6</v>
      </c>
      <c r="Z15" s="3">
        <v>100.9</v>
      </c>
      <c r="AA15" s="3">
        <v>100.3</v>
      </c>
      <c r="AB15" s="3">
        <v>101.7</v>
      </c>
      <c r="AC15" s="3">
        <v>110.2</v>
      </c>
      <c r="AD15" s="3">
        <v>114.2</v>
      </c>
      <c r="AE15" s="3">
        <v>103</v>
      </c>
      <c r="AF15" s="3">
        <v>104.1</v>
      </c>
      <c r="AG15" s="3">
        <v>104.3</v>
      </c>
      <c r="AH15" s="3">
        <v>103.5</v>
      </c>
      <c r="AI15" s="3">
        <v>103</v>
      </c>
      <c r="AJ15" s="3">
        <v>107.5</v>
      </c>
      <c r="AK15" s="3">
        <v>107.1</v>
      </c>
      <c r="AL15" s="3">
        <v>106.6</v>
      </c>
      <c r="AM15" s="3">
        <v>104.8</v>
      </c>
      <c r="AN15" s="3">
        <v>104.9</v>
      </c>
      <c r="AO15" s="3">
        <v>104.2</v>
      </c>
      <c r="AP15" s="3">
        <v>103.4</v>
      </c>
      <c r="AQ15" s="3">
        <v>104.5</v>
      </c>
      <c r="AR15" s="3">
        <v>102.7</v>
      </c>
      <c r="AS15" s="3">
        <v>101.9</v>
      </c>
      <c r="AT15" s="3">
        <v>99.7</v>
      </c>
      <c r="AU15" s="3">
        <v>105.8</v>
      </c>
      <c r="AV15" s="3">
        <v>96.8</v>
      </c>
      <c r="AX15" s="3">
        <v>107.7</v>
      </c>
      <c r="AY15" s="3">
        <v>107.6</v>
      </c>
      <c r="AZ15" s="3">
        <v>104.3</v>
      </c>
      <c r="BA15" s="3">
        <v>105.4</v>
      </c>
      <c r="BB15" s="3">
        <v>120</v>
      </c>
      <c r="BC15" s="3">
        <v>102</v>
      </c>
      <c r="BD15" s="3">
        <v>100</v>
      </c>
      <c r="BE15" s="3">
        <v>95.5</v>
      </c>
      <c r="BF15" s="3">
        <v>92.9</v>
      </c>
      <c r="BG15" s="3">
        <v>103.9</v>
      </c>
      <c r="BH15" s="3">
        <v>104.7</v>
      </c>
      <c r="BI15" s="3">
        <v>103</v>
      </c>
      <c r="BJ15" s="3">
        <v>104.1</v>
      </c>
      <c r="BK15" s="3">
        <v>105.9</v>
      </c>
      <c r="BL15" s="3">
        <v>100.7</v>
      </c>
      <c r="BM15" s="3">
        <v>100.6</v>
      </c>
      <c r="BN15" s="3">
        <v>101.2</v>
      </c>
      <c r="BO15" s="3">
        <v>106.1</v>
      </c>
      <c r="BP15" s="3">
        <v>108.9</v>
      </c>
      <c r="BQ15" s="3">
        <v>102.9</v>
      </c>
      <c r="BR15" s="3">
        <v>99.8</v>
      </c>
      <c r="BS15" s="3">
        <v>102.1</v>
      </c>
      <c r="BT15" s="3">
        <v>103.5</v>
      </c>
      <c r="BU15" s="3">
        <v>102.4</v>
      </c>
      <c r="BV15" s="3">
        <v>100.9</v>
      </c>
      <c r="BW15" s="3">
        <v>105.4</v>
      </c>
      <c r="BX15" s="3">
        <v>107.7</v>
      </c>
      <c r="BY15" s="3">
        <v>106.5</v>
      </c>
      <c r="BZ15" s="3">
        <v>107.5</v>
      </c>
      <c r="CA15" s="3">
        <v>98</v>
      </c>
      <c r="CB15" s="3">
        <v>112.2</v>
      </c>
      <c r="CC15" s="3">
        <v>107.1</v>
      </c>
      <c r="CD15" s="3">
        <v>108.2</v>
      </c>
      <c r="CE15" s="3">
        <v>102.3</v>
      </c>
      <c r="CF15" s="3">
        <v>95.1</v>
      </c>
      <c r="CG15" s="3">
        <v>99.3</v>
      </c>
      <c r="CH15" s="3">
        <v>102.8</v>
      </c>
      <c r="CI15" s="3">
        <v>110.2</v>
      </c>
      <c r="CJ15" s="3">
        <v>105</v>
      </c>
      <c r="CK15" s="3">
        <v>99.4</v>
      </c>
      <c r="CL15" s="3">
        <v>107</v>
      </c>
    </row>
    <row r="16" spans="1:92" x14ac:dyDescent="0.25">
      <c r="A16" s="4">
        <v>32203</v>
      </c>
      <c r="B16" s="3">
        <v>106.2</v>
      </c>
      <c r="C16" s="3">
        <v>106.2</v>
      </c>
      <c r="D16" s="3">
        <v>102.9</v>
      </c>
      <c r="E16" s="3">
        <v>105.7</v>
      </c>
      <c r="F16" s="3">
        <v>98</v>
      </c>
      <c r="G16" s="3">
        <v>95.7</v>
      </c>
      <c r="H16" s="3">
        <v>100.9</v>
      </c>
      <c r="I16" s="3">
        <v>102.3</v>
      </c>
      <c r="J16" s="3">
        <v>101.9</v>
      </c>
      <c r="K16" s="3">
        <v>100</v>
      </c>
      <c r="L16" s="3">
        <v>105.1</v>
      </c>
      <c r="M16" s="3">
        <v>106</v>
      </c>
      <c r="N16" s="3">
        <v>105</v>
      </c>
      <c r="O16" s="3">
        <v>102.5</v>
      </c>
      <c r="P16" s="3">
        <v>101</v>
      </c>
      <c r="Q16" s="3">
        <v>106</v>
      </c>
      <c r="R16" s="3">
        <v>108.7</v>
      </c>
      <c r="S16" s="3">
        <v>104.1</v>
      </c>
      <c r="T16" s="3">
        <v>106.1</v>
      </c>
      <c r="U16" s="3">
        <v>100.6</v>
      </c>
      <c r="V16" s="3">
        <v>92.4</v>
      </c>
      <c r="W16" s="3">
        <v>110.3</v>
      </c>
      <c r="X16" s="3">
        <v>109.3</v>
      </c>
      <c r="Y16" s="3">
        <v>100.8</v>
      </c>
      <c r="Z16" s="3">
        <v>99.6</v>
      </c>
      <c r="AA16" s="3">
        <v>97.7</v>
      </c>
      <c r="AB16" s="3">
        <v>102.1</v>
      </c>
      <c r="AC16" s="3">
        <v>112.9</v>
      </c>
      <c r="AD16" s="3">
        <v>117</v>
      </c>
      <c r="AE16" s="3">
        <v>105.4</v>
      </c>
      <c r="AF16" s="3">
        <v>104</v>
      </c>
      <c r="AG16" s="3">
        <v>104.4</v>
      </c>
      <c r="AH16" s="3">
        <v>102.9</v>
      </c>
      <c r="AI16" s="3">
        <v>103.2</v>
      </c>
      <c r="AJ16" s="3">
        <v>107.8</v>
      </c>
      <c r="AK16" s="3">
        <v>107.5</v>
      </c>
      <c r="AL16" s="3">
        <v>107.1</v>
      </c>
      <c r="AM16" s="3">
        <v>105.1</v>
      </c>
      <c r="AN16" s="3">
        <v>105.1</v>
      </c>
      <c r="AO16" s="3">
        <v>105</v>
      </c>
      <c r="AP16" s="3">
        <v>103.9</v>
      </c>
      <c r="AQ16" s="3">
        <v>104.7</v>
      </c>
      <c r="AR16" s="3">
        <v>103.4</v>
      </c>
      <c r="AS16" s="3">
        <v>101.9</v>
      </c>
      <c r="AT16" s="3">
        <v>99.5</v>
      </c>
      <c r="AU16" s="3">
        <v>105.9</v>
      </c>
      <c r="AV16" s="3">
        <v>97.8</v>
      </c>
      <c r="AX16" s="3">
        <v>107.7</v>
      </c>
      <c r="AY16" s="3">
        <v>107.6</v>
      </c>
      <c r="AZ16" s="3">
        <v>104.4</v>
      </c>
      <c r="BA16" s="3">
        <v>105.8</v>
      </c>
      <c r="BB16" s="3">
        <v>121.6</v>
      </c>
      <c r="BC16" s="3">
        <v>101.9</v>
      </c>
      <c r="BD16" s="3">
        <v>100</v>
      </c>
      <c r="BE16" s="3">
        <v>95.5</v>
      </c>
      <c r="BF16" s="3">
        <v>89.4</v>
      </c>
      <c r="BG16" s="3">
        <v>105</v>
      </c>
      <c r="BH16" s="3">
        <v>105.7</v>
      </c>
      <c r="BI16" s="3">
        <v>103.6</v>
      </c>
      <c r="BJ16" s="3">
        <v>104.4</v>
      </c>
      <c r="BK16" s="3">
        <v>106.2</v>
      </c>
      <c r="BL16" s="3">
        <v>100.8</v>
      </c>
      <c r="BM16" s="3">
        <v>100.6</v>
      </c>
      <c r="BN16" s="3">
        <v>101.2</v>
      </c>
      <c r="BO16" s="3">
        <v>106.7</v>
      </c>
      <c r="BP16" s="3">
        <v>109.1</v>
      </c>
      <c r="BQ16" s="3">
        <v>104.4</v>
      </c>
      <c r="BR16" s="3">
        <v>100.7</v>
      </c>
      <c r="BS16" s="3">
        <v>102.6</v>
      </c>
      <c r="BT16" s="3">
        <v>104.3</v>
      </c>
      <c r="BU16" s="3">
        <v>103.8</v>
      </c>
      <c r="BV16" s="3">
        <v>100.9</v>
      </c>
      <c r="BW16" s="3">
        <v>105.9</v>
      </c>
      <c r="BX16" s="3">
        <v>108.1</v>
      </c>
      <c r="BY16" s="3">
        <v>107.8</v>
      </c>
      <c r="BZ16" s="3">
        <v>108</v>
      </c>
      <c r="CA16" s="3">
        <v>98</v>
      </c>
      <c r="CB16" s="3">
        <v>112.2</v>
      </c>
      <c r="CC16" s="3">
        <v>107.1</v>
      </c>
      <c r="CD16" s="3">
        <v>108.2</v>
      </c>
      <c r="CE16" s="3">
        <v>102.2</v>
      </c>
      <c r="CF16" s="3">
        <v>94.6</v>
      </c>
      <c r="CG16" s="3">
        <v>99.5</v>
      </c>
      <c r="CH16" s="3">
        <v>103.1</v>
      </c>
      <c r="CI16" s="3">
        <v>110.3</v>
      </c>
      <c r="CJ16" s="3">
        <v>105.9</v>
      </c>
      <c r="CK16" s="3">
        <v>99.5</v>
      </c>
      <c r="CL16" s="3">
        <v>107.1</v>
      </c>
    </row>
    <row r="17" spans="1:90" x14ac:dyDescent="0.25">
      <c r="A17" s="4">
        <v>32234</v>
      </c>
      <c r="B17" s="3">
        <v>106.5</v>
      </c>
      <c r="C17" s="3">
        <v>107.1</v>
      </c>
      <c r="D17" s="3">
        <v>103.1</v>
      </c>
      <c r="E17" s="3">
        <v>106.2</v>
      </c>
      <c r="F17" s="3">
        <v>102.6</v>
      </c>
      <c r="G17" s="3">
        <v>106.2</v>
      </c>
      <c r="H17" s="3">
        <v>99.9</v>
      </c>
      <c r="I17" s="3">
        <v>101.9</v>
      </c>
      <c r="J17" s="3">
        <v>100.7</v>
      </c>
      <c r="K17" s="3">
        <v>99.8</v>
      </c>
      <c r="L17" s="3">
        <v>104.9</v>
      </c>
      <c r="M17" s="3">
        <v>105.7</v>
      </c>
      <c r="N17" s="3">
        <v>104.8</v>
      </c>
      <c r="O17" s="3">
        <v>103.1</v>
      </c>
      <c r="P17" s="3">
        <v>101.3</v>
      </c>
      <c r="Q17" s="3">
        <v>106.6</v>
      </c>
      <c r="R17" s="3">
        <v>110.5</v>
      </c>
      <c r="S17" s="3">
        <v>104.4</v>
      </c>
      <c r="T17" s="3">
        <v>107.5</v>
      </c>
      <c r="U17" s="3">
        <v>101</v>
      </c>
      <c r="V17" s="3">
        <v>92.5</v>
      </c>
      <c r="W17" s="3">
        <v>112.2</v>
      </c>
      <c r="X17" s="3">
        <v>109.8</v>
      </c>
      <c r="Y17" s="3">
        <v>101.1</v>
      </c>
      <c r="Z17" s="3">
        <v>99.6</v>
      </c>
      <c r="AA17" s="3">
        <v>98.2</v>
      </c>
      <c r="AB17" s="3">
        <v>101.4</v>
      </c>
      <c r="AC17" s="3">
        <v>114.2</v>
      </c>
      <c r="AD17" s="3">
        <v>117.6</v>
      </c>
      <c r="AE17" s="3">
        <v>108</v>
      </c>
      <c r="AF17" s="3">
        <v>105.3</v>
      </c>
      <c r="AG17" s="3">
        <v>106.2</v>
      </c>
      <c r="AH17" s="3">
        <v>102.7</v>
      </c>
      <c r="AI17" s="3">
        <v>104</v>
      </c>
      <c r="AJ17" s="3">
        <v>108.6</v>
      </c>
      <c r="AK17" s="3">
        <v>109</v>
      </c>
      <c r="AL17" s="3">
        <v>108.1</v>
      </c>
      <c r="AM17" s="3">
        <v>106.8</v>
      </c>
      <c r="AN17" s="3">
        <v>106.8</v>
      </c>
      <c r="AO17" s="3">
        <v>107</v>
      </c>
      <c r="AP17" s="3">
        <v>105.1</v>
      </c>
      <c r="AQ17" s="3">
        <v>106.3</v>
      </c>
      <c r="AR17" s="3">
        <v>104.2</v>
      </c>
      <c r="AS17" s="3">
        <v>103.5</v>
      </c>
      <c r="AT17" s="3">
        <v>100.7</v>
      </c>
      <c r="AU17" s="3">
        <v>111.9</v>
      </c>
      <c r="AV17" s="3">
        <v>101.6</v>
      </c>
      <c r="AX17" s="3">
        <v>116.8</v>
      </c>
      <c r="AY17" s="3">
        <v>115.5</v>
      </c>
      <c r="AZ17" s="3">
        <v>105.5</v>
      </c>
      <c r="BA17" s="3">
        <v>106</v>
      </c>
      <c r="BB17" s="3">
        <v>124.3</v>
      </c>
      <c r="BC17" s="3">
        <v>101.9</v>
      </c>
      <c r="BD17" s="3">
        <v>101.7</v>
      </c>
      <c r="BE17" s="3">
        <v>96.6</v>
      </c>
      <c r="BF17" s="3">
        <v>89.5</v>
      </c>
      <c r="BG17" s="3">
        <v>105.5</v>
      </c>
      <c r="BH17" s="3">
        <v>105.9</v>
      </c>
      <c r="BI17" s="3">
        <v>104.1</v>
      </c>
      <c r="BJ17" s="3">
        <v>105.3</v>
      </c>
      <c r="BK17" s="3">
        <v>106.7</v>
      </c>
      <c r="BL17" s="3">
        <v>100.6</v>
      </c>
      <c r="BM17" s="3">
        <v>100.6</v>
      </c>
      <c r="BN17" s="3">
        <v>101.2</v>
      </c>
      <c r="BO17" s="3">
        <v>107.3</v>
      </c>
      <c r="BP17" s="3">
        <v>109.7</v>
      </c>
      <c r="BQ17" s="3">
        <v>104.4</v>
      </c>
      <c r="BR17" s="3">
        <v>100.9</v>
      </c>
      <c r="BS17" s="3">
        <v>102.3</v>
      </c>
      <c r="BT17" s="3">
        <v>104.6</v>
      </c>
      <c r="BU17" s="3">
        <v>104.1</v>
      </c>
      <c r="BV17" s="3">
        <v>101</v>
      </c>
      <c r="BW17" s="3">
        <v>106.9</v>
      </c>
      <c r="BX17" s="3">
        <v>109.8</v>
      </c>
      <c r="BY17" s="3">
        <v>109.5</v>
      </c>
      <c r="BZ17" s="3">
        <v>108.6</v>
      </c>
      <c r="CA17" s="3">
        <v>99.9</v>
      </c>
      <c r="CB17" s="3">
        <v>112.9</v>
      </c>
      <c r="CC17" s="3">
        <v>107.1</v>
      </c>
      <c r="CD17" s="3">
        <v>108.3</v>
      </c>
      <c r="CE17" s="3">
        <v>102.6</v>
      </c>
      <c r="CF17" s="3">
        <v>95.1</v>
      </c>
      <c r="CG17" s="3">
        <v>99.6</v>
      </c>
      <c r="CH17" s="3">
        <v>104.3</v>
      </c>
      <c r="CI17" s="3">
        <v>110.9</v>
      </c>
      <c r="CJ17" s="3">
        <v>105.3</v>
      </c>
      <c r="CK17" s="3">
        <v>103.6</v>
      </c>
      <c r="CL17" s="3">
        <v>111.8</v>
      </c>
    </row>
    <row r="18" spans="1:90" x14ac:dyDescent="0.25">
      <c r="A18" s="4">
        <v>32264</v>
      </c>
      <c r="B18" s="3">
        <v>107.4</v>
      </c>
      <c r="C18" s="3">
        <v>107.8</v>
      </c>
      <c r="D18" s="3">
        <v>104.2</v>
      </c>
      <c r="E18" s="3">
        <v>107.8</v>
      </c>
      <c r="F18" s="3">
        <v>106.9</v>
      </c>
      <c r="G18" s="3">
        <v>110.3</v>
      </c>
      <c r="H18" s="3">
        <v>99.6</v>
      </c>
      <c r="I18" s="3">
        <v>102.4</v>
      </c>
      <c r="J18" s="3">
        <v>101.4</v>
      </c>
      <c r="K18" s="3">
        <v>99.9</v>
      </c>
      <c r="L18" s="3">
        <v>103.8</v>
      </c>
      <c r="M18" s="3">
        <v>103.5</v>
      </c>
      <c r="N18" s="3">
        <v>104.5</v>
      </c>
      <c r="O18" s="3">
        <v>103.2</v>
      </c>
      <c r="P18" s="3">
        <v>101.5</v>
      </c>
      <c r="Q18" s="3">
        <v>106.8</v>
      </c>
      <c r="R18" s="3">
        <v>108</v>
      </c>
      <c r="S18" s="3">
        <v>104.5</v>
      </c>
      <c r="T18" s="3">
        <v>107.5</v>
      </c>
      <c r="U18" s="3">
        <v>100.7</v>
      </c>
      <c r="V18" s="3">
        <v>92.4</v>
      </c>
      <c r="W18" s="3">
        <v>114.8</v>
      </c>
      <c r="X18" s="3">
        <v>110.1</v>
      </c>
      <c r="Y18" s="3">
        <v>101.1</v>
      </c>
      <c r="Z18" s="3">
        <v>100.1</v>
      </c>
      <c r="AA18" s="3">
        <v>98</v>
      </c>
      <c r="AB18" s="3">
        <v>102.9</v>
      </c>
      <c r="AC18" s="3">
        <v>110.5</v>
      </c>
      <c r="AD18" s="3">
        <v>111.5</v>
      </c>
      <c r="AE18" s="3">
        <v>108.8</v>
      </c>
      <c r="AF18" s="3">
        <v>106.1</v>
      </c>
      <c r="AG18" s="3">
        <v>107.8</v>
      </c>
      <c r="AH18" s="3">
        <v>101.3</v>
      </c>
      <c r="AI18" s="3">
        <v>105.1</v>
      </c>
      <c r="AJ18" s="3">
        <v>109.1</v>
      </c>
      <c r="AK18" s="3">
        <v>109.2</v>
      </c>
      <c r="AL18" s="3">
        <v>108.6</v>
      </c>
      <c r="AM18" s="3">
        <v>107.4</v>
      </c>
      <c r="AN18" s="3">
        <v>107.3</v>
      </c>
      <c r="AO18" s="3">
        <v>107.4</v>
      </c>
      <c r="AP18" s="3">
        <v>105.5</v>
      </c>
      <c r="AQ18" s="3">
        <v>106.7</v>
      </c>
      <c r="AR18" s="3">
        <v>104.6</v>
      </c>
      <c r="AS18" s="3">
        <v>104</v>
      </c>
      <c r="AT18" s="3">
        <v>101.3</v>
      </c>
      <c r="AU18" s="3">
        <v>112</v>
      </c>
      <c r="AV18" s="3">
        <v>98.9</v>
      </c>
      <c r="AX18" s="3">
        <v>116.8</v>
      </c>
      <c r="AY18" s="3">
        <v>115.6</v>
      </c>
      <c r="AZ18" s="3">
        <v>106.3</v>
      </c>
      <c r="BA18" s="3">
        <v>106.4</v>
      </c>
      <c r="BB18" s="3">
        <v>127.7</v>
      </c>
      <c r="BC18" s="3">
        <v>97.2</v>
      </c>
      <c r="BD18" s="3">
        <v>104.4</v>
      </c>
      <c r="BE18" s="3">
        <v>98.4</v>
      </c>
      <c r="BF18" s="3">
        <v>90.1</v>
      </c>
      <c r="BG18" s="3">
        <v>106.3</v>
      </c>
      <c r="BH18" s="3">
        <v>106.5</v>
      </c>
      <c r="BI18" s="3">
        <v>104.8</v>
      </c>
      <c r="BJ18" s="3">
        <v>105.8</v>
      </c>
      <c r="BK18" s="3">
        <v>106.9</v>
      </c>
      <c r="BL18" s="3">
        <v>101.1</v>
      </c>
      <c r="BM18" s="3">
        <v>100.6</v>
      </c>
      <c r="BN18" s="3">
        <v>101.2</v>
      </c>
      <c r="BO18" s="3">
        <v>107.6</v>
      </c>
      <c r="BP18" s="3">
        <v>110.2</v>
      </c>
      <c r="BQ18" s="3">
        <v>105.9</v>
      </c>
      <c r="BR18" s="3">
        <v>103.3</v>
      </c>
      <c r="BS18" s="3">
        <v>107.2</v>
      </c>
      <c r="BT18" s="3">
        <v>104.8</v>
      </c>
      <c r="BU18" s="3">
        <v>104.4</v>
      </c>
      <c r="BV18" s="3">
        <v>101.2</v>
      </c>
      <c r="BW18" s="3">
        <v>107.3</v>
      </c>
      <c r="BX18" s="3">
        <v>110.1</v>
      </c>
      <c r="BY18" s="3">
        <v>110.1</v>
      </c>
      <c r="BZ18" s="3">
        <v>108.8</v>
      </c>
      <c r="CA18" s="3">
        <v>99.7</v>
      </c>
      <c r="CB18" s="3">
        <v>113.1</v>
      </c>
      <c r="CC18" s="3">
        <v>107.8</v>
      </c>
      <c r="CD18" s="3">
        <v>109.5</v>
      </c>
      <c r="CE18" s="3">
        <v>103.4</v>
      </c>
      <c r="CF18" s="3">
        <v>95.1</v>
      </c>
      <c r="CG18" s="3">
        <v>99.5</v>
      </c>
      <c r="CH18" s="3">
        <v>104.4</v>
      </c>
      <c r="CI18" s="3">
        <v>111.9</v>
      </c>
      <c r="CJ18" s="3">
        <v>107.2</v>
      </c>
      <c r="CK18" s="3">
        <v>103.6</v>
      </c>
      <c r="CL18" s="3">
        <v>112</v>
      </c>
    </row>
    <row r="19" spans="1:90" x14ac:dyDescent="0.25">
      <c r="A19" s="4">
        <v>32295</v>
      </c>
      <c r="B19" s="3">
        <v>108</v>
      </c>
      <c r="C19" s="3">
        <v>107.8</v>
      </c>
      <c r="D19" s="3">
        <v>104.5</v>
      </c>
      <c r="E19" s="3">
        <v>109</v>
      </c>
      <c r="F19" s="3">
        <v>108.9</v>
      </c>
      <c r="G19" s="3">
        <v>113.2</v>
      </c>
      <c r="H19" s="3">
        <v>101.8</v>
      </c>
      <c r="I19" s="3">
        <v>103</v>
      </c>
      <c r="J19" s="3">
        <v>101.5</v>
      </c>
      <c r="K19" s="3">
        <v>99.9</v>
      </c>
      <c r="L19" s="3">
        <v>104.3</v>
      </c>
      <c r="M19" s="3">
        <v>105</v>
      </c>
      <c r="N19" s="3">
        <v>104.3</v>
      </c>
      <c r="O19" s="3">
        <v>103.4</v>
      </c>
      <c r="P19" s="3">
        <v>101</v>
      </c>
      <c r="Q19" s="3">
        <v>106.9</v>
      </c>
      <c r="R19" s="3">
        <v>104.2</v>
      </c>
      <c r="S19" s="3">
        <v>104.6</v>
      </c>
      <c r="T19" s="3">
        <v>107.7</v>
      </c>
      <c r="U19" s="3">
        <v>103.9</v>
      </c>
      <c r="V19" s="3">
        <v>93</v>
      </c>
      <c r="W19" s="3">
        <v>115.4</v>
      </c>
      <c r="X19" s="3">
        <v>110.1</v>
      </c>
      <c r="Y19" s="3">
        <v>101</v>
      </c>
      <c r="Z19" s="3">
        <v>95.8</v>
      </c>
      <c r="AA19" s="3">
        <v>89.5</v>
      </c>
      <c r="AB19" s="3">
        <v>104.3</v>
      </c>
      <c r="AC19" s="3">
        <v>107.5</v>
      </c>
      <c r="AD19" s="3">
        <v>106.8</v>
      </c>
      <c r="AE19" s="3">
        <v>109.3</v>
      </c>
      <c r="AF19" s="3">
        <v>110.5</v>
      </c>
      <c r="AG19" s="3">
        <v>113.1</v>
      </c>
      <c r="AH19" s="3">
        <v>102.5</v>
      </c>
      <c r="AI19" s="3">
        <v>105.2</v>
      </c>
      <c r="AJ19" s="3">
        <v>109.8</v>
      </c>
      <c r="AK19" s="3">
        <v>109.5</v>
      </c>
      <c r="AL19" s="3">
        <v>109.1</v>
      </c>
      <c r="AM19" s="3">
        <v>107.6</v>
      </c>
      <c r="AN19" s="3">
        <v>107.5</v>
      </c>
      <c r="AO19" s="3">
        <v>107.8</v>
      </c>
      <c r="AP19" s="3">
        <v>105.7</v>
      </c>
      <c r="AQ19" s="3">
        <v>107</v>
      </c>
      <c r="AR19" s="3">
        <v>104.8</v>
      </c>
      <c r="AS19" s="3">
        <v>103.9</v>
      </c>
      <c r="AT19" s="3">
        <v>100.8</v>
      </c>
      <c r="AU19" s="3">
        <v>112.5</v>
      </c>
      <c r="AV19" s="3">
        <v>99.3</v>
      </c>
      <c r="AX19" s="3">
        <v>116.8</v>
      </c>
      <c r="AY19" s="3">
        <v>115.6</v>
      </c>
      <c r="AZ19" s="3">
        <v>106.6</v>
      </c>
      <c r="BA19" s="3">
        <v>107.1</v>
      </c>
      <c r="BB19" s="3">
        <v>129.4</v>
      </c>
      <c r="BC19" s="3">
        <v>96.6</v>
      </c>
      <c r="BD19" s="3">
        <v>107.1</v>
      </c>
      <c r="BE19" s="3">
        <v>100.1</v>
      </c>
      <c r="BF19" s="3">
        <v>88.7</v>
      </c>
      <c r="BG19" s="3">
        <v>105.8</v>
      </c>
      <c r="BH19" s="3">
        <v>106.5</v>
      </c>
      <c r="BI19" s="3">
        <v>104.7</v>
      </c>
      <c r="BJ19" s="3">
        <v>105.9</v>
      </c>
      <c r="BK19" s="3">
        <v>107.6</v>
      </c>
      <c r="BL19" s="3">
        <v>101.2</v>
      </c>
      <c r="BM19" s="3">
        <v>100.6</v>
      </c>
      <c r="BN19" s="3">
        <v>101.2</v>
      </c>
      <c r="BO19" s="3">
        <v>108.3</v>
      </c>
      <c r="BP19" s="3">
        <v>110.5</v>
      </c>
      <c r="BQ19" s="3">
        <v>106.6</v>
      </c>
      <c r="BR19" s="3">
        <v>104.3</v>
      </c>
      <c r="BS19" s="3">
        <v>107.3</v>
      </c>
      <c r="BT19" s="3">
        <v>105.1</v>
      </c>
      <c r="BU19" s="3">
        <v>104.3</v>
      </c>
      <c r="BV19" s="3">
        <v>101.3</v>
      </c>
      <c r="BW19" s="3">
        <v>107.8</v>
      </c>
      <c r="BX19" s="3">
        <v>110.4</v>
      </c>
      <c r="BY19" s="3">
        <v>111.3</v>
      </c>
      <c r="BZ19" s="3">
        <v>109.6</v>
      </c>
      <c r="CA19" s="3">
        <v>100.7</v>
      </c>
      <c r="CB19" s="3">
        <v>113.1</v>
      </c>
      <c r="CC19" s="3">
        <v>107.8</v>
      </c>
      <c r="CD19" s="3">
        <v>109.7</v>
      </c>
      <c r="CE19" s="3">
        <v>103.6</v>
      </c>
      <c r="CF19" s="3">
        <v>94.2</v>
      </c>
      <c r="CG19" s="3">
        <v>99.6</v>
      </c>
      <c r="CH19" s="3">
        <v>104.5</v>
      </c>
      <c r="CI19" s="3">
        <v>111.9</v>
      </c>
      <c r="CJ19" s="3">
        <v>107.7</v>
      </c>
      <c r="CK19" s="3">
        <v>103.6</v>
      </c>
      <c r="CL19" s="3">
        <v>112</v>
      </c>
    </row>
    <row r="20" spans="1:90" x14ac:dyDescent="0.25">
      <c r="A20" s="4">
        <v>32325</v>
      </c>
      <c r="B20" s="3">
        <v>108.3</v>
      </c>
      <c r="C20" s="3">
        <v>108.3</v>
      </c>
      <c r="D20" s="3">
        <v>105.3</v>
      </c>
      <c r="E20" s="3">
        <v>109.6</v>
      </c>
      <c r="F20" s="3">
        <v>102.4</v>
      </c>
      <c r="G20" s="3">
        <v>103</v>
      </c>
      <c r="H20" s="3">
        <v>100.9</v>
      </c>
      <c r="I20" s="3">
        <v>103.1</v>
      </c>
      <c r="J20" s="3">
        <v>101.8</v>
      </c>
      <c r="K20" s="3">
        <v>99.7</v>
      </c>
      <c r="L20" s="3">
        <v>103.7</v>
      </c>
      <c r="M20" s="3">
        <v>105.9</v>
      </c>
      <c r="N20" s="3">
        <v>102.6</v>
      </c>
      <c r="O20" s="3">
        <v>104.5</v>
      </c>
      <c r="P20" s="3">
        <v>101.5</v>
      </c>
      <c r="Q20" s="3">
        <v>107.2</v>
      </c>
      <c r="R20" s="3">
        <v>102.4</v>
      </c>
      <c r="S20" s="3">
        <v>104.6</v>
      </c>
      <c r="T20" s="3">
        <v>108.3</v>
      </c>
      <c r="U20" s="3">
        <v>107.1</v>
      </c>
      <c r="V20" s="3">
        <v>93</v>
      </c>
      <c r="W20" s="3">
        <v>115.8</v>
      </c>
      <c r="X20" s="3">
        <v>110.7</v>
      </c>
      <c r="Y20" s="3">
        <v>101</v>
      </c>
      <c r="Z20" s="3">
        <v>90.2</v>
      </c>
      <c r="AA20" s="3">
        <v>79.599999999999994</v>
      </c>
      <c r="AB20" s="3">
        <v>104.9</v>
      </c>
      <c r="AC20" s="3">
        <v>97.2</v>
      </c>
      <c r="AD20" s="3">
        <v>90.7</v>
      </c>
      <c r="AE20" s="3">
        <v>109.9</v>
      </c>
      <c r="AF20" s="3">
        <v>111.5</v>
      </c>
      <c r="AG20" s="3">
        <v>114.3</v>
      </c>
      <c r="AH20" s="3">
        <v>102.9</v>
      </c>
      <c r="AI20" s="3">
        <v>105.4</v>
      </c>
      <c r="AJ20" s="3">
        <v>110</v>
      </c>
      <c r="AK20" s="3">
        <v>109.6</v>
      </c>
      <c r="AL20" s="3">
        <v>109.3</v>
      </c>
      <c r="AM20" s="3">
        <v>108</v>
      </c>
      <c r="AN20" s="3">
        <v>108.1</v>
      </c>
      <c r="AO20" s="3">
        <v>107.7</v>
      </c>
      <c r="AP20" s="3">
        <v>105.8</v>
      </c>
      <c r="AQ20" s="3">
        <v>107.1</v>
      </c>
      <c r="AR20" s="3">
        <v>104.9</v>
      </c>
      <c r="AS20" s="3">
        <v>103.8</v>
      </c>
      <c r="AT20" s="3">
        <v>100.8</v>
      </c>
      <c r="AU20" s="3">
        <v>112.9</v>
      </c>
      <c r="AV20" s="3">
        <v>99.9</v>
      </c>
      <c r="AX20" s="3">
        <v>116.8</v>
      </c>
      <c r="AY20" s="3">
        <v>115.6</v>
      </c>
      <c r="AZ20" s="3">
        <v>106.9</v>
      </c>
      <c r="BA20" s="3">
        <v>107.9</v>
      </c>
      <c r="BB20" s="3">
        <v>131</v>
      </c>
      <c r="BC20" s="3">
        <v>96.2</v>
      </c>
      <c r="BD20" s="3">
        <v>108.6</v>
      </c>
      <c r="BE20" s="3">
        <v>101.2</v>
      </c>
      <c r="BF20" s="3">
        <v>89.9</v>
      </c>
      <c r="BG20" s="3">
        <v>105.7</v>
      </c>
      <c r="BH20" s="3">
        <v>106.2</v>
      </c>
      <c r="BI20" s="3">
        <v>103.9</v>
      </c>
      <c r="BJ20" s="3">
        <v>106.3</v>
      </c>
      <c r="BK20" s="3">
        <v>109.9</v>
      </c>
      <c r="BL20" s="3">
        <v>101.9</v>
      </c>
      <c r="BM20" s="3">
        <v>100.6</v>
      </c>
      <c r="BN20" s="3">
        <v>101.2</v>
      </c>
      <c r="BO20" s="3">
        <v>108.7</v>
      </c>
      <c r="BP20" s="3">
        <v>112.5</v>
      </c>
      <c r="BQ20" s="3">
        <v>103.9</v>
      </c>
      <c r="BR20" s="3">
        <v>101.1</v>
      </c>
      <c r="BS20" s="3">
        <v>104.5</v>
      </c>
      <c r="BT20" s="3">
        <v>104.8</v>
      </c>
      <c r="BU20" s="3">
        <v>103.8</v>
      </c>
      <c r="BV20" s="3">
        <v>101.5</v>
      </c>
      <c r="BW20" s="3">
        <v>108</v>
      </c>
      <c r="BX20" s="3">
        <v>111.5</v>
      </c>
      <c r="BY20" s="3">
        <v>112.3</v>
      </c>
      <c r="BZ20" s="3">
        <v>110.1</v>
      </c>
      <c r="CA20" s="3">
        <v>100.9</v>
      </c>
      <c r="CB20" s="3">
        <v>115.9</v>
      </c>
      <c r="CC20" s="3">
        <v>107.8</v>
      </c>
      <c r="CD20" s="3">
        <v>111.3</v>
      </c>
      <c r="CE20" s="3">
        <v>104.9</v>
      </c>
      <c r="CF20" s="3">
        <v>93.3</v>
      </c>
      <c r="CG20" s="3">
        <v>99.6</v>
      </c>
      <c r="CH20" s="3">
        <v>105.8</v>
      </c>
      <c r="CI20" s="3">
        <v>112.6</v>
      </c>
      <c r="CJ20" s="3">
        <v>107</v>
      </c>
      <c r="CK20" s="3">
        <v>103.3</v>
      </c>
      <c r="CL20" s="3">
        <v>112.1</v>
      </c>
    </row>
    <row r="21" spans="1:90" x14ac:dyDescent="0.25">
      <c r="A21" s="4">
        <v>32356</v>
      </c>
      <c r="B21" s="3">
        <v>108.7</v>
      </c>
      <c r="C21" s="3">
        <v>108.6</v>
      </c>
      <c r="D21" s="3">
        <v>104.6</v>
      </c>
      <c r="E21" s="3">
        <v>111.3</v>
      </c>
      <c r="F21" s="3">
        <v>103.8</v>
      </c>
      <c r="G21" s="3">
        <v>104.9</v>
      </c>
      <c r="H21" s="3">
        <v>100.5</v>
      </c>
      <c r="I21" s="3">
        <v>103.5</v>
      </c>
      <c r="J21" s="3">
        <v>101.6</v>
      </c>
      <c r="K21" s="3">
        <v>99.6</v>
      </c>
      <c r="L21" s="3">
        <v>103.3</v>
      </c>
      <c r="M21" s="3">
        <v>106.2</v>
      </c>
      <c r="N21" s="3">
        <v>101.9</v>
      </c>
      <c r="O21" s="3">
        <v>105.4</v>
      </c>
      <c r="P21" s="3">
        <v>102.8</v>
      </c>
      <c r="Q21" s="3">
        <v>107</v>
      </c>
      <c r="R21" s="3">
        <v>101.7</v>
      </c>
      <c r="S21" s="3">
        <v>107.8</v>
      </c>
      <c r="T21" s="3">
        <v>110.1</v>
      </c>
      <c r="U21" s="3">
        <v>106.7</v>
      </c>
      <c r="V21" s="3">
        <v>93.5</v>
      </c>
      <c r="W21" s="3">
        <v>117.2</v>
      </c>
      <c r="X21" s="3">
        <v>110.5</v>
      </c>
      <c r="Y21" s="3">
        <v>101.2</v>
      </c>
      <c r="Z21" s="3">
        <v>94.4</v>
      </c>
      <c r="AA21" s="3">
        <v>86</v>
      </c>
      <c r="AB21" s="3">
        <v>105.9</v>
      </c>
      <c r="AC21" s="3">
        <v>96.5</v>
      </c>
      <c r="AD21" s="3">
        <v>89.5</v>
      </c>
      <c r="AE21" s="3">
        <v>110.1</v>
      </c>
      <c r="AF21" s="3">
        <v>107.5</v>
      </c>
      <c r="AG21" s="3">
        <v>109.2</v>
      </c>
      <c r="AH21" s="3">
        <v>102.5</v>
      </c>
      <c r="AI21" s="3">
        <v>106</v>
      </c>
      <c r="AJ21" s="3">
        <v>111.1</v>
      </c>
      <c r="AK21" s="3">
        <v>109.6</v>
      </c>
      <c r="AL21" s="3">
        <v>109.8</v>
      </c>
      <c r="AM21" s="3">
        <v>108.8</v>
      </c>
      <c r="AN21" s="3">
        <v>109</v>
      </c>
      <c r="AO21" s="3">
        <v>107.5</v>
      </c>
      <c r="AP21" s="3">
        <v>106.2</v>
      </c>
      <c r="AQ21" s="3">
        <v>107.7</v>
      </c>
      <c r="AR21" s="3">
        <v>105</v>
      </c>
      <c r="AS21" s="3">
        <v>104</v>
      </c>
      <c r="AT21" s="3">
        <v>100.9</v>
      </c>
      <c r="AU21" s="3">
        <v>112.8</v>
      </c>
      <c r="AV21" s="3">
        <v>118.8</v>
      </c>
      <c r="AX21" s="3">
        <v>116.8</v>
      </c>
      <c r="AY21" s="3">
        <v>115.6</v>
      </c>
      <c r="AZ21" s="3">
        <v>107.3</v>
      </c>
      <c r="BA21" s="3">
        <v>108.4</v>
      </c>
      <c r="BB21" s="3">
        <v>135.30000000000001</v>
      </c>
      <c r="BC21" s="3">
        <v>95.8</v>
      </c>
      <c r="BD21" s="3">
        <v>108.6</v>
      </c>
      <c r="BE21" s="3">
        <v>101.2</v>
      </c>
      <c r="BF21" s="3">
        <v>86.5</v>
      </c>
      <c r="BG21" s="3">
        <v>106.5</v>
      </c>
      <c r="BH21" s="3">
        <v>106.9</v>
      </c>
      <c r="BI21" s="3">
        <v>104.3</v>
      </c>
      <c r="BJ21" s="3">
        <v>107.3</v>
      </c>
      <c r="BK21" s="3">
        <v>110.6</v>
      </c>
      <c r="BL21" s="3">
        <v>102.4</v>
      </c>
      <c r="BM21" s="3">
        <v>100.6</v>
      </c>
      <c r="BN21" s="3">
        <v>101.2</v>
      </c>
      <c r="BO21" s="3">
        <v>109.3</v>
      </c>
      <c r="BP21" s="3">
        <v>113</v>
      </c>
      <c r="BQ21" s="3">
        <v>104</v>
      </c>
      <c r="BR21" s="3">
        <v>100.7</v>
      </c>
      <c r="BS21" s="3">
        <v>104.1</v>
      </c>
      <c r="BT21" s="3">
        <v>104.9</v>
      </c>
      <c r="BU21" s="3">
        <v>104.7</v>
      </c>
      <c r="BV21" s="3">
        <v>101.8</v>
      </c>
      <c r="BW21" s="3">
        <v>108.4</v>
      </c>
      <c r="BX21" s="3">
        <v>112</v>
      </c>
      <c r="BY21" s="3">
        <v>113.3</v>
      </c>
      <c r="BZ21" s="3">
        <v>109.9</v>
      </c>
      <c r="CA21" s="3">
        <v>100.8</v>
      </c>
      <c r="CB21" s="3">
        <v>115.9</v>
      </c>
      <c r="CC21" s="3">
        <v>107.8</v>
      </c>
      <c r="CD21" s="3">
        <v>112.4</v>
      </c>
      <c r="CE21" s="3">
        <v>105.9</v>
      </c>
      <c r="CF21" s="3">
        <v>93.4</v>
      </c>
      <c r="CG21" s="3">
        <v>99.7</v>
      </c>
      <c r="CH21" s="3">
        <v>106.3</v>
      </c>
      <c r="CI21" s="3">
        <v>113.1</v>
      </c>
      <c r="CJ21" s="3">
        <v>107.2</v>
      </c>
      <c r="CK21" s="3">
        <v>103.3</v>
      </c>
      <c r="CL21" s="3">
        <v>112.4</v>
      </c>
    </row>
    <row r="22" spans="1:90" x14ac:dyDescent="0.25">
      <c r="A22" s="4">
        <v>32387</v>
      </c>
      <c r="B22" s="3">
        <v>108.8</v>
      </c>
      <c r="C22" s="3">
        <v>109.9</v>
      </c>
      <c r="D22" s="3">
        <v>105.4</v>
      </c>
      <c r="E22" s="3">
        <v>112.1</v>
      </c>
      <c r="F22" s="3">
        <v>100.9</v>
      </c>
      <c r="G22" s="3">
        <v>100.6</v>
      </c>
      <c r="H22" s="3">
        <v>101.3</v>
      </c>
      <c r="I22" s="3">
        <v>104.1</v>
      </c>
      <c r="J22" s="3">
        <v>102.1</v>
      </c>
      <c r="K22" s="3">
        <v>100.1</v>
      </c>
      <c r="L22" s="3">
        <v>104.2</v>
      </c>
      <c r="M22" s="3">
        <v>107.7</v>
      </c>
      <c r="N22" s="3">
        <v>102.4</v>
      </c>
      <c r="O22" s="3">
        <v>107.6</v>
      </c>
      <c r="P22" s="3">
        <v>104.3</v>
      </c>
      <c r="Q22" s="3">
        <v>108.4</v>
      </c>
      <c r="R22" s="3">
        <v>101.5</v>
      </c>
      <c r="S22" s="3">
        <v>107.9</v>
      </c>
      <c r="T22" s="3">
        <v>109.5</v>
      </c>
      <c r="U22" s="3">
        <v>107.8</v>
      </c>
      <c r="V22" s="3">
        <v>93.1</v>
      </c>
      <c r="W22" s="3">
        <v>118.2</v>
      </c>
      <c r="X22" s="3">
        <v>110.7</v>
      </c>
      <c r="Y22" s="3">
        <v>101.5</v>
      </c>
      <c r="Z22" s="3">
        <v>95.5</v>
      </c>
      <c r="AA22" s="3">
        <v>87.9</v>
      </c>
      <c r="AB22" s="3">
        <v>106</v>
      </c>
      <c r="AC22" s="3">
        <v>97.5</v>
      </c>
      <c r="AD22" s="3">
        <v>90.8</v>
      </c>
      <c r="AE22" s="3">
        <v>110.5</v>
      </c>
      <c r="AF22" s="3">
        <v>105.1</v>
      </c>
      <c r="AG22" s="3">
        <v>106.1</v>
      </c>
      <c r="AH22" s="3">
        <v>102</v>
      </c>
      <c r="AI22" s="3">
        <v>105.8</v>
      </c>
      <c r="AJ22" s="3">
        <v>111.9</v>
      </c>
      <c r="AK22" s="3">
        <v>110.8</v>
      </c>
      <c r="AL22" s="3">
        <v>110.1</v>
      </c>
      <c r="AM22" s="3">
        <v>109.8</v>
      </c>
      <c r="AN22" s="3">
        <v>110</v>
      </c>
      <c r="AO22" s="3">
        <v>107.8</v>
      </c>
      <c r="AP22" s="3">
        <v>106.5</v>
      </c>
      <c r="AQ22" s="3">
        <v>108.3</v>
      </c>
      <c r="AR22" s="3">
        <v>105.3</v>
      </c>
      <c r="AS22" s="3">
        <v>104.1</v>
      </c>
      <c r="AT22" s="3">
        <v>101.3</v>
      </c>
      <c r="AU22" s="3">
        <v>113</v>
      </c>
      <c r="AV22" s="3">
        <v>121</v>
      </c>
      <c r="AX22" s="3">
        <v>116.8</v>
      </c>
      <c r="AY22" s="3">
        <v>115.6</v>
      </c>
      <c r="AZ22" s="3">
        <v>107.8</v>
      </c>
      <c r="BA22" s="3">
        <v>108.3</v>
      </c>
      <c r="BB22" s="3">
        <v>135.1</v>
      </c>
      <c r="BC22" s="3">
        <v>100.3</v>
      </c>
      <c r="BD22" s="3">
        <v>108.6</v>
      </c>
      <c r="BE22" s="3">
        <v>101.2</v>
      </c>
      <c r="BF22" s="3">
        <v>83.6</v>
      </c>
      <c r="BG22" s="3">
        <v>107.5</v>
      </c>
      <c r="BH22" s="3">
        <v>107.8</v>
      </c>
      <c r="BI22" s="3">
        <v>105.1</v>
      </c>
      <c r="BJ22" s="3">
        <v>107.7</v>
      </c>
      <c r="BK22" s="3">
        <v>111.3</v>
      </c>
      <c r="BL22" s="3">
        <v>102.3</v>
      </c>
      <c r="BM22" s="3">
        <v>106.5</v>
      </c>
      <c r="BN22" s="3">
        <v>101.2</v>
      </c>
      <c r="BO22" s="3">
        <v>109.8</v>
      </c>
      <c r="BP22" s="3">
        <v>113.3</v>
      </c>
      <c r="BQ22" s="3">
        <v>105.3</v>
      </c>
      <c r="BR22" s="3">
        <v>103.5</v>
      </c>
      <c r="BS22" s="3">
        <v>104.4</v>
      </c>
      <c r="BT22" s="3">
        <v>105.9</v>
      </c>
      <c r="BU22" s="3">
        <v>105.5</v>
      </c>
      <c r="BV22" s="3">
        <v>102.1</v>
      </c>
      <c r="BW22" s="3">
        <v>108.6</v>
      </c>
      <c r="BX22" s="3">
        <v>112.5</v>
      </c>
      <c r="BY22" s="3">
        <v>113.8</v>
      </c>
      <c r="BZ22" s="3">
        <v>110.4</v>
      </c>
      <c r="CA22" s="3">
        <v>100.5</v>
      </c>
      <c r="CB22" s="3">
        <v>115.9</v>
      </c>
      <c r="CC22" s="3">
        <v>107.8</v>
      </c>
      <c r="CD22" s="3">
        <v>112.5</v>
      </c>
      <c r="CE22" s="3">
        <v>106.3</v>
      </c>
      <c r="CF22" s="3">
        <v>92.1</v>
      </c>
      <c r="CG22" s="3">
        <v>99.5</v>
      </c>
      <c r="CH22" s="3">
        <v>106.5</v>
      </c>
      <c r="CI22" s="3">
        <v>113.3</v>
      </c>
      <c r="CJ22" s="3">
        <v>108.1</v>
      </c>
      <c r="CK22" s="3">
        <v>103.3</v>
      </c>
      <c r="CL22" s="3">
        <v>115.9</v>
      </c>
    </row>
    <row r="23" spans="1:90" x14ac:dyDescent="0.25">
      <c r="A23" s="4">
        <v>32417</v>
      </c>
      <c r="B23" s="3">
        <v>109</v>
      </c>
      <c r="C23" s="3">
        <v>110.5</v>
      </c>
      <c r="D23" s="3">
        <v>106</v>
      </c>
      <c r="E23" s="3">
        <v>112.3</v>
      </c>
      <c r="F23" s="3">
        <v>96.5</v>
      </c>
      <c r="G23" s="3">
        <v>93.9</v>
      </c>
      <c r="H23" s="3">
        <v>101.6</v>
      </c>
      <c r="I23" s="3">
        <v>104.7</v>
      </c>
      <c r="J23" s="3">
        <v>101.2</v>
      </c>
      <c r="K23" s="3">
        <v>99.9</v>
      </c>
      <c r="L23" s="3">
        <v>103</v>
      </c>
      <c r="M23" s="3">
        <v>104.6</v>
      </c>
      <c r="N23" s="3">
        <v>102.4</v>
      </c>
      <c r="O23" s="3">
        <v>108.5</v>
      </c>
      <c r="P23" s="3">
        <v>105.2</v>
      </c>
      <c r="Q23" s="3">
        <v>109.2</v>
      </c>
      <c r="R23" s="3">
        <v>102.8</v>
      </c>
      <c r="S23" s="3">
        <v>108</v>
      </c>
      <c r="T23" s="3">
        <v>110.8</v>
      </c>
      <c r="U23" s="3">
        <v>108.3</v>
      </c>
      <c r="V23" s="3">
        <v>93</v>
      </c>
      <c r="W23" s="3">
        <v>118.5</v>
      </c>
      <c r="X23" s="3">
        <v>111.5</v>
      </c>
      <c r="Y23" s="3">
        <v>101.4</v>
      </c>
      <c r="Z23" s="3">
        <v>95.4</v>
      </c>
      <c r="AA23" s="3">
        <v>87.6</v>
      </c>
      <c r="AB23" s="3">
        <v>106.2</v>
      </c>
      <c r="AC23" s="3">
        <v>99.9</v>
      </c>
      <c r="AD23" s="3">
        <v>94.4</v>
      </c>
      <c r="AE23" s="3">
        <v>110.8</v>
      </c>
      <c r="AF23" s="3">
        <v>103.2</v>
      </c>
      <c r="AG23" s="3">
        <v>103.9</v>
      </c>
      <c r="AH23" s="3">
        <v>101.2</v>
      </c>
      <c r="AI23" s="3">
        <v>106.4</v>
      </c>
      <c r="AJ23" s="3">
        <v>112.6</v>
      </c>
      <c r="AK23" s="3">
        <v>110.9</v>
      </c>
      <c r="AL23" s="3">
        <v>110.7</v>
      </c>
      <c r="AM23" s="3">
        <v>110.6</v>
      </c>
      <c r="AN23" s="3">
        <v>110.9</v>
      </c>
      <c r="AO23" s="3">
        <v>108</v>
      </c>
      <c r="AP23" s="3">
        <v>106.8</v>
      </c>
      <c r="AQ23" s="3">
        <v>108.7</v>
      </c>
      <c r="AR23" s="3">
        <v>105.5</v>
      </c>
      <c r="AS23" s="3">
        <v>104.5</v>
      </c>
      <c r="AT23" s="3">
        <v>102.3</v>
      </c>
      <c r="AU23" s="3">
        <v>114</v>
      </c>
      <c r="AV23" s="3">
        <v>134.80000000000001</v>
      </c>
      <c r="AX23" s="3">
        <v>116.8</v>
      </c>
      <c r="AY23" s="3">
        <v>115.6</v>
      </c>
      <c r="AZ23" s="3">
        <v>108.5</v>
      </c>
      <c r="BA23" s="3">
        <v>108.5</v>
      </c>
      <c r="BB23" s="3">
        <v>136.19999999999999</v>
      </c>
      <c r="BC23" s="3">
        <v>101.1</v>
      </c>
      <c r="BD23" s="3">
        <v>108.6</v>
      </c>
      <c r="BE23" s="3">
        <v>101.2</v>
      </c>
      <c r="BF23" s="3">
        <v>84.5</v>
      </c>
      <c r="BG23" s="3">
        <v>107.9</v>
      </c>
      <c r="BH23" s="3">
        <v>108.1</v>
      </c>
      <c r="BI23" s="3">
        <v>105.3</v>
      </c>
      <c r="BJ23" s="3">
        <v>108</v>
      </c>
      <c r="BK23" s="3">
        <v>111.7</v>
      </c>
      <c r="BL23" s="3">
        <v>102.7</v>
      </c>
      <c r="BM23" s="3">
        <v>106.5</v>
      </c>
      <c r="BN23" s="3">
        <v>101.2</v>
      </c>
      <c r="BO23" s="3">
        <v>110.6</v>
      </c>
      <c r="BP23" s="3">
        <v>113.8</v>
      </c>
      <c r="BQ23" s="3">
        <v>107.2</v>
      </c>
      <c r="BR23" s="3">
        <v>105</v>
      </c>
      <c r="BS23" s="3">
        <v>107.8</v>
      </c>
      <c r="BT23" s="3">
        <v>108</v>
      </c>
      <c r="BU23" s="3">
        <v>108</v>
      </c>
      <c r="BV23" s="3">
        <v>102.5</v>
      </c>
      <c r="BW23" s="3">
        <v>108.9</v>
      </c>
      <c r="BX23" s="3">
        <v>112.7</v>
      </c>
      <c r="BY23" s="3">
        <v>114.3</v>
      </c>
      <c r="BZ23" s="3">
        <v>110.6</v>
      </c>
      <c r="CA23" s="3">
        <v>100.3</v>
      </c>
      <c r="CB23" s="3">
        <v>117.6</v>
      </c>
      <c r="CC23" s="3">
        <v>107.8</v>
      </c>
      <c r="CD23" s="3">
        <v>113.4</v>
      </c>
      <c r="CE23" s="3">
        <v>106.7</v>
      </c>
      <c r="CF23" s="3">
        <v>92</v>
      </c>
      <c r="CG23" s="3">
        <v>99.7</v>
      </c>
      <c r="CH23" s="3">
        <v>106.4</v>
      </c>
      <c r="CI23" s="3">
        <v>114.5</v>
      </c>
      <c r="CJ23" s="3">
        <v>109.5</v>
      </c>
      <c r="CK23" s="3">
        <v>103.4</v>
      </c>
      <c r="CL23" s="3">
        <v>115.8</v>
      </c>
    </row>
    <row r="24" spans="1:90" x14ac:dyDescent="0.25">
      <c r="A24" s="4">
        <v>32448</v>
      </c>
      <c r="B24" s="3">
        <v>109</v>
      </c>
      <c r="C24" s="3">
        <v>110.8</v>
      </c>
      <c r="D24" s="3">
        <v>106.4</v>
      </c>
      <c r="E24" s="3">
        <v>113.8</v>
      </c>
      <c r="F24" s="3">
        <v>98.8</v>
      </c>
      <c r="G24" s="3">
        <v>97.7</v>
      </c>
      <c r="H24" s="3">
        <v>104.3</v>
      </c>
      <c r="I24" s="3">
        <v>105.2</v>
      </c>
      <c r="J24" s="3">
        <v>102.7</v>
      </c>
      <c r="K24" s="3">
        <v>100.6</v>
      </c>
      <c r="L24" s="3">
        <v>103.1</v>
      </c>
      <c r="M24" s="3">
        <v>103.5</v>
      </c>
      <c r="N24" s="3">
        <v>103.2</v>
      </c>
      <c r="O24" s="3">
        <v>110</v>
      </c>
      <c r="P24" s="3">
        <v>106.5</v>
      </c>
      <c r="Q24" s="3">
        <v>109.8</v>
      </c>
      <c r="R24" s="3">
        <v>104.9</v>
      </c>
      <c r="S24" s="3">
        <v>108.4</v>
      </c>
      <c r="T24" s="3">
        <v>111.4</v>
      </c>
      <c r="U24" s="3">
        <v>108.3</v>
      </c>
      <c r="V24" s="3">
        <v>92.9</v>
      </c>
      <c r="W24" s="3">
        <v>119.2</v>
      </c>
      <c r="X24" s="3">
        <v>112</v>
      </c>
      <c r="Y24" s="3">
        <v>101.4</v>
      </c>
      <c r="Z24" s="3">
        <v>97.6</v>
      </c>
      <c r="AA24" s="3">
        <v>91.3</v>
      </c>
      <c r="AB24" s="3">
        <v>106.3</v>
      </c>
      <c r="AC24" s="3">
        <v>102.6</v>
      </c>
      <c r="AD24" s="3">
        <v>97.7</v>
      </c>
      <c r="AE24" s="3">
        <v>112.2</v>
      </c>
      <c r="AF24" s="3">
        <v>101.5</v>
      </c>
      <c r="AG24" s="3">
        <v>102.1</v>
      </c>
      <c r="AH24" s="3">
        <v>99.5</v>
      </c>
      <c r="AI24" s="3">
        <v>106.8</v>
      </c>
      <c r="AJ24" s="3">
        <v>113.2</v>
      </c>
      <c r="AK24" s="3">
        <v>110.8</v>
      </c>
      <c r="AL24" s="3">
        <v>111.2</v>
      </c>
      <c r="AM24" s="3">
        <v>111</v>
      </c>
      <c r="AN24" s="3">
        <v>111.5</v>
      </c>
      <c r="AO24" s="3">
        <v>106.7</v>
      </c>
      <c r="AP24" s="3">
        <v>106.3</v>
      </c>
      <c r="AQ24" s="3">
        <v>109.2</v>
      </c>
      <c r="AR24" s="3">
        <v>104.1</v>
      </c>
      <c r="AS24" s="3">
        <v>105.4</v>
      </c>
      <c r="AT24" s="3">
        <v>103</v>
      </c>
      <c r="AU24" s="3">
        <v>114.4</v>
      </c>
      <c r="AV24" s="3">
        <v>137.6</v>
      </c>
      <c r="AX24" s="3">
        <v>116.8</v>
      </c>
      <c r="AY24" s="3">
        <v>115.6</v>
      </c>
      <c r="AZ24" s="3">
        <v>109.1</v>
      </c>
      <c r="BA24" s="3">
        <v>109.1</v>
      </c>
      <c r="BB24" s="3">
        <v>146.69999999999999</v>
      </c>
      <c r="BC24" s="3">
        <v>102</v>
      </c>
      <c r="BD24" s="3">
        <v>108.6</v>
      </c>
      <c r="BE24" s="3">
        <v>101.2</v>
      </c>
      <c r="BF24" s="3">
        <v>85.6</v>
      </c>
      <c r="BG24" s="3">
        <v>108.7</v>
      </c>
      <c r="BH24" s="3">
        <v>108.5</v>
      </c>
      <c r="BI24" s="3">
        <v>105.8</v>
      </c>
      <c r="BJ24" s="3">
        <v>108.3</v>
      </c>
      <c r="BK24" s="3">
        <v>111.6</v>
      </c>
      <c r="BL24" s="3">
        <v>102.7</v>
      </c>
      <c r="BM24" s="3">
        <v>106.5</v>
      </c>
      <c r="BN24" s="3">
        <v>101.2</v>
      </c>
      <c r="BO24" s="3">
        <v>111.1</v>
      </c>
      <c r="BP24" s="3">
        <v>114.9</v>
      </c>
      <c r="BQ24" s="3">
        <v>108.1</v>
      </c>
      <c r="BR24" s="3">
        <v>105.9</v>
      </c>
      <c r="BS24" s="3">
        <v>108.8</v>
      </c>
      <c r="BT24" s="3">
        <v>108.5</v>
      </c>
      <c r="BU24" s="3">
        <v>108.3</v>
      </c>
      <c r="BV24" s="3">
        <v>103</v>
      </c>
      <c r="BW24" s="3">
        <v>109.9</v>
      </c>
      <c r="BX24" s="3">
        <v>113.3</v>
      </c>
      <c r="BY24" s="3">
        <v>114.2</v>
      </c>
      <c r="BZ24" s="3">
        <v>111.1</v>
      </c>
      <c r="CA24" s="3">
        <v>100</v>
      </c>
      <c r="CB24" s="3">
        <v>117.6</v>
      </c>
      <c r="CC24" s="3">
        <v>107.8</v>
      </c>
      <c r="CD24" s="3">
        <v>113.7</v>
      </c>
      <c r="CE24" s="3">
        <v>107</v>
      </c>
      <c r="CF24" s="3">
        <v>91.9</v>
      </c>
      <c r="CG24" s="3">
        <v>97.8</v>
      </c>
      <c r="CH24" s="3">
        <v>106.8</v>
      </c>
      <c r="CI24" s="3">
        <v>114.7</v>
      </c>
      <c r="CJ24" s="3">
        <v>109.5</v>
      </c>
      <c r="CK24" s="3">
        <v>103.4</v>
      </c>
      <c r="CL24" s="3">
        <v>117.5</v>
      </c>
    </row>
    <row r="25" spans="1:90" x14ac:dyDescent="0.25">
      <c r="A25" s="4">
        <v>32478</v>
      </c>
      <c r="B25" s="3">
        <v>110.8</v>
      </c>
      <c r="C25" s="3">
        <v>111</v>
      </c>
      <c r="D25" s="3">
        <v>107.2</v>
      </c>
      <c r="E25" s="3">
        <v>115.1</v>
      </c>
      <c r="F25" s="3">
        <v>99.6</v>
      </c>
      <c r="G25" s="3">
        <v>98.5</v>
      </c>
      <c r="H25" s="3">
        <v>104.7</v>
      </c>
      <c r="I25" s="3">
        <v>105.4</v>
      </c>
      <c r="J25" s="3">
        <v>102</v>
      </c>
      <c r="K25" s="3">
        <v>101</v>
      </c>
      <c r="L25" s="3">
        <v>104.1</v>
      </c>
      <c r="M25" s="3">
        <v>105.2</v>
      </c>
      <c r="N25" s="3">
        <v>103.8</v>
      </c>
      <c r="O25" s="3">
        <v>110.3</v>
      </c>
      <c r="P25" s="3">
        <v>107.2</v>
      </c>
      <c r="Q25" s="3">
        <v>109.1</v>
      </c>
      <c r="R25" s="3">
        <v>106.4</v>
      </c>
      <c r="S25" s="3">
        <v>108.5</v>
      </c>
      <c r="T25" s="3">
        <v>112.9</v>
      </c>
      <c r="U25" s="3">
        <v>108.5</v>
      </c>
      <c r="V25" s="3">
        <v>92.7</v>
      </c>
      <c r="W25" s="3">
        <v>119.9</v>
      </c>
      <c r="X25" s="3">
        <v>112.1</v>
      </c>
      <c r="Y25" s="3">
        <v>101.5</v>
      </c>
      <c r="Z25" s="3">
        <v>99.5</v>
      </c>
      <c r="AA25" s="3">
        <v>94.3</v>
      </c>
      <c r="AB25" s="3">
        <v>106.7</v>
      </c>
      <c r="AC25" s="3">
        <v>105.8</v>
      </c>
      <c r="AD25" s="3">
        <v>102.2</v>
      </c>
      <c r="AE25" s="3">
        <v>112.9</v>
      </c>
      <c r="AF25" s="3">
        <v>102.8</v>
      </c>
      <c r="AG25" s="3">
        <v>103.9</v>
      </c>
      <c r="AH25" s="3">
        <v>99.5</v>
      </c>
      <c r="AI25" s="3">
        <v>107</v>
      </c>
      <c r="AJ25" s="3">
        <v>113.3</v>
      </c>
      <c r="AK25" s="3">
        <v>111.3</v>
      </c>
      <c r="AL25" s="3">
        <v>111.6</v>
      </c>
      <c r="AM25" s="3">
        <v>111.2</v>
      </c>
      <c r="AN25" s="3">
        <v>111.8</v>
      </c>
      <c r="AO25" s="3">
        <v>105.9</v>
      </c>
      <c r="AP25" s="3">
        <v>105.7</v>
      </c>
      <c r="AQ25" s="3">
        <v>109.3</v>
      </c>
      <c r="AR25" s="3">
        <v>103</v>
      </c>
      <c r="AS25" s="3">
        <v>105.6</v>
      </c>
      <c r="AT25" s="3">
        <v>102.9</v>
      </c>
      <c r="AU25" s="3">
        <v>114</v>
      </c>
      <c r="AV25" s="3">
        <v>139.19999999999999</v>
      </c>
      <c r="AX25" s="3">
        <v>116.8</v>
      </c>
      <c r="AY25" s="3">
        <v>115.6</v>
      </c>
      <c r="AZ25" s="3">
        <v>109.3</v>
      </c>
      <c r="BA25" s="3">
        <v>109.3</v>
      </c>
      <c r="BB25" s="3">
        <v>147.19999999999999</v>
      </c>
      <c r="BC25" s="3">
        <v>102.3</v>
      </c>
      <c r="BD25" s="3">
        <v>108.6</v>
      </c>
      <c r="BE25" s="3">
        <v>101.2</v>
      </c>
      <c r="BF25" s="3">
        <v>89.2</v>
      </c>
      <c r="BG25" s="3">
        <v>108.7</v>
      </c>
      <c r="BH25" s="3">
        <v>108.8</v>
      </c>
      <c r="BI25" s="3">
        <v>105.6</v>
      </c>
      <c r="BJ25" s="3">
        <v>108.5</v>
      </c>
      <c r="BK25" s="3">
        <v>111.8</v>
      </c>
      <c r="BL25" s="3">
        <v>102.2</v>
      </c>
      <c r="BM25" s="3">
        <v>106.5</v>
      </c>
      <c r="BN25" s="3">
        <v>101.2</v>
      </c>
      <c r="BO25" s="3">
        <v>111.5</v>
      </c>
      <c r="BP25" s="3">
        <v>115.1</v>
      </c>
      <c r="BQ25" s="3">
        <v>108.3</v>
      </c>
      <c r="BR25" s="3">
        <v>106.2</v>
      </c>
      <c r="BS25" s="3">
        <v>109</v>
      </c>
      <c r="BT25" s="3">
        <v>109</v>
      </c>
      <c r="BU25" s="3">
        <v>108.5</v>
      </c>
      <c r="BV25" s="3">
        <v>103.2</v>
      </c>
      <c r="BW25" s="3">
        <v>110.1</v>
      </c>
      <c r="BX25" s="3">
        <v>113.5</v>
      </c>
      <c r="BY25" s="3">
        <v>113.6</v>
      </c>
      <c r="BZ25" s="3">
        <v>111</v>
      </c>
      <c r="CA25" s="3">
        <v>99.8</v>
      </c>
      <c r="CB25" s="3">
        <v>117.6</v>
      </c>
      <c r="CC25" s="3">
        <v>107.8</v>
      </c>
      <c r="CD25" s="3">
        <v>113.7</v>
      </c>
      <c r="CE25" s="3">
        <v>107.5</v>
      </c>
      <c r="CF25" s="3">
        <v>91.7</v>
      </c>
      <c r="CG25" s="3">
        <v>97.8</v>
      </c>
      <c r="CH25" s="3">
        <v>106.9</v>
      </c>
      <c r="CI25" s="3">
        <v>114.7</v>
      </c>
      <c r="CJ25" s="3">
        <v>110.8</v>
      </c>
      <c r="CK25" s="3">
        <v>103.5</v>
      </c>
      <c r="CL25" s="3">
        <v>117.6</v>
      </c>
    </row>
    <row r="26" spans="1:90" x14ac:dyDescent="0.25">
      <c r="A26" s="4">
        <v>32509</v>
      </c>
      <c r="B26" s="3">
        <v>111.6</v>
      </c>
      <c r="C26" s="3">
        <v>112.2</v>
      </c>
      <c r="D26" s="3">
        <v>108.3</v>
      </c>
      <c r="E26" s="3">
        <v>115.4</v>
      </c>
      <c r="F26" s="3">
        <v>99</v>
      </c>
      <c r="G26" s="3">
        <v>96.9</v>
      </c>
      <c r="H26" s="3">
        <v>105</v>
      </c>
      <c r="I26" s="3">
        <v>105.8</v>
      </c>
      <c r="J26" s="3">
        <v>102.2</v>
      </c>
      <c r="K26" s="3">
        <v>101.2</v>
      </c>
      <c r="L26" s="3">
        <v>105.9</v>
      </c>
      <c r="M26" s="3">
        <v>107.8</v>
      </c>
      <c r="N26" s="3">
        <v>105.1</v>
      </c>
      <c r="O26" s="3">
        <v>110.8</v>
      </c>
      <c r="P26" s="3">
        <v>107.2</v>
      </c>
      <c r="Q26" s="3">
        <v>110.3</v>
      </c>
      <c r="R26" s="3">
        <v>103.7</v>
      </c>
      <c r="S26" s="3">
        <v>111.7</v>
      </c>
      <c r="T26" s="3">
        <v>112.5</v>
      </c>
      <c r="U26" s="3">
        <v>108.9</v>
      </c>
      <c r="V26" s="3">
        <v>92.9</v>
      </c>
      <c r="W26" s="3">
        <v>120.7</v>
      </c>
      <c r="X26" s="3">
        <v>114.2</v>
      </c>
      <c r="Y26" s="3">
        <v>101.8</v>
      </c>
      <c r="Z26" s="3">
        <v>99.7</v>
      </c>
      <c r="AA26" s="3">
        <v>94.6</v>
      </c>
      <c r="AB26" s="3">
        <v>106.6</v>
      </c>
      <c r="AC26" s="3">
        <v>108.3</v>
      </c>
      <c r="AD26" s="3">
        <v>105.5</v>
      </c>
      <c r="AE26" s="3">
        <v>114</v>
      </c>
      <c r="AF26" s="3">
        <v>106.1</v>
      </c>
      <c r="AG26" s="3">
        <v>107.6</v>
      </c>
      <c r="AH26" s="3">
        <v>101.5</v>
      </c>
      <c r="AI26" s="3">
        <v>107.3</v>
      </c>
      <c r="AJ26" s="3">
        <v>113.9</v>
      </c>
      <c r="AK26" s="3">
        <v>112.2</v>
      </c>
      <c r="AL26" s="3">
        <v>112.3</v>
      </c>
      <c r="AM26" s="3">
        <v>111.8</v>
      </c>
      <c r="AN26" s="3">
        <v>112.4</v>
      </c>
      <c r="AO26" s="3">
        <v>107.4</v>
      </c>
      <c r="AP26" s="3">
        <v>107.2</v>
      </c>
      <c r="AQ26" s="3">
        <v>109.8</v>
      </c>
      <c r="AR26" s="3">
        <v>105.3</v>
      </c>
      <c r="AS26" s="3">
        <v>105.9</v>
      </c>
      <c r="AT26" s="3">
        <v>103.9</v>
      </c>
      <c r="AU26" s="3">
        <v>114.4</v>
      </c>
      <c r="AV26" s="3">
        <v>144.4</v>
      </c>
      <c r="AX26" s="3">
        <v>116.8</v>
      </c>
      <c r="AY26" s="3">
        <v>116.2</v>
      </c>
      <c r="AZ26" s="3">
        <v>110.7</v>
      </c>
      <c r="BA26" s="3">
        <v>109.3</v>
      </c>
      <c r="BB26" s="3">
        <v>158.1</v>
      </c>
      <c r="BC26" s="3">
        <v>103.1</v>
      </c>
      <c r="BD26" s="3">
        <v>108.6</v>
      </c>
      <c r="BE26" s="3">
        <v>101.2</v>
      </c>
      <c r="BF26" s="3">
        <v>89.3</v>
      </c>
      <c r="BG26" s="3">
        <v>107.3</v>
      </c>
      <c r="BH26" s="3">
        <v>108.7</v>
      </c>
      <c r="BI26" s="3">
        <v>104.6</v>
      </c>
      <c r="BJ26" s="3">
        <v>108.5</v>
      </c>
      <c r="BK26" s="3">
        <v>112.2</v>
      </c>
      <c r="BL26" s="3">
        <v>102.4</v>
      </c>
      <c r="BM26" s="3">
        <v>106.5</v>
      </c>
      <c r="BN26" s="3">
        <v>101.2</v>
      </c>
      <c r="BO26" s="3">
        <v>113.2</v>
      </c>
      <c r="BP26" s="3">
        <v>118.3</v>
      </c>
      <c r="BQ26" s="3">
        <v>106.2</v>
      </c>
      <c r="BR26" s="3">
        <v>102.5</v>
      </c>
      <c r="BS26" s="3">
        <v>106.8</v>
      </c>
      <c r="BT26" s="3">
        <v>109</v>
      </c>
      <c r="BU26" s="3">
        <v>107.6</v>
      </c>
      <c r="BV26" s="3">
        <v>102.9</v>
      </c>
      <c r="BW26" s="3">
        <v>111.1</v>
      </c>
      <c r="BX26" s="3">
        <v>117.1</v>
      </c>
      <c r="BY26" s="3">
        <v>113.5</v>
      </c>
      <c r="BZ26" s="3">
        <v>113.1</v>
      </c>
      <c r="CA26" s="3">
        <v>99.7</v>
      </c>
      <c r="CB26" s="3">
        <v>121.9</v>
      </c>
      <c r="CC26" s="3">
        <v>117.4</v>
      </c>
      <c r="CD26" s="3">
        <v>115.3</v>
      </c>
      <c r="CE26" s="3">
        <v>107.3</v>
      </c>
      <c r="CF26" s="3">
        <v>90.9</v>
      </c>
      <c r="CG26" s="3">
        <v>97.8</v>
      </c>
      <c r="CH26" s="3">
        <v>106.8</v>
      </c>
      <c r="CI26" s="3">
        <v>115.4</v>
      </c>
      <c r="CJ26" s="3">
        <v>112.2</v>
      </c>
      <c r="CK26" s="3">
        <v>103.7</v>
      </c>
      <c r="CL26" s="3">
        <v>118.1</v>
      </c>
    </row>
    <row r="27" spans="1:90" x14ac:dyDescent="0.25">
      <c r="A27" s="4">
        <v>32540</v>
      </c>
      <c r="B27" s="3">
        <v>112.6</v>
      </c>
      <c r="C27" s="3">
        <v>113.5</v>
      </c>
      <c r="D27" s="3">
        <v>109</v>
      </c>
      <c r="E27" s="3">
        <v>115.4</v>
      </c>
      <c r="F27" s="3">
        <v>95.5</v>
      </c>
      <c r="G27" s="3">
        <v>92.4</v>
      </c>
      <c r="H27" s="3">
        <v>104.1</v>
      </c>
      <c r="I27" s="3">
        <v>105.6</v>
      </c>
      <c r="J27" s="3">
        <v>100.9</v>
      </c>
      <c r="K27" s="3">
        <v>101</v>
      </c>
      <c r="L27" s="3">
        <v>106.6</v>
      </c>
      <c r="M27" s="3">
        <v>108.7</v>
      </c>
      <c r="N27" s="3">
        <v>105.7</v>
      </c>
      <c r="O27" s="3">
        <v>113.1</v>
      </c>
      <c r="P27" s="3">
        <v>107.1</v>
      </c>
      <c r="Q27" s="3">
        <v>110.6</v>
      </c>
      <c r="R27" s="3">
        <v>102</v>
      </c>
      <c r="S27" s="3">
        <v>112.3</v>
      </c>
      <c r="T27" s="3">
        <v>113.4</v>
      </c>
      <c r="U27" s="3">
        <v>108.9</v>
      </c>
      <c r="V27" s="3">
        <v>92.8</v>
      </c>
      <c r="W27" s="3">
        <v>121.5</v>
      </c>
      <c r="X27" s="3">
        <v>114.8</v>
      </c>
      <c r="Y27" s="3">
        <v>102.1</v>
      </c>
      <c r="Z27" s="3">
        <v>101.1</v>
      </c>
      <c r="AA27" s="3">
        <v>97.3</v>
      </c>
      <c r="AB27" s="3">
        <v>106.5</v>
      </c>
      <c r="AC27" s="3">
        <v>110.7</v>
      </c>
      <c r="AD27" s="3">
        <v>108.6</v>
      </c>
      <c r="AE27" s="3">
        <v>114.9</v>
      </c>
      <c r="AF27" s="3">
        <v>104.8</v>
      </c>
      <c r="AG27" s="3">
        <v>105.5</v>
      </c>
      <c r="AH27" s="3">
        <v>102.8</v>
      </c>
      <c r="AI27" s="3">
        <v>107.5</v>
      </c>
      <c r="AJ27" s="3">
        <v>114.3</v>
      </c>
      <c r="AK27" s="3">
        <v>112.7</v>
      </c>
      <c r="AL27" s="3">
        <v>112.7</v>
      </c>
      <c r="AM27" s="3">
        <v>112.3</v>
      </c>
      <c r="AN27" s="3">
        <v>112.6</v>
      </c>
      <c r="AO27" s="3">
        <v>109.4</v>
      </c>
      <c r="AP27" s="3">
        <v>107.9</v>
      </c>
      <c r="AQ27" s="3">
        <v>110.2</v>
      </c>
      <c r="AR27" s="3">
        <v>106.2</v>
      </c>
      <c r="AS27" s="3">
        <v>106</v>
      </c>
      <c r="AT27" s="3">
        <v>104.2</v>
      </c>
      <c r="AU27" s="3">
        <v>114.5</v>
      </c>
      <c r="AV27" s="3">
        <v>152</v>
      </c>
      <c r="AX27" s="3">
        <v>116.8</v>
      </c>
      <c r="AY27" s="3">
        <v>116.2</v>
      </c>
      <c r="AZ27" s="3">
        <v>110.9</v>
      </c>
      <c r="BA27" s="3">
        <v>109.8</v>
      </c>
      <c r="BB27" s="3">
        <v>159.69999999999999</v>
      </c>
      <c r="BC27" s="3">
        <v>103.1</v>
      </c>
      <c r="BD27" s="3">
        <v>108.6</v>
      </c>
      <c r="BE27" s="3">
        <v>101.2</v>
      </c>
      <c r="BF27" s="3">
        <v>88.7</v>
      </c>
      <c r="BG27" s="3">
        <v>108.1</v>
      </c>
      <c r="BH27" s="3">
        <v>109.8</v>
      </c>
      <c r="BI27" s="3">
        <v>104.6</v>
      </c>
      <c r="BJ27" s="3">
        <v>109</v>
      </c>
      <c r="BK27" s="3">
        <v>113.3</v>
      </c>
      <c r="BL27" s="3">
        <v>103.8</v>
      </c>
      <c r="BM27" s="3">
        <v>106.5</v>
      </c>
      <c r="BN27" s="3">
        <v>101.2</v>
      </c>
      <c r="BO27" s="3">
        <v>113.7</v>
      </c>
      <c r="BP27" s="3">
        <v>119.4</v>
      </c>
      <c r="BQ27" s="3">
        <v>107.5</v>
      </c>
      <c r="BR27" s="3">
        <v>103.8</v>
      </c>
      <c r="BS27" s="3">
        <v>108.5</v>
      </c>
      <c r="BT27" s="3">
        <v>110.1</v>
      </c>
      <c r="BU27" s="3">
        <v>108.7</v>
      </c>
      <c r="BV27" s="3">
        <v>103.4</v>
      </c>
      <c r="BW27" s="3">
        <v>111.6</v>
      </c>
      <c r="BX27" s="3">
        <v>117.4</v>
      </c>
      <c r="BY27" s="3">
        <v>113.1</v>
      </c>
      <c r="BZ27" s="3">
        <v>113.3</v>
      </c>
      <c r="CA27" s="3">
        <v>101.6</v>
      </c>
      <c r="CB27" s="3">
        <v>121.9</v>
      </c>
      <c r="CC27" s="3">
        <v>117.4</v>
      </c>
      <c r="CD27" s="3">
        <v>115.9</v>
      </c>
      <c r="CE27" s="3">
        <v>107.5</v>
      </c>
      <c r="CF27" s="3">
        <v>90.9</v>
      </c>
      <c r="CG27" s="3">
        <v>98</v>
      </c>
      <c r="CH27" s="3">
        <v>107</v>
      </c>
      <c r="CI27" s="3">
        <v>116.1</v>
      </c>
      <c r="CJ27" s="3">
        <v>112.9</v>
      </c>
      <c r="CK27" s="3">
        <v>103.7</v>
      </c>
      <c r="CL27" s="3">
        <v>118.3</v>
      </c>
    </row>
    <row r="28" spans="1:90" x14ac:dyDescent="0.25">
      <c r="A28" s="4">
        <v>32568</v>
      </c>
      <c r="B28" s="3">
        <v>113</v>
      </c>
      <c r="C28" s="3">
        <v>114.8</v>
      </c>
      <c r="D28" s="3">
        <v>109.9</v>
      </c>
      <c r="E28" s="3">
        <v>115.4</v>
      </c>
      <c r="F28" s="3">
        <v>98.5</v>
      </c>
      <c r="G28" s="3">
        <v>96.3</v>
      </c>
      <c r="H28" s="3">
        <v>105.3</v>
      </c>
      <c r="I28" s="3">
        <v>105.6</v>
      </c>
      <c r="J28" s="3">
        <v>101.6</v>
      </c>
      <c r="K28" s="3">
        <v>101.5</v>
      </c>
      <c r="L28" s="3">
        <v>106.1</v>
      </c>
      <c r="M28" s="3">
        <v>108.2</v>
      </c>
      <c r="N28" s="3">
        <v>105.2</v>
      </c>
      <c r="O28" s="3">
        <v>114.6</v>
      </c>
      <c r="P28" s="3">
        <v>106.3</v>
      </c>
      <c r="Q28" s="3">
        <v>110.6</v>
      </c>
      <c r="R28" s="3">
        <v>101</v>
      </c>
      <c r="S28" s="3">
        <v>112.5</v>
      </c>
      <c r="T28" s="3">
        <v>114.3</v>
      </c>
      <c r="U28" s="3">
        <v>109</v>
      </c>
      <c r="V28" s="3">
        <v>92.7</v>
      </c>
      <c r="W28" s="3">
        <v>122.5</v>
      </c>
      <c r="X28" s="3">
        <v>115</v>
      </c>
      <c r="Y28" s="3">
        <v>102.5</v>
      </c>
      <c r="Z28" s="3">
        <v>102</v>
      </c>
      <c r="AA28" s="3">
        <v>99.1</v>
      </c>
      <c r="AB28" s="3">
        <v>106.6</v>
      </c>
      <c r="AC28" s="3">
        <v>112.6</v>
      </c>
      <c r="AD28" s="3">
        <v>111.1</v>
      </c>
      <c r="AE28" s="3">
        <v>115.7</v>
      </c>
      <c r="AF28" s="3">
        <v>104.9</v>
      </c>
      <c r="AG28" s="3">
        <v>105.9</v>
      </c>
      <c r="AH28" s="3">
        <v>102.1</v>
      </c>
      <c r="AI28" s="3">
        <v>108</v>
      </c>
      <c r="AJ28" s="3">
        <v>115.1</v>
      </c>
      <c r="AK28" s="3">
        <v>113.3</v>
      </c>
      <c r="AL28" s="3">
        <v>113</v>
      </c>
      <c r="AM28" s="3">
        <v>112.8</v>
      </c>
      <c r="AN28" s="3">
        <v>113</v>
      </c>
      <c r="AO28" s="3">
        <v>110.5</v>
      </c>
      <c r="AP28" s="3">
        <v>108.3</v>
      </c>
      <c r="AQ28" s="3">
        <v>110.8</v>
      </c>
      <c r="AR28" s="3">
        <v>106.5</v>
      </c>
      <c r="AS28" s="3">
        <v>106</v>
      </c>
      <c r="AT28" s="3">
        <v>104.2</v>
      </c>
      <c r="AU28" s="3">
        <v>114.6</v>
      </c>
      <c r="AV28" s="3">
        <v>154.19999999999999</v>
      </c>
      <c r="AX28" s="3">
        <v>116.8</v>
      </c>
      <c r="AY28" s="3">
        <v>116.2</v>
      </c>
      <c r="AZ28" s="3">
        <v>111.2</v>
      </c>
      <c r="BA28" s="3">
        <v>110.4</v>
      </c>
      <c r="BB28" s="3">
        <v>160.30000000000001</v>
      </c>
      <c r="BC28" s="3">
        <v>103.4</v>
      </c>
      <c r="BD28" s="3">
        <v>108.6</v>
      </c>
      <c r="BE28" s="3">
        <v>101.2</v>
      </c>
      <c r="BF28" s="3">
        <v>91.5</v>
      </c>
      <c r="BG28" s="3">
        <v>109.5</v>
      </c>
      <c r="BH28" s="3">
        <v>110.7</v>
      </c>
      <c r="BI28" s="3">
        <v>104.7</v>
      </c>
      <c r="BJ28" s="3">
        <v>109.6</v>
      </c>
      <c r="BK28" s="3">
        <v>113.9</v>
      </c>
      <c r="BL28" s="3">
        <v>103.7</v>
      </c>
      <c r="BM28" s="3">
        <v>106.5</v>
      </c>
      <c r="BN28" s="3">
        <v>101.2</v>
      </c>
      <c r="BO28" s="3">
        <v>114.6</v>
      </c>
      <c r="BP28" s="3">
        <v>119.4</v>
      </c>
      <c r="BQ28" s="3">
        <v>108.5</v>
      </c>
      <c r="BR28" s="3">
        <v>104.4</v>
      </c>
      <c r="BS28" s="3">
        <v>109.1</v>
      </c>
      <c r="BT28" s="3">
        <v>110.6</v>
      </c>
      <c r="BU28" s="3">
        <v>108.8</v>
      </c>
      <c r="BV28" s="3">
        <v>103.3</v>
      </c>
      <c r="BW28" s="3">
        <v>112.2</v>
      </c>
      <c r="BX28" s="3">
        <v>117.8</v>
      </c>
      <c r="BY28" s="3">
        <v>114.2</v>
      </c>
      <c r="BZ28" s="3">
        <v>113.8</v>
      </c>
      <c r="CA28" s="3">
        <v>102.6</v>
      </c>
      <c r="CB28" s="3">
        <v>121.9</v>
      </c>
      <c r="CC28" s="3">
        <v>117.4</v>
      </c>
      <c r="CD28" s="3">
        <v>116</v>
      </c>
      <c r="CE28" s="3">
        <v>107.7</v>
      </c>
      <c r="CF28" s="3">
        <v>90.8</v>
      </c>
      <c r="CG28" s="3">
        <v>97.9</v>
      </c>
      <c r="CH28" s="3">
        <v>107.6</v>
      </c>
      <c r="CI28" s="3">
        <v>116.4</v>
      </c>
      <c r="CJ28" s="3">
        <v>113.8</v>
      </c>
      <c r="CK28" s="3">
        <v>103.7</v>
      </c>
      <c r="CL28" s="3">
        <v>118.4</v>
      </c>
    </row>
    <row r="29" spans="1:90" x14ac:dyDescent="0.25">
      <c r="A29" s="4">
        <v>32599</v>
      </c>
      <c r="B29" s="3">
        <v>113.9</v>
      </c>
      <c r="C29" s="3">
        <v>115.6</v>
      </c>
      <c r="D29" s="3">
        <v>110.8</v>
      </c>
      <c r="E29" s="3">
        <v>119.1</v>
      </c>
      <c r="F29" s="3">
        <v>108.3</v>
      </c>
      <c r="G29" s="3">
        <v>110.2</v>
      </c>
      <c r="H29" s="3">
        <v>108</v>
      </c>
      <c r="I29" s="3">
        <v>105.8</v>
      </c>
      <c r="J29" s="3">
        <v>101.8</v>
      </c>
      <c r="K29" s="3">
        <v>102.3</v>
      </c>
      <c r="L29" s="3">
        <v>106.4</v>
      </c>
      <c r="M29" s="3">
        <v>108.1</v>
      </c>
      <c r="N29" s="3">
        <v>105.6</v>
      </c>
      <c r="O29" s="3">
        <v>114.9</v>
      </c>
      <c r="P29" s="3">
        <v>107</v>
      </c>
      <c r="Q29" s="3">
        <v>111.3</v>
      </c>
      <c r="R29" s="3">
        <v>101</v>
      </c>
      <c r="S29" s="3">
        <v>112.6</v>
      </c>
      <c r="T29" s="3">
        <v>114.6</v>
      </c>
      <c r="U29" s="3">
        <v>109</v>
      </c>
      <c r="V29" s="3">
        <v>95.5</v>
      </c>
      <c r="W29" s="3">
        <v>122.6</v>
      </c>
      <c r="X29" s="3">
        <v>116.1</v>
      </c>
      <c r="Y29" s="3">
        <v>103.4</v>
      </c>
      <c r="Z29" s="3">
        <v>105.3</v>
      </c>
      <c r="AA29" s="3">
        <v>104.9</v>
      </c>
      <c r="AB29" s="3">
        <v>107</v>
      </c>
      <c r="AC29" s="3">
        <v>114.2</v>
      </c>
      <c r="AD29" s="3">
        <v>113.3</v>
      </c>
      <c r="AE29" s="3">
        <v>116.2</v>
      </c>
      <c r="AF29" s="3">
        <v>106.5</v>
      </c>
      <c r="AG29" s="3">
        <v>107.5</v>
      </c>
      <c r="AH29" s="3">
        <v>103.8</v>
      </c>
      <c r="AI29" s="3">
        <v>109.3</v>
      </c>
      <c r="AJ29" s="3">
        <v>115.9</v>
      </c>
      <c r="AK29" s="3">
        <v>114.2</v>
      </c>
      <c r="AL29" s="3">
        <v>113.9</v>
      </c>
      <c r="AM29" s="3">
        <v>113.1</v>
      </c>
      <c r="AN29" s="3">
        <v>113.3</v>
      </c>
      <c r="AO29" s="3">
        <v>111.3</v>
      </c>
      <c r="AP29" s="3">
        <v>109.1</v>
      </c>
      <c r="AQ29" s="3">
        <v>111.4</v>
      </c>
      <c r="AR29" s="3">
        <v>107.4</v>
      </c>
      <c r="AS29" s="3">
        <v>106.1</v>
      </c>
      <c r="AT29" s="3">
        <v>104</v>
      </c>
      <c r="AU29" s="3">
        <v>122.5</v>
      </c>
      <c r="AV29" s="3">
        <v>156.69999999999999</v>
      </c>
      <c r="AX29" s="3">
        <v>128</v>
      </c>
      <c r="AY29" s="3">
        <v>133.6</v>
      </c>
      <c r="AZ29" s="3">
        <v>113.1</v>
      </c>
      <c r="BA29" s="3">
        <v>111.5</v>
      </c>
      <c r="BB29" s="3">
        <v>161.9</v>
      </c>
      <c r="BC29" s="3">
        <v>102.5</v>
      </c>
      <c r="BD29" s="3">
        <v>110</v>
      </c>
      <c r="BE29" s="3">
        <v>101.8</v>
      </c>
      <c r="BF29" s="3">
        <v>96.3</v>
      </c>
      <c r="BG29" s="3">
        <v>109.9</v>
      </c>
      <c r="BH29" s="3">
        <v>111.6</v>
      </c>
      <c r="BI29" s="3">
        <v>105</v>
      </c>
      <c r="BJ29" s="3">
        <v>110.2</v>
      </c>
      <c r="BK29" s="3">
        <v>114.8</v>
      </c>
      <c r="BL29" s="3">
        <v>104.1</v>
      </c>
      <c r="BM29" s="3">
        <v>106.5</v>
      </c>
      <c r="BN29" s="3">
        <v>101.2</v>
      </c>
      <c r="BO29" s="3">
        <v>115.3</v>
      </c>
      <c r="BP29" s="3">
        <v>121</v>
      </c>
      <c r="BQ29" s="3">
        <v>109.9</v>
      </c>
      <c r="BR29" s="3">
        <v>107.5</v>
      </c>
      <c r="BS29" s="3">
        <v>114</v>
      </c>
      <c r="BT29" s="3">
        <v>111.4</v>
      </c>
      <c r="BU29" s="3">
        <v>109.3</v>
      </c>
      <c r="BV29" s="3">
        <v>103.8</v>
      </c>
      <c r="BW29" s="3">
        <v>114.1</v>
      </c>
      <c r="BX29" s="3">
        <v>121.6</v>
      </c>
      <c r="BY29" s="3">
        <v>115.1</v>
      </c>
      <c r="BZ29" s="3">
        <v>114.4</v>
      </c>
      <c r="CA29" s="3">
        <v>108.7</v>
      </c>
      <c r="CB29" s="3">
        <v>122.9</v>
      </c>
      <c r="CC29" s="3">
        <v>117.4</v>
      </c>
      <c r="CD29" s="3">
        <v>116.2</v>
      </c>
      <c r="CE29" s="3">
        <v>107.9</v>
      </c>
      <c r="CF29" s="3">
        <v>90.7</v>
      </c>
      <c r="CG29" s="3">
        <v>98.2</v>
      </c>
      <c r="CH29" s="3">
        <v>107.8</v>
      </c>
      <c r="CI29" s="3">
        <v>117</v>
      </c>
      <c r="CJ29" s="3">
        <v>114.7</v>
      </c>
      <c r="CK29" s="3">
        <v>104.1</v>
      </c>
      <c r="CL29" s="3">
        <v>120.2</v>
      </c>
    </row>
    <row r="30" spans="1:90" x14ac:dyDescent="0.25">
      <c r="A30" s="4">
        <v>32629</v>
      </c>
      <c r="B30" s="3">
        <v>113.1</v>
      </c>
      <c r="C30" s="3">
        <v>115.6</v>
      </c>
      <c r="D30" s="3">
        <v>111.2</v>
      </c>
      <c r="E30" s="3">
        <v>120.3</v>
      </c>
      <c r="F30" s="3">
        <v>116.2</v>
      </c>
      <c r="G30" s="3">
        <v>120.6</v>
      </c>
      <c r="H30" s="3">
        <v>109.7</v>
      </c>
      <c r="I30" s="3">
        <v>106.7</v>
      </c>
      <c r="J30" s="3">
        <v>101.5</v>
      </c>
      <c r="K30" s="3">
        <v>103.8</v>
      </c>
      <c r="L30" s="3">
        <v>106.1</v>
      </c>
      <c r="M30" s="3">
        <v>107.2</v>
      </c>
      <c r="N30" s="3">
        <v>105.9</v>
      </c>
      <c r="O30" s="3">
        <v>115.6</v>
      </c>
      <c r="P30" s="3">
        <v>106.9</v>
      </c>
      <c r="Q30" s="3">
        <v>110.9</v>
      </c>
      <c r="R30" s="3">
        <v>105</v>
      </c>
      <c r="S30" s="3">
        <v>112.6</v>
      </c>
      <c r="T30" s="3">
        <v>116.3</v>
      </c>
      <c r="U30" s="3">
        <v>109.3</v>
      </c>
      <c r="V30" s="3">
        <v>96.6</v>
      </c>
      <c r="W30" s="3">
        <v>122.7</v>
      </c>
      <c r="X30" s="3">
        <v>116.1</v>
      </c>
      <c r="Y30" s="3">
        <v>104</v>
      </c>
      <c r="Z30" s="3">
        <v>110.2</v>
      </c>
      <c r="AA30" s="3">
        <v>114</v>
      </c>
      <c r="AB30" s="3">
        <v>107.3</v>
      </c>
      <c r="AC30" s="3">
        <v>110.4</v>
      </c>
      <c r="AD30" s="3">
        <v>107.3</v>
      </c>
      <c r="AE30" s="3">
        <v>116.7</v>
      </c>
      <c r="AF30" s="3">
        <v>109.9</v>
      </c>
      <c r="AG30" s="3">
        <v>111.7</v>
      </c>
      <c r="AH30" s="3">
        <v>104.4</v>
      </c>
      <c r="AI30" s="3">
        <v>109.7</v>
      </c>
      <c r="AJ30" s="3">
        <v>116.6</v>
      </c>
      <c r="AK30" s="3">
        <v>114.5</v>
      </c>
      <c r="AL30" s="3">
        <v>114.6</v>
      </c>
      <c r="AM30" s="3">
        <v>113.5</v>
      </c>
      <c r="AN30" s="3">
        <v>113.7</v>
      </c>
      <c r="AO30" s="3">
        <v>111.5</v>
      </c>
      <c r="AP30" s="3">
        <v>109.7</v>
      </c>
      <c r="AQ30" s="3">
        <v>111.9</v>
      </c>
      <c r="AR30" s="3">
        <v>108</v>
      </c>
      <c r="AS30" s="3">
        <v>106.1</v>
      </c>
      <c r="AT30" s="3">
        <v>103.8</v>
      </c>
      <c r="AU30" s="3">
        <v>122.7</v>
      </c>
      <c r="AV30" s="3">
        <v>159</v>
      </c>
      <c r="AX30" s="3">
        <v>128</v>
      </c>
      <c r="AY30" s="3">
        <v>131.4</v>
      </c>
      <c r="AZ30" s="3">
        <v>113.7</v>
      </c>
      <c r="BA30" s="3">
        <v>111.8</v>
      </c>
      <c r="BB30" s="3">
        <v>163.1</v>
      </c>
      <c r="BC30" s="3">
        <v>97.9</v>
      </c>
      <c r="BD30" s="3">
        <v>112.3</v>
      </c>
      <c r="BE30" s="3">
        <v>102.9</v>
      </c>
      <c r="BF30" s="3">
        <v>93.7</v>
      </c>
      <c r="BG30" s="3">
        <v>110.4</v>
      </c>
      <c r="BH30" s="3">
        <v>111.7</v>
      </c>
      <c r="BI30" s="3">
        <v>105</v>
      </c>
      <c r="BJ30" s="3">
        <v>111</v>
      </c>
      <c r="BK30" s="3">
        <v>115.8</v>
      </c>
      <c r="BL30" s="3">
        <v>104.1</v>
      </c>
      <c r="BM30" s="3">
        <v>106.5</v>
      </c>
      <c r="BN30" s="3">
        <v>101.2</v>
      </c>
      <c r="BO30" s="3">
        <v>116.1</v>
      </c>
      <c r="BP30" s="3">
        <v>120.9</v>
      </c>
      <c r="BQ30" s="3">
        <v>110.6</v>
      </c>
      <c r="BR30" s="3">
        <v>108</v>
      </c>
      <c r="BS30" s="3">
        <v>115.6</v>
      </c>
      <c r="BT30" s="3">
        <v>111.6</v>
      </c>
      <c r="BU30" s="3">
        <v>109.8</v>
      </c>
      <c r="BV30" s="3">
        <v>104.3</v>
      </c>
      <c r="BW30" s="3">
        <v>114.7</v>
      </c>
      <c r="BX30" s="3">
        <v>122</v>
      </c>
      <c r="BY30" s="3">
        <v>115.3</v>
      </c>
      <c r="BZ30" s="3">
        <v>115.1</v>
      </c>
      <c r="CA30" s="3">
        <v>111.2</v>
      </c>
      <c r="CB30" s="3">
        <v>122.9</v>
      </c>
      <c r="CC30" s="3">
        <v>117.4</v>
      </c>
      <c r="CD30" s="3">
        <v>119.6</v>
      </c>
      <c r="CE30" s="3">
        <v>108.4</v>
      </c>
      <c r="CF30" s="3">
        <v>90.5</v>
      </c>
      <c r="CG30" s="3">
        <v>98.2</v>
      </c>
      <c r="CH30" s="3">
        <v>107.9</v>
      </c>
      <c r="CI30" s="3">
        <v>120.7</v>
      </c>
      <c r="CJ30" s="3">
        <v>114.9</v>
      </c>
      <c r="CK30" s="3">
        <v>104.2</v>
      </c>
      <c r="CL30" s="3">
        <v>121.3</v>
      </c>
    </row>
    <row r="31" spans="1:90" x14ac:dyDescent="0.25">
      <c r="A31" s="4">
        <v>32660</v>
      </c>
      <c r="B31" s="3">
        <v>114.4</v>
      </c>
      <c r="C31" s="3">
        <v>115.8</v>
      </c>
      <c r="D31" s="3">
        <v>111.3</v>
      </c>
      <c r="E31" s="3">
        <v>121</v>
      </c>
      <c r="F31" s="3">
        <v>113.9</v>
      </c>
      <c r="G31" s="3">
        <v>117</v>
      </c>
      <c r="H31" s="3">
        <v>109.6</v>
      </c>
      <c r="I31" s="3">
        <v>108.8</v>
      </c>
      <c r="J31" s="3">
        <v>103.4</v>
      </c>
      <c r="K31" s="3">
        <v>104.2</v>
      </c>
      <c r="L31" s="3">
        <v>106.5</v>
      </c>
      <c r="M31" s="3">
        <v>108.1</v>
      </c>
      <c r="N31" s="3">
        <v>105.8</v>
      </c>
      <c r="O31" s="3">
        <v>116.5</v>
      </c>
      <c r="P31" s="3">
        <v>107.6</v>
      </c>
      <c r="Q31" s="3">
        <v>111.5</v>
      </c>
      <c r="R31" s="3">
        <v>107.3</v>
      </c>
      <c r="S31" s="3">
        <v>112.6</v>
      </c>
      <c r="T31" s="3">
        <v>116.6</v>
      </c>
      <c r="U31" s="3">
        <v>109.3</v>
      </c>
      <c r="V31" s="3">
        <v>97</v>
      </c>
      <c r="W31" s="3">
        <v>122.8</v>
      </c>
      <c r="X31" s="3">
        <v>116.3</v>
      </c>
      <c r="Y31" s="3">
        <v>104.4</v>
      </c>
      <c r="Z31" s="3">
        <v>111.3</v>
      </c>
      <c r="AA31" s="3">
        <v>115.8</v>
      </c>
      <c r="AB31" s="3">
        <v>107.5</v>
      </c>
      <c r="AC31" s="3">
        <v>107.5</v>
      </c>
      <c r="AD31" s="3">
        <v>102.5</v>
      </c>
      <c r="AE31" s="3">
        <v>117.4</v>
      </c>
      <c r="AF31" s="3">
        <v>111.5</v>
      </c>
      <c r="AG31" s="3">
        <v>113.7</v>
      </c>
      <c r="AH31" s="3">
        <v>104.8</v>
      </c>
      <c r="AI31" s="3">
        <v>110.9</v>
      </c>
      <c r="AJ31" s="3">
        <v>117.2</v>
      </c>
      <c r="AK31" s="3">
        <v>115</v>
      </c>
      <c r="AL31" s="3">
        <v>115.1</v>
      </c>
      <c r="AM31" s="3">
        <v>113.8</v>
      </c>
      <c r="AN31" s="3">
        <v>114</v>
      </c>
      <c r="AO31" s="3">
        <v>111.5</v>
      </c>
      <c r="AP31" s="3">
        <v>110</v>
      </c>
      <c r="AQ31" s="3">
        <v>112.3</v>
      </c>
      <c r="AR31" s="3">
        <v>108.3</v>
      </c>
      <c r="AS31" s="3">
        <v>106.2</v>
      </c>
      <c r="AT31" s="3">
        <v>103.8</v>
      </c>
      <c r="AU31" s="3">
        <v>123.2</v>
      </c>
      <c r="AV31" s="3">
        <v>161.1</v>
      </c>
      <c r="AX31" s="3">
        <v>128</v>
      </c>
      <c r="AY31" s="3">
        <v>131.4</v>
      </c>
      <c r="AZ31" s="3">
        <v>114</v>
      </c>
      <c r="BA31" s="3">
        <v>112.5</v>
      </c>
      <c r="BB31" s="3">
        <v>163.4</v>
      </c>
      <c r="BC31" s="3">
        <v>96.8</v>
      </c>
      <c r="BD31" s="3">
        <v>114.4</v>
      </c>
      <c r="BE31" s="3">
        <v>103.9</v>
      </c>
      <c r="BF31" s="3">
        <v>90.1</v>
      </c>
      <c r="BG31" s="3">
        <v>110.5</v>
      </c>
      <c r="BH31" s="3">
        <v>112</v>
      </c>
      <c r="BI31" s="3">
        <v>104.6</v>
      </c>
      <c r="BJ31" s="3">
        <v>111.8</v>
      </c>
      <c r="BK31" s="3">
        <v>116.1</v>
      </c>
      <c r="BL31" s="3">
        <v>104.3</v>
      </c>
      <c r="BM31" s="3">
        <v>106.5</v>
      </c>
      <c r="BN31" s="3">
        <v>101.2</v>
      </c>
      <c r="BO31" s="3">
        <v>116.9</v>
      </c>
      <c r="BP31" s="3">
        <v>120.4</v>
      </c>
      <c r="BQ31" s="3">
        <v>110.1</v>
      </c>
      <c r="BR31" s="3">
        <v>108.3</v>
      </c>
      <c r="BS31" s="3">
        <v>116.1</v>
      </c>
      <c r="BT31" s="3">
        <v>111.7</v>
      </c>
      <c r="BU31" s="3">
        <v>110.2</v>
      </c>
      <c r="BV31" s="3">
        <v>104.5</v>
      </c>
      <c r="BW31" s="3">
        <v>115</v>
      </c>
      <c r="BX31" s="3">
        <v>122.5</v>
      </c>
      <c r="BY31" s="3">
        <v>115.9</v>
      </c>
      <c r="BZ31" s="3">
        <v>115.4</v>
      </c>
      <c r="CA31" s="3">
        <v>111.5</v>
      </c>
      <c r="CB31" s="3">
        <v>122.9</v>
      </c>
      <c r="CC31" s="3">
        <v>117.4</v>
      </c>
      <c r="CD31" s="3">
        <v>120.3</v>
      </c>
      <c r="CE31" s="3">
        <v>110.1</v>
      </c>
      <c r="CF31" s="3">
        <v>90.4</v>
      </c>
      <c r="CG31" s="3">
        <v>98.3</v>
      </c>
      <c r="CH31" s="3">
        <v>108.2</v>
      </c>
      <c r="CI31" s="3">
        <v>121.1</v>
      </c>
      <c r="CJ31" s="3">
        <v>115.3</v>
      </c>
      <c r="CK31" s="3">
        <v>104.2</v>
      </c>
      <c r="CL31" s="3">
        <v>121.6</v>
      </c>
    </row>
    <row r="32" spans="1:90" x14ac:dyDescent="0.25">
      <c r="A32" s="4">
        <v>32690</v>
      </c>
      <c r="B32" s="3">
        <v>115</v>
      </c>
      <c r="C32" s="3">
        <v>116.2</v>
      </c>
      <c r="D32" s="3">
        <v>111.2</v>
      </c>
      <c r="E32" s="3">
        <v>121.7</v>
      </c>
      <c r="F32" s="3">
        <v>106.5</v>
      </c>
      <c r="G32" s="3">
        <v>105.7</v>
      </c>
      <c r="H32" s="3">
        <v>113.9</v>
      </c>
      <c r="I32" s="3">
        <v>112.8</v>
      </c>
      <c r="J32" s="3">
        <v>104.6</v>
      </c>
      <c r="K32" s="3">
        <v>106.4</v>
      </c>
      <c r="L32" s="3">
        <v>106.8</v>
      </c>
      <c r="M32" s="3">
        <v>108.3</v>
      </c>
      <c r="N32" s="3">
        <v>106.3</v>
      </c>
      <c r="O32" s="3">
        <v>120.6</v>
      </c>
      <c r="P32" s="3">
        <v>108.3</v>
      </c>
      <c r="Q32" s="3">
        <v>112.2</v>
      </c>
      <c r="R32" s="3">
        <v>106.3</v>
      </c>
      <c r="S32" s="3">
        <v>112.7</v>
      </c>
      <c r="T32" s="3">
        <v>115.2</v>
      </c>
      <c r="U32" s="3">
        <v>109.5</v>
      </c>
      <c r="V32" s="3">
        <v>98</v>
      </c>
      <c r="W32" s="3">
        <v>122.9</v>
      </c>
      <c r="X32" s="3">
        <v>117.6</v>
      </c>
      <c r="Y32" s="3">
        <v>105.2</v>
      </c>
      <c r="Z32" s="3">
        <v>100.5</v>
      </c>
      <c r="AA32" s="3">
        <v>93.6</v>
      </c>
      <c r="AB32" s="3">
        <v>109.4</v>
      </c>
      <c r="AC32" s="3">
        <v>100.6</v>
      </c>
      <c r="AD32" s="3">
        <v>91.4</v>
      </c>
      <c r="AE32" s="3">
        <v>118.3</v>
      </c>
      <c r="AF32" s="3">
        <v>109</v>
      </c>
      <c r="AG32" s="3">
        <v>110.1</v>
      </c>
      <c r="AH32" s="3">
        <v>105.9</v>
      </c>
      <c r="AI32" s="3">
        <v>111.5</v>
      </c>
      <c r="AJ32" s="3">
        <v>117.8</v>
      </c>
      <c r="AK32" s="3">
        <v>115.8</v>
      </c>
      <c r="AL32" s="3">
        <v>115.8</v>
      </c>
      <c r="AM32" s="3">
        <v>114.6</v>
      </c>
      <c r="AN32" s="3">
        <v>114.9</v>
      </c>
      <c r="AO32" s="3">
        <v>111.8</v>
      </c>
      <c r="AP32" s="3">
        <v>110.4</v>
      </c>
      <c r="AQ32" s="3">
        <v>112.9</v>
      </c>
      <c r="AR32" s="3">
        <v>108.6</v>
      </c>
      <c r="AS32" s="3">
        <v>106.1</v>
      </c>
      <c r="AT32" s="3">
        <v>103.8</v>
      </c>
      <c r="AU32" s="3">
        <v>123.3</v>
      </c>
      <c r="AV32" s="3">
        <v>163.4</v>
      </c>
      <c r="AX32" s="3">
        <v>128</v>
      </c>
      <c r="AY32" s="3">
        <v>131.4</v>
      </c>
      <c r="AZ32" s="3">
        <v>114.7</v>
      </c>
      <c r="BA32" s="3">
        <v>113.4</v>
      </c>
      <c r="BB32" s="3">
        <v>169</v>
      </c>
      <c r="BC32" s="3">
        <v>96.4</v>
      </c>
      <c r="BD32" s="3">
        <v>115.7</v>
      </c>
      <c r="BE32" s="3">
        <v>104.6</v>
      </c>
      <c r="BF32" s="3">
        <v>90.9</v>
      </c>
      <c r="BG32" s="3">
        <v>110</v>
      </c>
      <c r="BH32" s="3">
        <v>110.9</v>
      </c>
      <c r="BI32" s="3">
        <v>104.3</v>
      </c>
      <c r="BJ32" s="3">
        <v>112.3</v>
      </c>
      <c r="BK32" s="3">
        <v>116.7</v>
      </c>
      <c r="BL32" s="3">
        <v>105.1</v>
      </c>
      <c r="BM32" s="3">
        <v>106.5</v>
      </c>
      <c r="BN32" s="3">
        <v>101.2</v>
      </c>
      <c r="BO32" s="3">
        <v>118</v>
      </c>
      <c r="BP32" s="3">
        <v>121.2</v>
      </c>
      <c r="BQ32" s="3">
        <v>109.2</v>
      </c>
      <c r="BR32" s="3">
        <v>104.6</v>
      </c>
      <c r="BS32" s="3">
        <v>112.7</v>
      </c>
      <c r="BT32" s="3">
        <v>110.8</v>
      </c>
      <c r="BU32" s="3">
        <v>109.8</v>
      </c>
      <c r="BV32" s="3">
        <v>104.4</v>
      </c>
      <c r="BW32" s="3">
        <v>115.8</v>
      </c>
      <c r="BX32" s="3">
        <v>124.8</v>
      </c>
      <c r="BY32" s="3">
        <v>116.1</v>
      </c>
      <c r="BZ32" s="3">
        <v>117</v>
      </c>
      <c r="CA32" s="3">
        <v>110</v>
      </c>
      <c r="CB32" s="3">
        <v>122.9</v>
      </c>
      <c r="CC32" s="3">
        <v>117.4</v>
      </c>
      <c r="CD32" s="3">
        <v>120.6</v>
      </c>
      <c r="CE32" s="3">
        <v>110.7</v>
      </c>
      <c r="CF32" s="3">
        <v>90.3</v>
      </c>
      <c r="CG32" s="3">
        <v>98.3</v>
      </c>
      <c r="CH32" s="3">
        <v>108.5</v>
      </c>
      <c r="CI32" s="3">
        <v>121.6</v>
      </c>
      <c r="CJ32" s="3">
        <v>115.8</v>
      </c>
      <c r="CK32" s="3">
        <v>105.4</v>
      </c>
      <c r="CL32" s="3">
        <v>122.1</v>
      </c>
    </row>
    <row r="33" spans="1:90" x14ac:dyDescent="0.25">
      <c r="A33" s="4">
        <v>32721</v>
      </c>
      <c r="B33" s="3">
        <v>113.8</v>
      </c>
      <c r="C33" s="3">
        <v>115.6</v>
      </c>
      <c r="D33" s="3">
        <v>112.2</v>
      </c>
      <c r="E33" s="3">
        <v>121.8</v>
      </c>
      <c r="F33" s="3">
        <v>101.7</v>
      </c>
      <c r="G33" s="3">
        <v>97.9</v>
      </c>
      <c r="H33" s="3">
        <v>113.1</v>
      </c>
      <c r="I33" s="3">
        <v>115.4</v>
      </c>
      <c r="J33" s="3">
        <v>105.1</v>
      </c>
      <c r="K33" s="3">
        <v>107.4</v>
      </c>
      <c r="L33" s="3">
        <v>106.6</v>
      </c>
      <c r="M33" s="3">
        <v>108.7</v>
      </c>
      <c r="N33" s="3">
        <v>105.7</v>
      </c>
      <c r="O33" s="3">
        <v>121.5</v>
      </c>
      <c r="P33" s="3">
        <v>108.6</v>
      </c>
      <c r="Q33" s="3">
        <v>113</v>
      </c>
      <c r="R33" s="3">
        <v>107.1</v>
      </c>
      <c r="S33" s="3">
        <v>112</v>
      </c>
      <c r="T33" s="3">
        <v>117.4</v>
      </c>
      <c r="U33" s="3">
        <v>112.4</v>
      </c>
      <c r="V33" s="3">
        <v>98</v>
      </c>
      <c r="W33" s="3">
        <v>123.5</v>
      </c>
      <c r="X33" s="3">
        <v>118</v>
      </c>
      <c r="Y33" s="3">
        <v>105.6</v>
      </c>
      <c r="Z33" s="3">
        <v>111.6</v>
      </c>
      <c r="AA33" s="3">
        <v>113</v>
      </c>
      <c r="AB33" s="3">
        <v>111.3</v>
      </c>
      <c r="AC33" s="3">
        <v>100.7</v>
      </c>
      <c r="AD33" s="3">
        <v>91.1</v>
      </c>
      <c r="AE33" s="3">
        <v>119.2</v>
      </c>
      <c r="AF33" s="3">
        <v>104</v>
      </c>
      <c r="AG33" s="3">
        <v>103.4</v>
      </c>
      <c r="AH33" s="3">
        <v>106.6</v>
      </c>
      <c r="AI33" s="3">
        <v>112.5</v>
      </c>
      <c r="AJ33" s="3">
        <v>118.3</v>
      </c>
      <c r="AK33" s="3">
        <v>116.2</v>
      </c>
      <c r="AL33" s="3">
        <v>116.5</v>
      </c>
      <c r="AM33" s="3">
        <v>116.1</v>
      </c>
      <c r="AN33" s="3">
        <v>116.6</v>
      </c>
      <c r="AO33" s="3">
        <v>112</v>
      </c>
      <c r="AP33" s="3">
        <v>110.9</v>
      </c>
      <c r="AQ33" s="3">
        <v>113.7</v>
      </c>
      <c r="AR33" s="3">
        <v>108.8</v>
      </c>
      <c r="AS33" s="3">
        <v>106</v>
      </c>
      <c r="AT33" s="3">
        <v>103.9</v>
      </c>
      <c r="AU33" s="3">
        <v>123.4</v>
      </c>
      <c r="AV33" s="3">
        <v>165.9</v>
      </c>
      <c r="AX33" s="3">
        <v>128</v>
      </c>
      <c r="AY33" s="3">
        <v>130.1</v>
      </c>
      <c r="AZ33" s="3">
        <v>115.1</v>
      </c>
      <c r="BA33" s="3">
        <v>113.8</v>
      </c>
      <c r="BB33" s="3">
        <v>169.8</v>
      </c>
      <c r="BC33" s="3">
        <v>101</v>
      </c>
      <c r="BD33" s="3">
        <v>115.7</v>
      </c>
      <c r="BE33" s="3">
        <v>104.6</v>
      </c>
      <c r="BF33" s="3">
        <v>90</v>
      </c>
      <c r="BG33" s="3">
        <v>110.7</v>
      </c>
      <c r="BH33" s="3">
        <v>112</v>
      </c>
      <c r="BI33" s="3">
        <v>104.6</v>
      </c>
      <c r="BJ33" s="3">
        <v>112.5</v>
      </c>
      <c r="BK33" s="3">
        <v>117</v>
      </c>
      <c r="BL33" s="3">
        <v>105.4</v>
      </c>
      <c r="BM33" s="3">
        <v>106.5</v>
      </c>
      <c r="BN33" s="3">
        <v>101.2</v>
      </c>
      <c r="BO33" s="3">
        <v>118.1</v>
      </c>
      <c r="BP33" s="3">
        <v>121</v>
      </c>
      <c r="BQ33" s="3">
        <v>109.5</v>
      </c>
      <c r="BR33" s="3">
        <v>104.3</v>
      </c>
      <c r="BS33" s="3">
        <v>112.6</v>
      </c>
      <c r="BT33" s="3">
        <v>111.4</v>
      </c>
      <c r="BU33" s="3">
        <v>110.1</v>
      </c>
      <c r="BV33" s="3">
        <v>104.7</v>
      </c>
      <c r="BW33" s="3">
        <v>116.2</v>
      </c>
      <c r="BX33" s="3">
        <v>125.2</v>
      </c>
      <c r="BY33" s="3">
        <v>116</v>
      </c>
      <c r="BZ33" s="3">
        <v>117.5</v>
      </c>
      <c r="CA33" s="3">
        <v>106.9</v>
      </c>
      <c r="CB33" s="3">
        <v>123.5</v>
      </c>
      <c r="CC33" s="3">
        <v>117.4</v>
      </c>
      <c r="CD33" s="3">
        <v>120.8</v>
      </c>
      <c r="CE33" s="3">
        <v>111</v>
      </c>
      <c r="CF33" s="3">
        <v>90.2</v>
      </c>
      <c r="CG33" s="3">
        <v>98.5</v>
      </c>
      <c r="CH33" s="3">
        <v>108</v>
      </c>
      <c r="CI33" s="3">
        <v>121.6</v>
      </c>
      <c r="CJ33" s="3">
        <v>116</v>
      </c>
      <c r="CK33" s="3">
        <v>105.5</v>
      </c>
      <c r="CL33" s="3">
        <v>122.7</v>
      </c>
    </row>
    <row r="34" spans="1:90" x14ac:dyDescent="0.25">
      <c r="A34" s="4">
        <v>32752</v>
      </c>
      <c r="B34" s="3">
        <v>114.6</v>
      </c>
      <c r="C34" s="3">
        <v>115.9</v>
      </c>
      <c r="D34" s="3">
        <v>112.7</v>
      </c>
      <c r="E34" s="3">
        <v>122.6</v>
      </c>
      <c r="F34" s="3">
        <v>101.6</v>
      </c>
      <c r="G34" s="3">
        <v>96.6</v>
      </c>
      <c r="H34" s="3">
        <v>116.7</v>
      </c>
      <c r="I34" s="3">
        <v>118.7</v>
      </c>
      <c r="J34" s="3">
        <v>107.3</v>
      </c>
      <c r="K34" s="3">
        <v>109.7</v>
      </c>
      <c r="L34" s="3">
        <v>107.1</v>
      </c>
      <c r="M34" s="3">
        <v>108.7</v>
      </c>
      <c r="N34" s="3">
        <v>106.5</v>
      </c>
      <c r="O34" s="3">
        <v>122.5</v>
      </c>
      <c r="P34" s="3">
        <v>108.4</v>
      </c>
      <c r="Q34" s="3">
        <v>115.4</v>
      </c>
      <c r="R34" s="3">
        <v>111.4</v>
      </c>
      <c r="S34" s="3">
        <v>112.6</v>
      </c>
      <c r="T34" s="3">
        <v>119.3</v>
      </c>
      <c r="U34" s="3">
        <v>113.4</v>
      </c>
      <c r="V34" s="3">
        <v>97.8</v>
      </c>
      <c r="W34" s="3">
        <v>124</v>
      </c>
      <c r="X34" s="3">
        <v>118.8</v>
      </c>
      <c r="Y34" s="3">
        <v>105.3</v>
      </c>
      <c r="Z34" s="3">
        <v>113.3</v>
      </c>
      <c r="AA34" s="3">
        <v>115.2</v>
      </c>
      <c r="AB34" s="3">
        <v>112.6</v>
      </c>
      <c r="AC34" s="3">
        <v>102.3</v>
      </c>
      <c r="AD34" s="3">
        <v>93.7</v>
      </c>
      <c r="AE34" s="3">
        <v>118.9</v>
      </c>
      <c r="AF34" s="3">
        <v>100.2</v>
      </c>
      <c r="AG34" s="3">
        <v>98.5</v>
      </c>
      <c r="AH34" s="3">
        <v>106.4</v>
      </c>
      <c r="AI34" s="3">
        <v>112.8</v>
      </c>
      <c r="AJ34" s="3">
        <v>119.1</v>
      </c>
      <c r="AK34" s="3">
        <v>117</v>
      </c>
      <c r="AL34" s="3">
        <v>116.9</v>
      </c>
      <c r="AM34" s="3">
        <v>116.9</v>
      </c>
      <c r="AN34" s="3">
        <v>117.5</v>
      </c>
      <c r="AO34" s="3">
        <v>112.2</v>
      </c>
      <c r="AP34" s="3">
        <v>111.5</v>
      </c>
      <c r="AQ34" s="3">
        <v>114.4</v>
      </c>
      <c r="AR34" s="3">
        <v>109.3</v>
      </c>
      <c r="AS34" s="3">
        <v>106.7</v>
      </c>
      <c r="AT34" s="3">
        <v>104.6</v>
      </c>
      <c r="AU34" s="3">
        <v>123.7</v>
      </c>
      <c r="AV34" s="3">
        <v>168.2</v>
      </c>
      <c r="AX34" s="3">
        <v>128</v>
      </c>
      <c r="AY34" s="3">
        <v>130.30000000000001</v>
      </c>
      <c r="AZ34" s="3">
        <v>115.5</v>
      </c>
      <c r="BA34" s="3">
        <v>114.3</v>
      </c>
      <c r="BB34" s="3">
        <v>170.1</v>
      </c>
      <c r="BC34" s="3">
        <v>101.6</v>
      </c>
      <c r="BD34" s="3">
        <v>115.7</v>
      </c>
      <c r="BE34" s="3">
        <v>104.6</v>
      </c>
      <c r="BF34" s="3">
        <v>95.1</v>
      </c>
      <c r="BG34" s="3">
        <v>111.1</v>
      </c>
      <c r="BH34" s="3">
        <v>112.4</v>
      </c>
      <c r="BI34" s="3">
        <v>105.1</v>
      </c>
      <c r="BJ34" s="3">
        <v>113.1</v>
      </c>
      <c r="BK34" s="3">
        <v>117.2</v>
      </c>
      <c r="BL34" s="3">
        <v>105.5</v>
      </c>
      <c r="BM34" s="3">
        <v>106.5</v>
      </c>
      <c r="BN34" s="3">
        <v>103.5</v>
      </c>
      <c r="BO34" s="3">
        <v>118.6</v>
      </c>
      <c r="BP34" s="3">
        <v>120.9</v>
      </c>
      <c r="BQ34" s="3">
        <v>110.4</v>
      </c>
      <c r="BR34" s="3">
        <v>109.2</v>
      </c>
      <c r="BS34" s="3">
        <v>112.6</v>
      </c>
      <c r="BT34" s="3">
        <v>113</v>
      </c>
      <c r="BU34" s="3">
        <v>111.4</v>
      </c>
      <c r="BV34" s="3">
        <v>105</v>
      </c>
      <c r="BW34" s="3">
        <v>116.5</v>
      </c>
      <c r="BX34" s="3">
        <v>125.5</v>
      </c>
      <c r="BY34" s="3">
        <v>116.4</v>
      </c>
      <c r="BZ34" s="3">
        <v>118</v>
      </c>
      <c r="CA34" s="3">
        <v>107.6</v>
      </c>
      <c r="CB34" s="3">
        <v>123.5</v>
      </c>
      <c r="CC34" s="3">
        <v>117.4</v>
      </c>
      <c r="CD34" s="3">
        <v>120.8</v>
      </c>
      <c r="CE34" s="3">
        <v>111.5</v>
      </c>
      <c r="CF34" s="3">
        <v>90.3</v>
      </c>
      <c r="CG34" s="3">
        <v>98.6</v>
      </c>
      <c r="CH34" s="3">
        <v>108.3</v>
      </c>
      <c r="CI34" s="3">
        <v>122</v>
      </c>
      <c r="CJ34" s="3">
        <v>116.2</v>
      </c>
      <c r="CK34" s="3">
        <v>105.5</v>
      </c>
      <c r="CL34" s="3">
        <v>125.3</v>
      </c>
    </row>
    <row r="35" spans="1:90" x14ac:dyDescent="0.25">
      <c r="A35" s="4">
        <v>32782</v>
      </c>
      <c r="B35" s="3">
        <v>115.1</v>
      </c>
      <c r="C35" s="3">
        <v>115.9</v>
      </c>
      <c r="D35" s="3">
        <v>113.3</v>
      </c>
      <c r="E35" s="3">
        <v>122.3</v>
      </c>
      <c r="F35" s="3">
        <v>101</v>
      </c>
      <c r="G35" s="3">
        <v>96.1</v>
      </c>
      <c r="H35" s="3">
        <v>122.1</v>
      </c>
      <c r="I35" s="3">
        <v>122.7</v>
      </c>
      <c r="J35" s="3">
        <v>107.9</v>
      </c>
      <c r="K35" s="3">
        <v>110.9</v>
      </c>
      <c r="L35" s="3">
        <v>108.2</v>
      </c>
      <c r="M35" s="3">
        <v>111.3</v>
      </c>
      <c r="N35" s="3">
        <v>106.7</v>
      </c>
      <c r="O35" s="3">
        <v>121.8</v>
      </c>
      <c r="P35" s="3">
        <v>108.6</v>
      </c>
      <c r="Q35" s="3">
        <v>117.1</v>
      </c>
      <c r="R35" s="3">
        <v>111</v>
      </c>
      <c r="S35" s="3">
        <v>119.5</v>
      </c>
      <c r="T35" s="3">
        <v>121.1</v>
      </c>
      <c r="U35" s="3">
        <v>114.3</v>
      </c>
      <c r="V35" s="3">
        <v>97.8</v>
      </c>
      <c r="W35" s="3">
        <v>124.2</v>
      </c>
      <c r="X35" s="3">
        <v>119.8</v>
      </c>
      <c r="Y35" s="3">
        <v>105.4</v>
      </c>
      <c r="Z35" s="3">
        <v>110.1</v>
      </c>
      <c r="AA35" s="3">
        <v>108.9</v>
      </c>
      <c r="AB35" s="3">
        <v>112.8</v>
      </c>
      <c r="AC35" s="3">
        <v>106.7</v>
      </c>
      <c r="AD35" s="3">
        <v>99.8</v>
      </c>
      <c r="AE35" s="3">
        <v>120</v>
      </c>
      <c r="AF35" s="3">
        <v>99.3</v>
      </c>
      <c r="AG35" s="3">
        <v>97.8</v>
      </c>
      <c r="AH35" s="3">
        <v>104.5</v>
      </c>
      <c r="AI35" s="3">
        <v>112.6</v>
      </c>
      <c r="AJ35" s="3">
        <v>120.1</v>
      </c>
      <c r="AK35" s="3">
        <v>118.1</v>
      </c>
      <c r="AL35" s="3">
        <v>117.4</v>
      </c>
      <c r="AM35" s="3">
        <v>117.9</v>
      </c>
      <c r="AN35" s="3">
        <v>118.6</v>
      </c>
      <c r="AO35" s="3">
        <v>112.5</v>
      </c>
      <c r="AP35" s="3">
        <v>112</v>
      </c>
      <c r="AQ35" s="3">
        <v>115.1</v>
      </c>
      <c r="AR35" s="3">
        <v>109.7</v>
      </c>
      <c r="AS35" s="3">
        <v>107.9</v>
      </c>
      <c r="AT35" s="3">
        <v>106.9</v>
      </c>
      <c r="AU35" s="3">
        <v>124.8</v>
      </c>
      <c r="AV35" s="3">
        <v>171.7</v>
      </c>
      <c r="AX35" s="3">
        <v>128</v>
      </c>
      <c r="AY35" s="3">
        <v>130.30000000000001</v>
      </c>
      <c r="AZ35" s="3">
        <v>116.3</v>
      </c>
      <c r="BA35" s="3">
        <v>115</v>
      </c>
      <c r="BB35" s="3">
        <v>170.8</v>
      </c>
      <c r="BC35" s="3">
        <v>102.4</v>
      </c>
      <c r="BD35" s="3">
        <v>115.7</v>
      </c>
      <c r="BE35" s="3">
        <v>104.6</v>
      </c>
      <c r="BF35" s="3">
        <v>101.9</v>
      </c>
      <c r="BG35" s="3">
        <v>111.9</v>
      </c>
      <c r="BH35" s="3">
        <v>113.3</v>
      </c>
      <c r="BI35" s="3">
        <v>105.2</v>
      </c>
      <c r="BJ35" s="3">
        <v>114.1</v>
      </c>
      <c r="BK35" s="3">
        <v>118</v>
      </c>
      <c r="BL35" s="3">
        <v>105.5</v>
      </c>
      <c r="BM35" s="3">
        <v>112.6</v>
      </c>
      <c r="BN35" s="3">
        <v>104.4</v>
      </c>
      <c r="BO35" s="3">
        <v>119.2</v>
      </c>
      <c r="BP35" s="3">
        <v>121.4</v>
      </c>
      <c r="BQ35" s="3">
        <v>111.5</v>
      </c>
      <c r="BR35" s="3">
        <v>110.1</v>
      </c>
      <c r="BS35" s="3">
        <v>114.5</v>
      </c>
      <c r="BT35" s="3">
        <v>114.9</v>
      </c>
      <c r="BU35" s="3">
        <v>113</v>
      </c>
      <c r="BV35" s="3">
        <v>105.4</v>
      </c>
      <c r="BW35" s="3">
        <v>117.4</v>
      </c>
      <c r="BX35" s="3">
        <v>126.3</v>
      </c>
      <c r="BY35" s="3">
        <v>116.3</v>
      </c>
      <c r="BZ35" s="3">
        <v>118.3</v>
      </c>
      <c r="CA35" s="3">
        <v>108.3</v>
      </c>
      <c r="CB35" s="3">
        <v>124.5</v>
      </c>
      <c r="CC35" s="3">
        <v>117.4</v>
      </c>
      <c r="CD35" s="3">
        <v>121.4</v>
      </c>
      <c r="CE35" s="3">
        <v>111.9</v>
      </c>
      <c r="CF35" s="3">
        <v>90.3</v>
      </c>
      <c r="CG35" s="3">
        <v>98.7</v>
      </c>
      <c r="CH35" s="3">
        <v>109.4</v>
      </c>
      <c r="CI35" s="3">
        <v>124.1</v>
      </c>
      <c r="CJ35" s="3">
        <v>116.9</v>
      </c>
      <c r="CK35" s="3">
        <v>105.3</v>
      </c>
      <c r="CL35" s="3">
        <v>125.7</v>
      </c>
    </row>
    <row r="36" spans="1:90" x14ac:dyDescent="0.25">
      <c r="A36" s="4">
        <v>32813</v>
      </c>
      <c r="B36" s="3">
        <v>115</v>
      </c>
      <c r="C36" s="3">
        <v>117.1</v>
      </c>
      <c r="D36" s="3">
        <v>114</v>
      </c>
      <c r="E36" s="3">
        <v>122</v>
      </c>
      <c r="F36" s="3">
        <v>105.4</v>
      </c>
      <c r="G36" s="3">
        <v>102.3</v>
      </c>
      <c r="H36" s="3">
        <v>124.2</v>
      </c>
      <c r="I36" s="3">
        <v>124.4</v>
      </c>
      <c r="J36" s="3">
        <v>108.3</v>
      </c>
      <c r="K36" s="3">
        <v>112</v>
      </c>
      <c r="L36" s="3">
        <v>107.9</v>
      </c>
      <c r="M36" s="3">
        <v>112.2</v>
      </c>
      <c r="N36" s="3">
        <v>105.5</v>
      </c>
      <c r="O36" s="3">
        <v>123.9</v>
      </c>
      <c r="P36" s="3">
        <v>109.9</v>
      </c>
      <c r="Q36" s="3">
        <v>117.9</v>
      </c>
      <c r="R36" s="3">
        <v>116.2</v>
      </c>
      <c r="S36" s="3">
        <v>119.7</v>
      </c>
      <c r="T36" s="3">
        <v>121.2</v>
      </c>
      <c r="U36" s="3">
        <v>115</v>
      </c>
      <c r="V36" s="3">
        <v>97.9</v>
      </c>
      <c r="W36" s="3">
        <v>123.8</v>
      </c>
      <c r="X36" s="3">
        <v>120.9</v>
      </c>
      <c r="Y36" s="3">
        <v>105.6</v>
      </c>
      <c r="Z36" s="3">
        <v>113.3</v>
      </c>
      <c r="AA36" s="3">
        <v>114</v>
      </c>
      <c r="AB36" s="3">
        <v>114</v>
      </c>
      <c r="AC36" s="3">
        <v>111</v>
      </c>
      <c r="AD36" s="3">
        <v>106.3</v>
      </c>
      <c r="AE36" s="3">
        <v>120.3</v>
      </c>
      <c r="AF36" s="3">
        <v>101.5</v>
      </c>
      <c r="AG36" s="3">
        <v>100.9</v>
      </c>
      <c r="AH36" s="3">
        <v>104</v>
      </c>
      <c r="AI36" s="3">
        <v>113</v>
      </c>
      <c r="AJ36" s="3">
        <v>120.8</v>
      </c>
      <c r="AK36" s="3">
        <v>118.3</v>
      </c>
      <c r="AL36" s="3">
        <v>118.1</v>
      </c>
      <c r="AM36" s="3">
        <v>118</v>
      </c>
      <c r="AN36" s="3">
        <v>118.8</v>
      </c>
      <c r="AO36" s="3">
        <v>111.5</v>
      </c>
      <c r="AP36" s="3">
        <v>111.7</v>
      </c>
      <c r="AQ36" s="3">
        <v>115.4</v>
      </c>
      <c r="AR36" s="3">
        <v>109</v>
      </c>
      <c r="AS36" s="3">
        <v>108.3</v>
      </c>
      <c r="AT36" s="3">
        <v>107.2</v>
      </c>
      <c r="AU36" s="3">
        <v>124.9</v>
      </c>
      <c r="AV36" s="3">
        <v>185.7</v>
      </c>
      <c r="AX36" s="3">
        <v>128</v>
      </c>
      <c r="AY36" s="3">
        <v>130.30000000000001</v>
      </c>
      <c r="AZ36" s="3">
        <v>116.7</v>
      </c>
      <c r="BA36" s="3">
        <v>115.4</v>
      </c>
      <c r="BB36" s="3">
        <v>172.5</v>
      </c>
      <c r="BC36" s="3">
        <v>104.2</v>
      </c>
      <c r="BD36" s="3">
        <v>115.7</v>
      </c>
      <c r="BE36" s="3">
        <v>104.6</v>
      </c>
      <c r="BF36" s="3">
        <v>108</v>
      </c>
      <c r="BG36" s="3">
        <v>112.2</v>
      </c>
      <c r="BH36" s="3">
        <v>113.7</v>
      </c>
      <c r="BI36" s="3">
        <v>105.6</v>
      </c>
      <c r="BJ36" s="3">
        <v>114.2</v>
      </c>
      <c r="BK36" s="3">
        <v>118.8</v>
      </c>
      <c r="BL36" s="3">
        <v>105.1</v>
      </c>
      <c r="BM36" s="3">
        <v>112.6</v>
      </c>
      <c r="BN36" s="3">
        <v>105.4</v>
      </c>
      <c r="BO36" s="3">
        <v>120</v>
      </c>
      <c r="BP36" s="3">
        <v>122.5</v>
      </c>
      <c r="BQ36" s="3">
        <v>113</v>
      </c>
      <c r="BR36" s="3">
        <v>110.6</v>
      </c>
      <c r="BS36" s="3">
        <v>114.9</v>
      </c>
      <c r="BT36" s="3">
        <v>115.4</v>
      </c>
      <c r="BU36" s="3">
        <v>113.2</v>
      </c>
      <c r="BV36" s="3">
        <v>105.7</v>
      </c>
      <c r="BW36" s="3">
        <v>117.9</v>
      </c>
      <c r="BX36" s="3">
        <v>126.7</v>
      </c>
      <c r="BY36" s="3">
        <v>115.6</v>
      </c>
      <c r="BZ36" s="3">
        <v>118.3</v>
      </c>
      <c r="CA36" s="3">
        <v>107.9</v>
      </c>
      <c r="CB36" s="3">
        <v>124.5</v>
      </c>
      <c r="CC36" s="3">
        <v>117.4</v>
      </c>
      <c r="CD36" s="3">
        <v>122.4</v>
      </c>
      <c r="CE36" s="3">
        <v>112</v>
      </c>
      <c r="CF36" s="3">
        <v>90.8</v>
      </c>
      <c r="CG36" s="3">
        <v>98.7</v>
      </c>
      <c r="CH36" s="3">
        <v>110.6</v>
      </c>
      <c r="CI36" s="3">
        <v>125.9</v>
      </c>
      <c r="CJ36" s="3">
        <v>118.5</v>
      </c>
      <c r="CK36" s="3">
        <v>105.4</v>
      </c>
      <c r="CL36" s="3">
        <v>127.3</v>
      </c>
    </row>
    <row r="37" spans="1:90" x14ac:dyDescent="0.25">
      <c r="A37" s="4">
        <v>32843</v>
      </c>
      <c r="B37" s="3">
        <v>117.6</v>
      </c>
      <c r="C37" s="3">
        <v>117.4</v>
      </c>
      <c r="D37" s="3">
        <v>114.4</v>
      </c>
      <c r="E37" s="3">
        <v>123.1</v>
      </c>
      <c r="F37" s="3">
        <v>109</v>
      </c>
      <c r="G37" s="3">
        <v>106.5</v>
      </c>
      <c r="H37" s="3">
        <v>121.3</v>
      </c>
      <c r="I37" s="3">
        <v>123.3</v>
      </c>
      <c r="J37" s="3">
        <v>108.4</v>
      </c>
      <c r="K37" s="3">
        <v>113</v>
      </c>
      <c r="L37" s="3">
        <v>107.1</v>
      </c>
      <c r="M37" s="3">
        <v>111.1</v>
      </c>
      <c r="N37" s="3">
        <v>104.9</v>
      </c>
      <c r="O37" s="3">
        <v>125.3</v>
      </c>
      <c r="P37" s="3">
        <v>110.7</v>
      </c>
      <c r="Q37" s="3">
        <v>117.7</v>
      </c>
      <c r="R37" s="3">
        <v>115</v>
      </c>
      <c r="S37" s="3">
        <v>119.8</v>
      </c>
      <c r="T37" s="3">
        <v>121.7</v>
      </c>
      <c r="U37" s="3">
        <v>118.8</v>
      </c>
      <c r="V37" s="3">
        <v>97.8</v>
      </c>
      <c r="W37" s="3">
        <v>123.6</v>
      </c>
      <c r="X37" s="3">
        <v>121.3</v>
      </c>
      <c r="Y37" s="3">
        <v>105.4</v>
      </c>
      <c r="Z37" s="3">
        <v>115</v>
      </c>
      <c r="AA37" s="3">
        <v>117.1</v>
      </c>
      <c r="AB37" s="3">
        <v>114.1</v>
      </c>
      <c r="AC37" s="3">
        <v>117.5</v>
      </c>
      <c r="AD37" s="3">
        <v>116.2</v>
      </c>
      <c r="AE37" s="3">
        <v>120.5</v>
      </c>
      <c r="AF37" s="3">
        <v>105.1</v>
      </c>
      <c r="AG37" s="3">
        <v>105.5</v>
      </c>
      <c r="AH37" s="3">
        <v>104.3</v>
      </c>
      <c r="AI37" s="3">
        <v>112.5</v>
      </c>
      <c r="AJ37" s="3">
        <v>121.3</v>
      </c>
      <c r="AK37" s="3">
        <v>118.8</v>
      </c>
      <c r="AL37" s="3">
        <v>118.9</v>
      </c>
      <c r="AM37" s="3">
        <v>118.4</v>
      </c>
      <c r="AN37" s="3">
        <v>119.4</v>
      </c>
      <c r="AO37" s="3">
        <v>110.9</v>
      </c>
      <c r="AP37" s="3">
        <v>111.3</v>
      </c>
      <c r="AQ37" s="3">
        <v>115.8</v>
      </c>
      <c r="AR37" s="3">
        <v>107.9</v>
      </c>
      <c r="AS37" s="3">
        <v>108.3</v>
      </c>
      <c r="AT37" s="3">
        <v>107.2</v>
      </c>
      <c r="AU37" s="3">
        <v>125.2</v>
      </c>
      <c r="AV37" s="3">
        <v>188.4</v>
      </c>
      <c r="AX37" s="3">
        <v>128</v>
      </c>
      <c r="AY37" s="3">
        <v>130.30000000000001</v>
      </c>
      <c r="AZ37" s="3">
        <v>117.4</v>
      </c>
      <c r="BA37" s="3">
        <v>115.7</v>
      </c>
      <c r="BB37" s="3">
        <v>171.5</v>
      </c>
      <c r="BC37" s="3">
        <v>104.8</v>
      </c>
      <c r="BD37" s="3">
        <v>115.7</v>
      </c>
      <c r="BE37" s="3">
        <v>104.6</v>
      </c>
      <c r="BF37" s="3">
        <v>113.4</v>
      </c>
      <c r="BG37" s="3">
        <v>112.9</v>
      </c>
      <c r="BH37" s="3">
        <v>114.1</v>
      </c>
      <c r="BI37" s="3">
        <v>105.3</v>
      </c>
      <c r="BJ37" s="3">
        <v>114.9</v>
      </c>
      <c r="BK37" s="3">
        <v>119.2</v>
      </c>
      <c r="BL37" s="3">
        <v>105.6</v>
      </c>
      <c r="BM37" s="3">
        <v>112.6</v>
      </c>
      <c r="BN37" s="3">
        <v>105.5</v>
      </c>
      <c r="BO37" s="3">
        <v>120.3</v>
      </c>
      <c r="BP37" s="3">
        <v>122.4</v>
      </c>
      <c r="BQ37" s="3">
        <v>113.2</v>
      </c>
      <c r="BR37" s="3">
        <v>110.7</v>
      </c>
      <c r="BS37" s="3">
        <v>114.6</v>
      </c>
      <c r="BT37" s="3">
        <v>115.8</v>
      </c>
      <c r="BU37" s="3">
        <v>113.5</v>
      </c>
      <c r="BV37" s="3">
        <v>105.9</v>
      </c>
      <c r="BW37" s="3">
        <v>119</v>
      </c>
      <c r="BX37" s="3">
        <v>127</v>
      </c>
      <c r="BY37" s="3">
        <v>113.8</v>
      </c>
      <c r="BZ37" s="3">
        <v>118.4</v>
      </c>
      <c r="CA37" s="3">
        <v>107</v>
      </c>
      <c r="CB37" s="3">
        <v>124.5</v>
      </c>
      <c r="CC37" s="3">
        <v>117.4</v>
      </c>
      <c r="CD37" s="3">
        <v>122.4</v>
      </c>
      <c r="CE37" s="3">
        <v>112.3</v>
      </c>
      <c r="CF37" s="3">
        <v>90.4</v>
      </c>
      <c r="CG37" s="3">
        <v>98.7</v>
      </c>
      <c r="CH37" s="3">
        <v>111</v>
      </c>
      <c r="CI37" s="3">
        <v>126.3</v>
      </c>
      <c r="CJ37" s="3">
        <v>119.4</v>
      </c>
      <c r="CK37" s="3">
        <v>105.3</v>
      </c>
      <c r="CL37" s="3">
        <v>127.3</v>
      </c>
    </row>
    <row r="38" spans="1:90" x14ac:dyDescent="0.25">
      <c r="A38" s="4">
        <v>32874</v>
      </c>
      <c r="B38" s="3">
        <v>118.6</v>
      </c>
      <c r="C38" s="3">
        <v>118.8</v>
      </c>
      <c r="D38" s="3">
        <v>115</v>
      </c>
      <c r="E38" s="3">
        <v>124.2</v>
      </c>
      <c r="F38" s="3">
        <v>110.9</v>
      </c>
      <c r="G38" s="3">
        <v>109.8</v>
      </c>
      <c r="H38" s="3">
        <v>121.3</v>
      </c>
      <c r="I38" s="3">
        <v>123.3</v>
      </c>
      <c r="J38" s="3">
        <v>111.6</v>
      </c>
      <c r="K38" s="3">
        <v>112.7</v>
      </c>
      <c r="L38" s="3">
        <v>111.1</v>
      </c>
      <c r="M38" s="3">
        <v>118.4</v>
      </c>
      <c r="N38" s="3">
        <v>106.9</v>
      </c>
      <c r="O38" s="3">
        <v>124.8</v>
      </c>
      <c r="P38" s="3">
        <v>111</v>
      </c>
      <c r="Q38" s="3">
        <v>118.5</v>
      </c>
      <c r="R38" s="3">
        <v>118.7</v>
      </c>
      <c r="S38" s="3">
        <v>120.1</v>
      </c>
      <c r="T38" s="3">
        <v>122</v>
      </c>
      <c r="U38" s="3">
        <v>122</v>
      </c>
      <c r="V38" s="3">
        <v>97.9</v>
      </c>
      <c r="W38" s="3">
        <v>124</v>
      </c>
      <c r="X38" s="3">
        <v>121.7</v>
      </c>
      <c r="Y38" s="3">
        <v>105.7</v>
      </c>
      <c r="Z38" s="3">
        <v>118.6</v>
      </c>
      <c r="AA38" s="3">
        <v>123.1</v>
      </c>
      <c r="AB38" s="3">
        <v>114.8</v>
      </c>
      <c r="AC38" s="3">
        <v>119.9</v>
      </c>
      <c r="AD38" s="3">
        <v>119.5</v>
      </c>
      <c r="AE38" s="3">
        <v>120.9</v>
      </c>
      <c r="AF38" s="3">
        <v>111.1</v>
      </c>
      <c r="AG38" s="3">
        <v>112.8</v>
      </c>
      <c r="AH38" s="3">
        <v>106</v>
      </c>
      <c r="AI38" s="3">
        <v>114.7</v>
      </c>
      <c r="AJ38" s="3">
        <v>122.2</v>
      </c>
      <c r="AK38" s="3">
        <v>120.6</v>
      </c>
      <c r="AL38" s="3">
        <v>120</v>
      </c>
      <c r="AM38" s="3">
        <v>119</v>
      </c>
      <c r="AN38" s="3">
        <v>119.9</v>
      </c>
      <c r="AO38" s="3">
        <v>111.9</v>
      </c>
      <c r="AP38" s="3">
        <v>112.5</v>
      </c>
      <c r="AQ38" s="3">
        <v>116.1</v>
      </c>
      <c r="AR38" s="3">
        <v>109.8</v>
      </c>
      <c r="AS38" s="3">
        <v>108.4</v>
      </c>
      <c r="AT38" s="3">
        <v>107.8</v>
      </c>
      <c r="AU38" s="3">
        <v>125.9</v>
      </c>
      <c r="AV38" s="3">
        <v>190.6</v>
      </c>
      <c r="AX38" s="3">
        <v>128</v>
      </c>
      <c r="AY38" s="3">
        <v>131.5</v>
      </c>
      <c r="AZ38" s="3">
        <v>120.1</v>
      </c>
      <c r="BA38" s="3">
        <v>116.2</v>
      </c>
      <c r="BB38" s="3">
        <v>170.7</v>
      </c>
      <c r="BC38" s="3">
        <v>105.4</v>
      </c>
      <c r="BD38" s="3">
        <v>115.7</v>
      </c>
      <c r="BE38" s="3">
        <v>104.6</v>
      </c>
      <c r="BF38" s="3">
        <v>124.5</v>
      </c>
      <c r="BG38" s="3">
        <v>112.7</v>
      </c>
      <c r="BH38" s="3">
        <v>112.6</v>
      </c>
      <c r="BI38" s="3">
        <v>104.3</v>
      </c>
      <c r="BJ38" s="3">
        <v>114.9</v>
      </c>
      <c r="BK38" s="3">
        <v>119.9</v>
      </c>
      <c r="BL38" s="3">
        <v>106.9</v>
      </c>
      <c r="BM38" s="3">
        <v>112.6</v>
      </c>
      <c r="BN38" s="3">
        <v>105.7</v>
      </c>
      <c r="BO38" s="3">
        <v>122.3</v>
      </c>
      <c r="BP38" s="3">
        <v>124.4</v>
      </c>
      <c r="BQ38" s="3">
        <v>110.7</v>
      </c>
      <c r="BR38" s="3">
        <v>106.7</v>
      </c>
      <c r="BS38" s="3">
        <v>111.7</v>
      </c>
      <c r="BT38" s="3">
        <v>115</v>
      </c>
      <c r="BU38" s="3">
        <v>113</v>
      </c>
      <c r="BV38" s="3">
        <v>105.9</v>
      </c>
      <c r="BW38" s="3">
        <v>120.2</v>
      </c>
      <c r="BX38" s="3">
        <v>130</v>
      </c>
      <c r="BY38" s="3">
        <v>113.1</v>
      </c>
      <c r="BZ38" s="3">
        <v>121.9</v>
      </c>
      <c r="CA38" s="3">
        <v>109</v>
      </c>
      <c r="CB38" s="3">
        <v>125.9</v>
      </c>
      <c r="CC38" s="3">
        <v>117.4</v>
      </c>
      <c r="CD38" s="3">
        <v>123.2</v>
      </c>
      <c r="CE38" s="3">
        <v>112.7</v>
      </c>
      <c r="CF38" s="3">
        <v>89.5</v>
      </c>
      <c r="CG38" s="3">
        <v>98.9</v>
      </c>
      <c r="CH38" s="3">
        <v>111.2</v>
      </c>
      <c r="CI38" s="3">
        <v>126.7</v>
      </c>
      <c r="CJ38" s="3">
        <v>120.4</v>
      </c>
      <c r="CK38" s="3">
        <v>105.9</v>
      </c>
      <c r="CL38" s="3">
        <v>128.80000000000001</v>
      </c>
    </row>
    <row r="39" spans="1:90" x14ac:dyDescent="0.25">
      <c r="A39" s="4">
        <v>32905</v>
      </c>
      <c r="B39" s="3">
        <v>119.3</v>
      </c>
      <c r="C39" s="3">
        <v>120.6</v>
      </c>
      <c r="D39" s="3">
        <v>115.9</v>
      </c>
      <c r="E39" s="3">
        <v>124.1</v>
      </c>
      <c r="F39" s="3">
        <v>111.2</v>
      </c>
      <c r="G39" s="3">
        <v>110.4</v>
      </c>
      <c r="H39" s="3">
        <v>121.5</v>
      </c>
      <c r="I39" s="3">
        <v>122.7</v>
      </c>
      <c r="J39" s="3">
        <v>112.2</v>
      </c>
      <c r="K39" s="3">
        <v>114.3</v>
      </c>
      <c r="L39" s="3">
        <v>113.3</v>
      </c>
      <c r="M39" s="3">
        <v>122.7</v>
      </c>
      <c r="N39" s="3">
        <v>107.8</v>
      </c>
      <c r="O39" s="3">
        <v>123.1</v>
      </c>
      <c r="P39" s="3">
        <v>112.1</v>
      </c>
      <c r="Q39" s="3">
        <v>118.6</v>
      </c>
      <c r="R39" s="3">
        <v>118.8</v>
      </c>
      <c r="S39" s="3">
        <v>120.1</v>
      </c>
      <c r="T39" s="3">
        <v>122.8</v>
      </c>
      <c r="U39" s="3">
        <v>123.5</v>
      </c>
      <c r="V39" s="3">
        <v>91.8</v>
      </c>
      <c r="W39" s="3">
        <v>127.4</v>
      </c>
      <c r="X39" s="3">
        <v>121.9</v>
      </c>
      <c r="Y39" s="3">
        <v>106.4</v>
      </c>
      <c r="Z39" s="3">
        <v>119.8</v>
      </c>
      <c r="AA39" s="3">
        <v>125.3</v>
      </c>
      <c r="AB39" s="3">
        <v>115</v>
      </c>
      <c r="AC39" s="3">
        <v>122.2</v>
      </c>
      <c r="AD39" s="3">
        <v>122.8</v>
      </c>
      <c r="AE39" s="3">
        <v>121.4</v>
      </c>
      <c r="AF39" s="3">
        <v>113.6</v>
      </c>
      <c r="AG39" s="3">
        <v>114.9</v>
      </c>
      <c r="AH39" s="3">
        <v>109.8</v>
      </c>
      <c r="AI39" s="3">
        <v>115.6</v>
      </c>
      <c r="AJ39" s="3">
        <v>122.8</v>
      </c>
      <c r="AK39" s="3">
        <v>121.3</v>
      </c>
      <c r="AL39" s="3">
        <v>120.6</v>
      </c>
      <c r="AM39" s="3">
        <v>119.6</v>
      </c>
      <c r="AN39" s="3">
        <v>120.3</v>
      </c>
      <c r="AO39" s="3">
        <v>114</v>
      </c>
      <c r="AP39" s="3">
        <v>113.4</v>
      </c>
      <c r="AQ39" s="3">
        <v>116.7</v>
      </c>
      <c r="AR39" s="3">
        <v>111</v>
      </c>
      <c r="AS39" s="3">
        <v>108.5</v>
      </c>
      <c r="AT39" s="3">
        <v>108.2</v>
      </c>
      <c r="AU39" s="3">
        <v>126</v>
      </c>
      <c r="AV39" s="3">
        <v>192.9</v>
      </c>
      <c r="AX39" s="3">
        <v>128</v>
      </c>
      <c r="AY39" s="3">
        <v>131.5</v>
      </c>
      <c r="AZ39" s="3">
        <v>120.3</v>
      </c>
      <c r="BA39" s="3">
        <v>117.5</v>
      </c>
      <c r="BB39" s="3">
        <v>172.3</v>
      </c>
      <c r="BC39" s="3">
        <v>105.5</v>
      </c>
      <c r="BD39" s="3">
        <v>115.7</v>
      </c>
      <c r="BE39" s="3">
        <v>104.6</v>
      </c>
      <c r="BF39" s="3">
        <v>111.7</v>
      </c>
      <c r="BG39" s="3">
        <v>113.4</v>
      </c>
      <c r="BH39" s="3">
        <v>113.9</v>
      </c>
      <c r="BI39" s="3">
        <v>104.6</v>
      </c>
      <c r="BJ39" s="3">
        <v>116.1</v>
      </c>
      <c r="BK39" s="3">
        <v>120.8</v>
      </c>
      <c r="BL39" s="3">
        <v>107.9</v>
      </c>
      <c r="BM39" s="3">
        <v>112.6</v>
      </c>
      <c r="BN39" s="3">
        <v>105.8</v>
      </c>
      <c r="BO39" s="3">
        <v>123.1</v>
      </c>
      <c r="BP39" s="3">
        <v>124.7</v>
      </c>
      <c r="BQ39" s="3">
        <v>112.7</v>
      </c>
      <c r="BR39" s="3">
        <v>108.4</v>
      </c>
      <c r="BS39" s="3">
        <v>113</v>
      </c>
      <c r="BT39" s="3">
        <v>116.3</v>
      </c>
      <c r="BU39" s="3">
        <v>114.3</v>
      </c>
      <c r="BV39" s="3">
        <v>106.4</v>
      </c>
      <c r="BW39" s="3">
        <v>121.4</v>
      </c>
      <c r="BX39" s="3">
        <v>130.5</v>
      </c>
      <c r="BY39" s="3">
        <v>113.7</v>
      </c>
      <c r="BZ39" s="3">
        <v>123</v>
      </c>
      <c r="CA39" s="3">
        <v>108.8</v>
      </c>
      <c r="CB39" s="3">
        <v>125.9</v>
      </c>
      <c r="CC39" s="3">
        <v>128.30000000000001</v>
      </c>
      <c r="CD39" s="3">
        <v>124.5</v>
      </c>
      <c r="CE39" s="3">
        <v>113.5</v>
      </c>
      <c r="CF39" s="3">
        <v>89.7</v>
      </c>
      <c r="CG39" s="3">
        <v>99.2</v>
      </c>
      <c r="CH39" s="3">
        <v>112</v>
      </c>
      <c r="CI39" s="3">
        <v>126.9</v>
      </c>
      <c r="CJ39" s="3">
        <v>121.4</v>
      </c>
      <c r="CK39" s="3">
        <v>105.9</v>
      </c>
      <c r="CL39" s="3">
        <v>129.19999999999999</v>
      </c>
    </row>
    <row r="40" spans="1:90" x14ac:dyDescent="0.25">
      <c r="A40" s="4">
        <v>32933</v>
      </c>
      <c r="B40" s="3">
        <v>119.3</v>
      </c>
      <c r="C40" s="3">
        <v>121.9</v>
      </c>
      <c r="D40" s="3">
        <v>116.4</v>
      </c>
      <c r="E40" s="3">
        <v>124.4</v>
      </c>
      <c r="F40" s="3">
        <v>113.9</v>
      </c>
      <c r="G40" s="3">
        <v>113.3</v>
      </c>
      <c r="H40" s="3">
        <v>120.8</v>
      </c>
      <c r="I40" s="3">
        <v>122</v>
      </c>
      <c r="J40" s="3">
        <v>112.6</v>
      </c>
      <c r="K40" s="3">
        <v>114.8</v>
      </c>
      <c r="L40" s="3">
        <v>113.4</v>
      </c>
      <c r="M40" s="3">
        <v>124.2</v>
      </c>
      <c r="N40" s="3">
        <v>107.1</v>
      </c>
      <c r="O40" s="3">
        <v>121.8</v>
      </c>
      <c r="P40" s="3">
        <v>113.6</v>
      </c>
      <c r="Q40" s="3">
        <v>118.3</v>
      </c>
      <c r="R40" s="3">
        <v>116.3</v>
      </c>
      <c r="S40" s="3">
        <v>120.2</v>
      </c>
      <c r="T40" s="3">
        <v>123.5</v>
      </c>
      <c r="U40" s="3">
        <v>124.6</v>
      </c>
      <c r="V40" s="3">
        <v>90.9</v>
      </c>
      <c r="W40" s="3">
        <v>131.1</v>
      </c>
      <c r="X40" s="3">
        <v>122.5</v>
      </c>
      <c r="Y40" s="3">
        <v>106.8</v>
      </c>
      <c r="Z40" s="3">
        <v>119.6</v>
      </c>
      <c r="AA40" s="3">
        <v>124.1</v>
      </c>
      <c r="AB40" s="3">
        <v>115.8</v>
      </c>
      <c r="AC40" s="3">
        <v>123.9</v>
      </c>
      <c r="AD40" s="3">
        <v>124.6</v>
      </c>
      <c r="AE40" s="3">
        <v>122.8</v>
      </c>
      <c r="AF40" s="3">
        <v>114.5</v>
      </c>
      <c r="AG40" s="3">
        <v>115.6</v>
      </c>
      <c r="AH40" s="3">
        <v>111.4</v>
      </c>
      <c r="AI40" s="3">
        <v>116.9</v>
      </c>
      <c r="AJ40" s="3">
        <v>123.2</v>
      </c>
      <c r="AK40" s="3">
        <v>122.1</v>
      </c>
      <c r="AL40" s="3">
        <v>121.4</v>
      </c>
      <c r="AM40" s="3">
        <v>120.2</v>
      </c>
      <c r="AN40" s="3">
        <v>120.8</v>
      </c>
      <c r="AO40" s="3">
        <v>115.3</v>
      </c>
      <c r="AP40" s="3">
        <v>114.3</v>
      </c>
      <c r="AQ40" s="3">
        <v>117.5</v>
      </c>
      <c r="AR40" s="3">
        <v>111.9</v>
      </c>
      <c r="AS40" s="3">
        <v>108.5</v>
      </c>
      <c r="AT40" s="3">
        <v>108.4</v>
      </c>
      <c r="AU40" s="3">
        <v>126.2</v>
      </c>
      <c r="AV40" s="3">
        <v>205.9</v>
      </c>
      <c r="AX40" s="3">
        <v>128</v>
      </c>
      <c r="AY40" s="3">
        <v>131.5</v>
      </c>
      <c r="AZ40" s="3">
        <v>120.8</v>
      </c>
      <c r="BA40" s="3">
        <v>118.5</v>
      </c>
      <c r="BB40" s="3">
        <v>172.5</v>
      </c>
      <c r="BC40" s="3">
        <v>105.5</v>
      </c>
      <c r="BD40" s="3">
        <v>115.7</v>
      </c>
      <c r="BE40" s="3">
        <v>106.1</v>
      </c>
      <c r="BF40" s="3">
        <v>104.7</v>
      </c>
      <c r="BG40" s="3">
        <v>115.5</v>
      </c>
      <c r="BH40" s="3">
        <v>115.2</v>
      </c>
      <c r="BI40" s="3">
        <v>105.1</v>
      </c>
      <c r="BJ40" s="3">
        <v>116.9</v>
      </c>
      <c r="BK40" s="3">
        <v>121.9</v>
      </c>
      <c r="BL40" s="3">
        <v>108.1</v>
      </c>
      <c r="BM40" s="3">
        <v>112.6</v>
      </c>
      <c r="BN40" s="3">
        <v>105.8</v>
      </c>
      <c r="BO40" s="3">
        <v>124.1</v>
      </c>
      <c r="BP40" s="3">
        <v>124.7</v>
      </c>
      <c r="BQ40" s="3">
        <v>114.3</v>
      </c>
      <c r="BR40" s="3">
        <v>108.6</v>
      </c>
      <c r="BS40" s="3">
        <v>114.3</v>
      </c>
      <c r="BT40" s="3">
        <v>117.7</v>
      </c>
      <c r="BU40" s="3">
        <v>114.9</v>
      </c>
      <c r="BV40" s="3">
        <v>106.6</v>
      </c>
      <c r="BW40" s="3">
        <v>122.8</v>
      </c>
      <c r="BX40" s="3">
        <v>130.80000000000001</v>
      </c>
      <c r="BY40" s="3">
        <v>114.8</v>
      </c>
      <c r="BZ40" s="3">
        <v>123.7</v>
      </c>
      <c r="CA40" s="3">
        <v>108.7</v>
      </c>
      <c r="CB40" s="3">
        <v>125.9</v>
      </c>
      <c r="CC40" s="3">
        <v>128.30000000000001</v>
      </c>
      <c r="CD40" s="3">
        <v>124.6</v>
      </c>
      <c r="CE40" s="3">
        <v>113.9</v>
      </c>
      <c r="CF40" s="3">
        <v>90</v>
      </c>
      <c r="CG40" s="3">
        <v>99.4</v>
      </c>
      <c r="CH40" s="3">
        <v>112.5</v>
      </c>
      <c r="CI40" s="3">
        <v>127.4</v>
      </c>
      <c r="CJ40" s="3">
        <v>122.6</v>
      </c>
      <c r="CK40" s="3">
        <v>105.9</v>
      </c>
      <c r="CL40" s="3">
        <v>129.4</v>
      </c>
    </row>
    <row r="41" spans="1:90" x14ac:dyDescent="0.25">
      <c r="A41" s="4">
        <v>32964</v>
      </c>
      <c r="B41" s="3">
        <v>120.1</v>
      </c>
      <c r="C41" s="3">
        <v>122.9</v>
      </c>
      <c r="D41" s="3">
        <v>117.7</v>
      </c>
      <c r="E41" s="3">
        <v>125.1</v>
      </c>
      <c r="F41" s="3">
        <v>118.6</v>
      </c>
      <c r="G41" s="3">
        <v>121.6</v>
      </c>
      <c r="H41" s="3">
        <v>121.8</v>
      </c>
      <c r="I41" s="3">
        <v>123.8</v>
      </c>
      <c r="J41" s="3">
        <v>112.9</v>
      </c>
      <c r="K41" s="3">
        <v>114.9</v>
      </c>
      <c r="L41" s="3">
        <v>115</v>
      </c>
      <c r="M41" s="3">
        <v>126.7</v>
      </c>
      <c r="N41" s="3">
        <v>108.1</v>
      </c>
      <c r="O41" s="3">
        <v>120.3</v>
      </c>
      <c r="P41" s="3">
        <v>114.9</v>
      </c>
      <c r="Q41" s="3">
        <v>116.4</v>
      </c>
      <c r="R41" s="3">
        <v>117.6</v>
      </c>
      <c r="S41" s="3">
        <v>121</v>
      </c>
      <c r="T41" s="3">
        <v>123.7</v>
      </c>
      <c r="U41" s="3">
        <v>125.5</v>
      </c>
      <c r="V41" s="3">
        <v>90.5</v>
      </c>
      <c r="W41" s="3">
        <v>133.6</v>
      </c>
      <c r="X41" s="3">
        <v>123.2</v>
      </c>
      <c r="Y41" s="3">
        <v>106.9</v>
      </c>
      <c r="Z41" s="3">
        <v>121.7</v>
      </c>
      <c r="AA41" s="3">
        <v>127.6</v>
      </c>
      <c r="AB41" s="3">
        <v>116.6</v>
      </c>
      <c r="AC41" s="3">
        <v>127</v>
      </c>
      <c r="AD41" s="3">
        <v>129.1</v>
      </c>
      <c r="AE41" s="3">
        <v>123.2</v>
      </c>
      <c r="AF41" s="3">
        <v>116.9</v>
      </c>
      <c r="AG41" s="3">
        <v>118.6</v>
      </c>
      <c r="AH41" s="3">
        <v>111.9</v>
      </c>
      <c r="AI41" s="3">
        <v>117.7</v>
      </c>
      <c r="AJ41" s="3">
        <v>124.8</v>
      </c>
      <c r="AK41" s="3">
        <v>123.5</v>
      </c>
      <c r="AL41" s="3">
        <v>122.8</v>
      </c>
      <c r="AM41" s="3">
        <v>123.8</v>
      </c>
      <c r="AN41" s="3">
        <v>124.7</v>
      </c>
      <c r="AO41" s="3">
        <v>117.1</v>
      </c>
      <c r="AP41" s="3">
        <v>118.2</v>
      </c>
      <c r="AQ41" s="3">
        <v>122.2</v>
      </c>
      <c r="AR41" s="3">
        <v>115.2</v>
      </c>
      <c r="AS41" s="3">
        <v>112.5</v>
      </c>
      <c r="AT41" s="3">
        <v>111.4</v>
      </c>
      <c r="AU41" s="3">
        <v>136.69999999999999</v>
      </c>
      <c r="AV41" s="3">
        <v>208.3</v>
      </c>
      <c r="AX41" s="3">
        <v>171.6</v>
      </c>
      <c r="AY41" s="3">
        <v>148.4</v>
      </c>
      <c r="AZ41" s="3">
        <v>121.8</v>
      </c>
      <c r="BA41" s="3">
        <v>119.3</v>
      </c>
      <c r="BB41" s="3">
        <v>173.5</v>
      </c>
      <c r="BC41" s="3">
        <v>105.5</v>
      </c>
      <c r="BD41" s="3">
        <v>116.9</v>
      </c>
      <c r="BE41" s="3">
        <v>108.5</v>
      </c>
      <c r="BF41" s="3">
        <v>105.6</v>
      </c>
      <c r="BG41" s="3">
        <v>115.6</v>
      </c>
      <c r="BH41" s="3">
        <v>115.5</v>
      </c>
      <c r="BI41" s="3">
        <v>105.7</v>
      </c>
      <c r="BJ41" s="3">
        <v>118.3</v>
      </c>
      <c r="BK41" s="3">
        <v>122.7</v>
      </c>
      <c r="BL41" s="3">
        <v>108.9</v>
      </c>
      <c r="BM41" s="3">
        <v>112.6</v>
      </c>
      <c r="BN41" s="3">
        <v>105.8</v>
      </c>
      <c r="BO41" s="3">
        <v>125.5</v>
      </c>
      <c r="BP41" s="3">
        <v>124.5</v>
      </c>
      <c r="BQ41" s="3">
        <v>115</v>
      </c>
      <c r="BR41" s="3">
        <v>111.7</v>
      </c>
      <c r="BS41" s="3">
        <v>116.6</v>
      </c>
      <c r="BT41" s="3">
        <v>118.3</v>
      </c>
      <c r="BU41" s="3">
        <v>115.7</v>
      </c>
      <c r="BV41" s="3">
        <v>106.9</v>
      </c>
      <c r="BW41" s="3">
        <v>124.1</v>
      </c>
      <c r="BX41" s="3">
        <v>131.6</v>
      </c>
      <c r="BY41" s="3">
        <v>115.9</v>
      </c>
      <c r="BZ41" s="3">
        <v>125.1</v>
      </c>
      <c r="CA41" s="3">
        <v>116.5</v>
      </c>
      <c r="CB41" s="3">
        <v>126.3</v>
      </c>
      <c r="CC41" s="3">
        <v>128.30000000000001</v>
      </c>
      <c r="CD41" s="3">
        <v>124.6</v>
      </c>
      <c r="CE41" s="3">
        <v>114.7</v>
      </c>
      <c r="CF41" s="3">
        <v>90</v>
      </c>
      <c r="CG41" s="3">
        <v>99.6</v>
      </c>
      <c r="CH41" s="3">
        <v>113.2</v>
      </c>
      <c r="CI41" s="3">
        <v>128.4</v>
      </c>
      <c r="CJ41" s="3">
        <v>123</v>
      </c>
      <c r="CK41" s="3">
        <v>110.1</v>
      </c>
      <c r="CL41" s="3">
        <v>131.5</v>
      </c>
    </row>
    <row r="42" spans="1:90" x14ac:dyDescent="0.25">
      <c r="A42" s="4">
        <v>32994</v>
      </c>
      <c r="B42" s="3">
        <v>119.8</v>
      </c>
      <c r="C42" s="3">
        <v>123.6</v>
      </c>
      <c r="D42" s="3">
        <v>119.9</v>
      </c>
      <c r="E42" s="3">
        <v>125.6</v>
      </c>
      <c r="F42" s="3">
        <v>119.4</v>
      </c>
      <c r="G42" s="3">
        <v>122.7</v>
      </c>
      <c r="H42" s="3">
        <v>125.4</v>
      </c>
      <c r="I42" s="3">
        <v>127</v>
      </c>
      <c r="J42" s="3">
        <v>114.8</v>
      </c>
      <c r="K42" s="3">
        <v>116.4</v>
      </c>
      <c r="L42" s="3">
        <v>116.3</v>
      </c>
      <c r="M42" s="3">
        <v>126.1</v>
      </c>
      <c r="N42" s="3">
        <v>110.6</v>
      </c>
      <c r="O42" s="3">
        <v>119.4</v>
      </c>
      <c r="P42" s="3">
        <v>116</v>
      </c>
      <c r="Q42" s="3">
        <v>120</v>
      </c>
      <c r="R42" s="3">
        <v>117.7</v>
      </c>
      <c r="S42" s="3">
        <v>121.4</v>
      </c>
      <c r="T42" s="3">
        <v>124.3</v>
      </c>
      <c r="U42" s="3">
        <v>130.1</v>
      </c>
      <c r="V42" s="3">
        <v>90.7</v>
      </c>
      <c r="W42" s="3">
        <v>136.6</v>
      </c>
      <c r="X42" s="3">
        <v>123.6</v>
      </c>
      <c r="Y42" s="3">
        <v>108.3</v>
      </c>
      <c r="Z42" s="3">
        <v>126.5</v>
      </c>
      <c r="AA42" s="3">
        <v>135.9</v>
      </c>
      <c r="AB42" s="3">
        <v>118.2</v>
      </c>
      <c r="AC42" s="3">
        <v>122.3</v>
      </c>
      <c r="AD42" s="3">
        <v>121.5</v>
      </c>
      <c r="AE42" s="3">
        <v>124.3</v>
      </c>
      <c r="AF42" s="3">
        <v>121.6</v>
      </c>
      <c r="AG42" s="3">
        <v>124.2</v>
      </c>
      <c r="AH42" s="3">
        <v>113.6</v>
      </c>
      <c r="AI42" s="3">
        <v>119</v>
      </c>
      <c r="AJ42" s="3">
        <v>125.9</v>
      </c>
      <c r="AK42" s="3">
        <v>124.7</v>
      </c>
      <c r="AL42" s="3">
        <v>123.7</v>
      </c>
      <c r="AM42" s="3">
        <v>125.9</v>
      </c>
      <c r="AN42" s="3">
        <v>126.7</v>
      </c>
      <c r="AO42" s="3">
        <v>120</v>
      </c>
      <c r="AP42" s="3">
        <v>120.8</v>
      </c>
      <c r="AQ42" s="3">
        <v>124.5</v>
      </c>
      <c r="AR42" s="3">
        <v>118.2</v>
      </c>
      <c r="AS42" s="3">
        <v>115.1</v>
      </c>
      <c r="AT42" s="3">
        <v>112.9</v>
      </c>
      <c r="AU42" s="3">
        <v>136.9</v>
      </c>
      <c r="AV42" s="3">
        <v>211.5</v>
      </c>
      <c r="AX42" s="3">
        <v>171.7</v>
      </c>
      <c r="AY42" s="3">
        <v>148.4</v>
      </c>
      <c r="AZ42" s="3">
        <v>122.7</v>
      </c>
      <c r="BA42" s="3">
        <v>120.9</v>
      </c>
      <c r="BB42" s="3">
        <v>173.5</v>
      </c>
      <c r="BC42" s="3">
        <v>100.2</v>
      </c>
      <c r="BD42" s="3">
        <v>121.1</v>
      </c>
      <c r="BE42" s="3">
        <v>111.5</v>
      </c>
      <c r="BF42" s="3">
        <v>104.3</v>
      </c>
      <c r="BG42" s="3">
        <v>116.3</v>
      </c>
      <c r="BH42" s="3">
        <v>116.6</v>
      </c>
      <c r="BI42" s="3">
        <v>106.2</v>
      </c>
      <c r="BJ42" s="3">
        <v>119</v>
      </c>
      <c r="BK42" s="3">
        <v>123.3</v>
      </c>
      <c r="BL42" s="3">
        <v>108.8</v>
      </c>
      <c r="BM42" s="3">
        <v>112.6</v>
      </c>
      <c r="BN42" s="3">
        <v>106.1</v>
      </c>
      <c r="BO42" s="3">
        <v>127</v>
      </c>
      <c r="BP42" s="3">
        <v>125.7</v>
      </c>
      <c r="BQ42" s="3">
        <v>116.7</v>
      </c>
      <c r="BR42" s="3">
        <v>111.4</v>
      </c>
      <c r="BS42" s="3">
        <v>117.6</v>
      </c>
      <c r="BT42" s="3">
        <v>118.8</v>
      </c>
      <c r="BU42" s="3">
        <v>116.5</v>
      </c>
      <c r="BV42" s="3">
        <v>107.2</v>
      </c>
      <c r="BW42" s="3">
        <v>124.7</v>
      </c>
      <c r="BX42" s="3">
        <v>132.80000000000001</v>
      </c>
      <c r="BY42" s="3">
        <v>116.8</v>
      </c>
      <c r="BZ42" s="3">
        <v>126.8</v>
      </c>
      <c r="CA42" s="3">
        <v>116.3</v>
      </c>
      <c r="CB42" s="3">
        <v>126.3</v>
      </c>
      <c r="CC42" s="3">
        <v>128.19999999999999</v>
      </c>
      <c r="CD42" s="3">
        <v>125.8</v>
      </c>
      <c r="CE42" s="3">
        <v>115.3</v>
      </c>
      <c r="CF42" s="3">
        <v>89.9</v>
      </c>
      <c r="CG42" s="3">
        <v>100</v>
      </c>
      <c r="CH42" s="3">
        <v>113.8</v>
      </c>
      <c r="CI42" s="3">
        <v>130.30000000000001</v>
      </c>
      <c r="CJ42" s="3">
        <v>123.2</v>
      </c>
      <c r="CK42" s="3">
        <v>110.1</v>
      </c>
      <c r="CL42" s="3">
        <v>132.5</v>
      </c>
    </row>
    <row r="43" spans="1:90" x14ac:dyDescent="0.25">
      <c r="A43" s="4">
        <v>33025</v>
      </c>
      <c r="B43" s="3">
        <v>120.7</v>
      </c>
      <c r="C43" s="3">
        <v>123.8</v>
      </c>
      <c r="D43" s="3">
        <v>119.7</v>
      </c>
      <c r="E43" s="3">
        <v>124</v>
      </c>
      <c r="F43" s="3">
        <v>118.3</v>
      </c>
      <c r="G43" s="3">
        <v>119.5</v>
      </c>
      <c r="H43" s="3">
        <v>129.5</v>
      </c>
      <c r="I43" s="3">
        <v>128.30000000000001</v>
      </c>
      <c r="J43" s="3">
        <v>116.7</v>
      </c>
      <c r="K43" s="3">
        <v>118</v>
      </c>
      <c r="L43" s="3">
        <v>117.7</v>
      </c>
      <c r="M43" s="3">
        <v>126.9</v>
      </c>
      <c r="N43" s="3">
        <v>112.4</v>
      </c>
      <c r="O43" s="3">
        <v>121.7</v>
      </c>
      <c r="P43" s="3">
        <v>116.6</v>
      </c>
      <c r="Q43" s="3">
        <v>120.2</v>
      </c>
      <c r="R43" s="3">
        <v>116.9</v>
      </c>
      <c r="S43" s="3">
        <v>121.6</v>
      </c>
      <c r="T43" s="3">
        <v>125.8</v>
      </c>
      <c r="U43" s="3">
        <v>132.19999999999999</v>
      </c>
      <c r="V43" s="3">
        <v>90.5</v>
      </c>
      <c r="W43" s="3">
        <v>137.6</v>
      </c>
      <c r="X43" s="3">
        <v>124.5</v>
      </c>
      <c r="Y43" s="3">
        <v>108.8</v>
      </c>
      <c r="Z43" s="3">
        <v>117.9</v>
      </c>
      <c r="AA43" s="3">
        <v>116.4</v>
      </c>
      <c r="AB43" s="3">
        <v>119.6</v>
      </c>
      <c r="AC43" s="3">
        <v>111.4</v>
      </c>
      <c r="AD43" s="3">
        <v>105.2</v>
      </c>
      <c r="AE43" s="3">
        <v>124.3</v>
      </c>
      <c r="AF43" s="3">
        <v>128.4</v>
      </c>
      <c r="AG43" s="3">
        <v>132.6</v>
      </c>
      <c r="AH43" s="3">
        <v>115.1</v>
      </c>
      <c r="AI43" s="3">
        <v>119.9</v>
      </c>
      <c r="AJ43" s="3">
        <v>126.9</v>
      </c>
      <c r="AK43" s="3">
        <v>125.4</v>
      </c>
      <c r="AL43" s="3">
        <v>124.8</v>
      </c>
      <c r="AM43" s="3">
        <v>126.2</v>
      </c>
      <c r="AN43" s="3">
        <v>127</v>
      </c>
      <c r="AO43" s="3">
        <v>119.9</v>
      </c>
      <c r="AP43" s="3">
        <v>121.6</v>
      </c>
      <c r="AQ43" s="3">
        <v>125.5</v>
      </c>
      <c r="AR43" s="3">
        <v>118.7</v>
      </c>
      <c r="AS43" s="3">
        <v>115.3</v>
      </c>
      <c r="AT43" s="3">
        <v>112.8</v>
      </c>
      <c r="AU43" s="3">
        <v>137.4</v>
      </c>
      <c r="AV43" s="3">
        <v>213.7</v>
      </c>
      <c r="AX43" s="3">
        <v>171.8</v>
      </c>
      <c r="AY43" s="3">
        <v>148.4</v>
      </c>
      <c r="AZ43" s="3">
        <v>123.3</v>
      </c>
      <c r="BA43" s="3">
        <v>121.7</v>
      </c>
      <c r="BB43" s="3">
        <v>174.1</v>
      </c>
      <c r="BC43" s="3">
        <v>99.9</v>
      </c>
      <c r="BD43" s="3">
        <v>124.3</v>
      </c>
      <c r="BE43" s="3">
        <v>112.4</v>
      </c>
      <c r="BF43" s="3">
        <v>100.7</v>
      </c>
      <c r="BG43" s="3">
        <v>116.7</v>
      </c>
      <c r="BH43" s="3">
        <v>117.1</v>
      </c>
      <c r="BI43" s="3">
        <v>106.1</v>
      </c>
      <c r="BJ43" s="3">
        <v>119.1</v>
      </c>
      <c r="BK43" s="3">
        <v>124.4</v>
      </c>
      <c r="BL43" s="3">
        <v>108.6</v>
      </c>
      <c r="BM43" s="3">
        <v>112.6</v>
      </c>
      <c r="BN43" s="3">
        <v>106.2</v>
      </c>
      <c r="BO43" s="3">
        <v>127.6</v>
      </c>
      <c r="BP43" s="3">
        <v>126.7</v>
      </c>
      <c r="BQ43" s="3">
        <v>116.3</v>
      </c>
      <c r="BR43" s="3">
        <v>110.9</v>
      </c>
      <c r="BS43" s="3">
        <v>117</v>
      </c>
      <c r="BT43" s="3">
        <v>119</v>
      </c>
      <c r="BU43" s="3">
        <v>116.9</v>
      </c>
      <c r="BV43" s="3">
        <v>107.5</v>
      </c>
      <c r="BW43" s="3">
        <v>124.9</v>
      </c>
      <c r="BX43" s="3">
        <v>133.19999999999999</v>
      </c>
      <c r="BY43" s="3">
        <v>117.9</v>
      </c>
      <c r="BZ43" s="3">
        <v>127.8</v>
      </c>
      <c r="CA43" s="3">
        <v>115.7</v>
      </c>
      <c r="CB43" s="3">
        <v>126.3</v>
      </c>
      <c r="CC43" s="3">
        <v>128.19999999999999</v>
      </c>
      <c r="CD43" s="3">
        <v>125.9</v>
      </c>
      <c r="CE43" s="3">
        <v>118.8</v>
      </c>
      <c r="CF43" s="3">
        <v>89.5</v>
      </c>
      <c r="CG43" s="3">
        <v>100.1</v>
      </c>
      <c r="CH43" s="3">
        <v>114.1</v>
      </c>
      <c r="CI43" s="3">
        <v>130.4</v>
      </c>
      <c r="CJ43" s="3">
        <v>123.8</v>
      </c>
      <c r="CK43" s="3">
        <v>110.2</v>
      </c>
      <c r="CL43" s="3">
        <v>133.6</v>
      </c>
    </row>
    <row r="44" spans="1:90" x14ac:dyDescent="0.25">
      <c r="A44" s="4">
        <v>33055</v>
      </c>
      <c r="B44" s="3">
        <v>120.7</v>
      </c>
      <c r="C44" s="3">
        <v>124.2</v>
      </c>
      <c r="D44" s="3">
        <v>120.1</v>
      </c>
      <c r="E44" s="3">
        <v>124.3</v>
      </c>
      <c r="F44" s="3">
        <v>112.7</v>
      </c>
      <c r="G44" s="3">
        <v>111.7</v>
      </c>
      <c r="H44" s="3">
        <v>127.9</v>
      </c>
      <c r="I44" s="3">
        <v>129.6</v>
      </c>
      <c r="J44" s="3">
        <v>117.7</v>
      </c>
      <c r="K44" s="3">
        <v>120.1</v>
      </c>
      <c r="L44" s="3">
        <v>119.9</v>
      </c>
      <c r="M44" s="3">
        <v>131.4</v>
      </c>
      <c r="N44" s="3">
        <v>113</v>
      </c>
      <c r="O44" s="3">
        <v>122.5</v>
      </c>
      <c r="P44" s="3">
        <v>117</v>
      </c>
      <c r="Q44" s="3">
        <v>120.4</v>
      </c>
      <c r="R44" s="3">
        <v>116.1</v>
      </c>
      <c r="S44" s="3">
        <v>121.6</v>
      </c>
      <c r="T44" s="3">
        <v>125.3</v>
      </c>
      <c r="U44" s="3">
        <v>134</v>
      </c>
      <c r="V44" s="3">
        <v>90.1</v>
      </c>
      <c r="W44" s="3">
        <v>137.80000000000001</v>
      </c>
      <c r="X44" s="3">
        <v>128.4</v>
      </c>
      <c r="Y44" s="3">
        <v>109.2</v>
      </c>
      <c r="Z44" s="3">
        <v>104.2</v>
      </c>
      <c r="AA44" s="3">
        <v>84.5</v>
      </c>
      <c r="AB44" s="3">
        <v>122.9</v>
      </c>
      <c r="AC44" s="3">
        <v>104.5</v>
      </c>
      <c r="AD44" s="3">
        <v>95.2</v>
      </c>
      <c r="AE44" s="3">
        <v>123.5</v>
      </c>
      <c r="AF44" s="3">
        <v>121.7</v>
      </c>
      <c r="AG44" s="3">
        <v>123.3</v>
      </c>
      <c r="AH44" s="3">
        <v>116.9</v>
      </c>
      <c r="AI44" s="3">
        <v>119.5</v>
      </c>
      <c r="AJ44" s="3">
        <v>127.9</v>
      </c>
      <c r="AK44" s="3">
        <v>126</v>
      </c>
      <c r="AL44" s="3">
        <v>126.4</v>
      </c>
      <c r="AM44" s="3">
        <v>127.8</v>
      </c>
      <c r="AN44" s="3">
        <v>128.6</v>
      </c>
      <c r="AO44" s="3">
        <v>121.4</v>
      </c>
      <c r="AP44" s="3">
        <v>123</v>
      </c>
      <c r="AQ44" s="3">
        <v>126</v>
      </c>
      <c r="AR44" s="3">
        <v>120.8</v>
      </c>
      <c r="AS44" s="3">
        <v>115.3</v>
      </c>
      <c r="AT44" s="3">
        <v>113.1</v>
      </c>
      <c r="AU44" s="3">
        <v>139.6</v>
      </c>
      <c r="AV44" s="3">
        <v>215.9</v>
      </c>
      <c r="AX44" s="3">
        <v>171.8</v>
      </c>
      <c r="AY44" s="3">
        <v>148.4</v>
      </c>
      <c r="AZ44" s="3">
        <v>123.7</v>
      </c>
      <c r="BA44" s="3">
        <v>122.7</v>
      </c>
      <c r="BB44" s="3">
        <v>177.6</v>
      </c>
      <c r="BC44" s="3">
        <v>99.6</v>
      </c>
      <c r="BD44" s="3">
        <v>126.2</v>
      </c>
      <c r="BE44" s="3">
        <v>112.4</v>
      </c>
      <c r="BF44" s="3">
        <v>98</v>
      </c>
      <c r="BG44" s="3">
        <v>115.3</v>
      </c>
      <c r="BH44" s="3">
        <v>115.2</v>
      </c>
      <c r="BI44" s="3">
        <v>105</v>
      </c>
      <c r="BJ44" s="3">
        <v>118.7</v>
      </c>
      <c r="BK44" s="3">
        <v>124.4</v>
      </c>
      <c r="BL44" s="3">
        <v>108.9</v>
      </c>
      <c r="BM44" s="3">
        <v>112.6</v>
      </c>
      <c r="BN44" s="3">
        <v>106.2</v>
      </c>
      <c r="BO44" s="3">
        <v>128.80000000000001</v>
      </c>
      <c r="BP44" s="3">
        <v>128.69999999999999</v>
      </c>
      <c r="BQ44" s="3">
        <v>113</v>
      </c>
      <c r="BR44" s="3">
        <v>106.5</v>
      </c>
      <c r="BS44" s="3">
        <v>114.5</v>
      </c>
      <c r="BT44" s="3">
        <v>117.9</v>
      </c>
      <c r="BU44" s="3">
        <v>115.8</v>
      </c>
      <c r="BV44" s="3">
        <v>107</v>
      </c>
      <c r="BW44" s="3">
        <v>125.6</v>
      </c>
      <c r="BX44" s="3">
        <v>136.5</v>
      </c>
      <c r="BY44" s="3">
        <v>119</v>
      </c>
      <c r="BZ44" s="3">
        <v>129.1</v>
      </c>
      <c r="CA44" s="3">
        <v>114.8</v>
      </c>
      <c r="CB44" s="3">
        <v>128.9</v>
      </c>
      <c r="CC44" s="3">
        <v>128.19999999999999</v>
      </c>
      <c r="CD44" s="3">
        <v>126.3</v>
      </c>
      <c r="CE44" s="3">
        <v>119.3</v>
      </c>
      <c r="CF44" s="3">
        <v>88.8</v>
      </c>
      <c r="CG44" s="3">
        <v>100.4</v>
      </c>
      <c r="CH44" s="3">
        <v>113.8</v>
      </c>
      <c r="CI44" s="3">
        <v>130.6</v>
      </c>
      <c r="CJ44" s="3">
        <v>123.9</v>
      </c>
      <c r="CK44" s="3">
        <v>109.9</v>
      </c>
      <c r="CL44" s="3">
        <v>134.1</v>
      </c>
    </row>
    <row r="45" spans="1:90" x14ac:dyDescent="0.25">
      <c r="A45" s="4">
        <v>33086</v>
      </c>
      <c r="B45" s="3">
        <v>121.1</v>
      </c>
      <c r="C45" s="3">
        <v>125</v>
      </c>
      <c r="D45" s="3">
        <v>121.3</v>
      </c>
      <c r="E45" s="3">
        <v>123.3</v>
      </c>
      <c r="F45" s="3">
        <v>108.6</v>
      </c>
      <c r="G45" s="3">
        <v>106</v>
      </c>
      <c r="H45" s="3">
        <v>126</v>
      </c>
      <c r="I45" s="3">
        <v>128.9</v>
      </c>
      <c r="J45" s="3">
        <v>118.8</v>
      </c>
      <c r="K45" s="3">
        <v>120.9</v>
      </c>
      <c r="L45" s="3">
        <v>120.1</v>
      </c>
      <c r="M45" s="3">
        <v>132</v>
      </c>
      <c r="N45" s="3">
        <v>113</v>
      </c>
      <c r="O45" s="3">
        <v>122.8</v>
      </c>
      <c r="P45" s="3">
        <v>118.7</v>
      </c>
      <c r="Q45" s="3">
        <v>120.7</v>
      </c>
      <c r="R45" s="3">
        <v>117.5</v>
      </c>
      <c r="S45" s="3">
        <v>123.3</v>
      </c>
      <c r="T45" s="3">
        <v>128.1</v>
      </c>
      <c r="U45" s="3">
        <v>134.9</v>
      </c>
      <c r="V45" s="3">
        <v>90.3</v>
      </c>
      <c r="W45" s="3">
        <v>138.6</v>
      </c>
      <c r="X45" s="3">
        <v>130.1</v>
      </c>
      <c r="Y45" s="3">
        <v>109.2</v>
      </c>
      <c r="Z45" s="3">
        <v>113.1</v>
      </c>
      <c r="AA45" s="3">
        <v>101.1</v>
      </c>
      <c r="AB45" s="3">
        <v>124.6</v>
      </c>
      <c r="AC45" s="3">
        <v>110.2</v>
      </c>
      <c r="AD45" s="3">
        <v>103.2</v>
      </c>
      <c r="AE45" s="3">
        <v>124.5</v>
      </c>
      <c r="AF45" s="3">
        <v>121.4</v>
      </c>
      <c r="AG45" s="3">
        <v>122.8</v>
      </c>
      <c r="AH45" s="3">
        <v>117.4</v>
      </c>
      <c r="AI45" s="3">
        <v>121.2</v>
      </c>
      <c r="AJ45" s="3">
        <v>128.5</v>
      </c>
      <c r="AK45" s="3">
        <v>126.5</v>
      </c>
      <c r="AL45" s="3">
        <v>127.2</v>
      </c>
      <c r="AM45" s="3">
        <v>129.4</v>
      </c>
      <c r="AN45" s="3">
        <v>130.5</v>
      </c>
      <c r="AO45" s="3">
        <v>120.6</v>
      </c>
      <c r="AP45" s="3">
        <v>122.9</v>
      </c>
      <c r="AQ45" s="3">
        <v>126.3</v>
      </c>
      <c r="AR45" s="3">
        <v>120.4</v>
      </c>
      <c r="AS45" s="3">
        <v>115.4</v>
      </c>
      <c r="AT45" s="3">
        <v>113.1</v>
      </c>
      <c r="AU45" s="3">
        <v>140</v>
      </c>
      <c r="AV45" s="3">
        <v>218.5</v>
      </c>
      <c r="AX45" s="3">
        <v>171.8</v>
      </c>
      <c r="AY45" s="3">
        <v>148.4</v>
      </c>
      <c r="AZ45" s="3">
        <v>124.4</v>
      </c>
      <c r="BA45" s="3">
        <v>124.2</v>
      </c>
      <c r="BB45" s="3">
        <v>178.8</v>
      </c>
      <c r="BC45" s="3">
        <v>103.7</v>
      </c>
      <c r="BD45" s="3">
        <v>126.2</v>
      </c>
      <c r="BE45" s="3">
        <v>112.4</v>
      </c>
      <c r="BF45" s="3">
        <v>128.69999999999999</v>
      </c>
      <c r="BG45" s="3">
        <v>117.3</v>
      </c>
      <c r="BH45" s="3">
        <v>116.4</v>
      </c>
      <c r="BI45" s="3">
        <v>105.2</v>
      </c>
      <c r="BJ45" s="3">
        <v>120.4</v>
      </c>
      <c r="BK45" s="3">
        <v>124.6</v>
      </c>
      <c r="BL45" s="3">
        <v>110.2</v>
      </c>
      <c r="BM45" s="3">
        <v>112.6</v>
      </c>
      <c r="BN45" s="3">
        <v>106.2</v>
      </c>
      <c r="BO45" s="3">
        <v>130</v>
      </c>
      <c r="BP45" s="3">
        <v>128.4</v>
      </c>
      <c r="BQ45" s="3">
        <v>113.8</v>
      </c>
      <c r="BR45" s="3">
        <v>107.9</v>
      </c>
      <c r="BS45" s="3">
        <v>116.3</v>
      </c>
      <c r="BT45" s="3">
        <v>118.7</v>
      </c>
      <c r="BU45" s="3">
        <v>117.4</v>
      </c>
      <c r="BV45" s="3">
        <v>108.3</v>
      </c>
      <c r="BW45" s="3">
        <v>126.5</v>
      </c>
      <c r="BX45" s="3">
        <v>137.4</v>
      </c>
      <c r="BY45" s="3">
        <v>119.9</v>
      </c>
      <c r="BZ45" s="3">
        <v>130</v>
      </c>
      <c r="CA45" s="3">
        <v>123.5</v>
      </c>
      <c r="CB45" s="3">
        <v>128.9</v>
      </c>
      <c r="CC45" s="3">
        <v>128.19999999999999</v>
      </c>
      <c r="CD45" s="3">
        <v>126.3</v>
      </c>
      <c r="CE45" s="3">
        <v>120.9</v>
      </c>
      <c r="CF45" s="3">
        <v>89</v>
      </c>
      <c r="CG45" s="3">
        <v>100.5</v>
      </c>
      <c r="CH45" s="3">
        <v>114.5</v>
      </c>
      <c r="CI45" s="3">
        <v>131</v>
      </c>
      <c r="CJ45" s="3">
        <v>124.3</v>
      </c>
      <c r="CK45" s="3">
        <v>109.9</v>
      </c>
      <c r="CL45" s="3">
        <v>134.69999999999999</v>
      </c>
    </row>
    <row r="46" spans="1:90" x14ac:dyDescent="0.25">
      <c r="A46" s="4">
        <v>33117</v>
      </c>
      <c r="B46" s="3">
        <v>121.1</v>
      </c>
      <c r="C46" s="3">
        <v>125.3</v>
      </c>
      <c r="D46" s="3">
        <v>122.3</v>
      </c>
      <c r="E46" s="3">
        <v>123.9</v>
      </c>
      <c r="F46" s="3">
        <v>106.8</v>
      </c>
      <c r="G46" s="3">
        <v>104</v>
      </c>
      <c r="H46" s="3">
        <v>126</v>
      </c>
      <c r="I46" s="3">
        <v>130</v>
      </c>
      <c r="J46" s="3">
        <v>119.6</v>
      </c>
      <c r="K46" s="3">
        <v>120.9</v>
      </c>
      <c r="L46" s="3">
        <v>120.7</v>
      </c>
      <c r="M46" s="3">
        <v>131.69999999999999</v>
      </c>
      <c r="N46" s="3">
        <v>114.2</v>
      </c>
      <c r="O46" s="3">
        <v>120.7</v>
      </c>
      <c r="P46" s="3">
        <v>119.2</v>
      </c>
      <c r="Q46" s="3">
        <v>120.9</v>
      </c>
      <c r="R46" s="3">
        <v>110.9</v>
      </c>
      <c r="S46" s="3">
        <v>125.1</v>
      </c>
      <c r="T46" s="3">
        <v>128.5</v>
      </c>
      <c r="U46" s="3">
        <v>134.80000000000001</v>
      </c>
      <c r="V46" s="3">
        <v>90.3</v>
      </c>
      <c r="W46" s="3">
        <v>138.69999999999999</v>
      </c>
      <c r="X46" s="3">
        <v>131.19999999999999</v>
      </c>
      <c r="Y46" s="3">
        <v>109.4</v>
      </c>
      <c r="Z46" s="3">
        <v>114</v>
      </c>
      <c r="AA46" s="3">
        <v>103.6</v>
      </c>
      <c r="AB46" s="3">
        <v>124.1</v>
      </c>
      <c r="AC46" s="3">
        <v>112.1</v>
      </c>
      <c r="AD46" s="3">
        <v>105.9</v>
      </c>
      <c r="AE46" s="3">
        <v>124.7</v>
      </c>
      <c r="AF46" s="3">
        <v>118.6</v>
      </c>
      <c r="AG46" s="3">
        <v>119.1</v>
      </c>
      <c r="AH46" s="3">
        <v>117.3</v>
      </c>
      <c r="AI46" s="3">
        <v>121.8</v>
      </c>
      <c r="AJ46" s="3">
        <v>129.69999999999999</v>
      </c>
      <c r="AK46" s="3">
        <v>128.80000000000001</v>
      </c>
      <c r="AL46" s="3">
        <v>128.5</v>
      </c>
      <c r="AM46" s="3">
        <v>130.19999999999999</v>
      </c>
      <c r="AN46" s="3">
        <v>131.4</v>
      </c>
      <c r="AO46" s="3">
        <v>120.9</v>
      </c>
      <c r="AP46" s="3">
        <v>123.4</v>
      </c>
      <c r="AQ46" s="3">
        <v>127</v>
      </c>
      <c r="AR46" s="3">
        <v>120.8</v>
      </c>
      <c r="AS46" s="3">
        <v>115.5</v>
      </c>
      <c r="AT46" s="3">
        <v>113.3</v>
      </c>
      <c r="AU46" s="3">
        <v>140.19999999999999</v>
      </c>
      <c r="AV46" s="3">
        <v>220.7</v>
      </c>
      <c r="AX46" s="3">
        <v>171.8</v>
      </c>
      <c r="AY46" s="3">
        <v>148.4</v>
      </c>
      <c r="AZ46" s="3">
        <v>124.9</v>
      </c>
      <c r="BA46" s="3">
        <v>125.3</v>
      </c>
      <c r="BB46" s="3">
        <v>178.4</v>
      </c>
      <c r="BC46" s="3">
        <v>106.2</v>
      </c>
      <c r="BD46" s="3">
        <v>126.2</v>
      </c>
      <c r="BE46" s="3">
        <v>112.4</v>
      </c>
      <c r="BF46" s="3">
        <v>140.30000000000001</v>
      </c>
      <c r="BG46" s="3">
        <v>118.7</v>
      </c>
      <c r="BH46" s="3">
        <v>118.3</v>
      </c>
      <c r="BI46" s="3">
        <v>106.2</v>
      </c>
      <c r="BJ46" s="3">
        <v>120.6</v>
      </c>
      <c r="BK46" s="3">
        <v>125.7</v>
      </c>
      <c r="BL46" s="3">
        <v>110.4</v>
      </c>
      <c r="BM46" s="3">
        <v>112.6</v>
      </c>
      <c r="BN46" s="3">
        <v>111.5</v>
      </c>
      <c r="BO46" s="3">
        <v>131.1</v>
      </c>
      <c r="BP46" s="3">
        <v>128</v>
      </c>
      <c r="BQ46" s="3">
        <v>115.9</v>
      </c>
      <c r="BR46" s="3">
        <v>112.6</v>
      </c>
      <c r="BS46" s="3">
        <v>118</v>
      </c>
      <c r="BT46" s="3">
        <v>120.2</v>
      </c>
      <c r="BU46" s="3">
        <v>118.4</v>
      </c>
      <c r="BV46" s="3">
        <v>109</v>
      </c>
      <c r="BW46" s="3">
        <v>128</v>
      </c>
      <c r="BX46" s="3">
        <v>138</v>
      </c>
      <c r="BY46" s="3">
        <v>119.9</v>
      </c>
      <c r="BZ46" s="3">
        <v>130.80000000000001</v>
      </c>
      <c r="CA46" s="3">
        <v>133.69999999999999</v>
      </c>
      <c r="CB46" s="3">
        <v>128.9</v>
      </c>
      <c r="CC46" s="3">
        <v>128.19999999999999</v>
      </c>
      <c r="CD46" s="3">
        <v>126.5</v>
      </c>
      <c r="CE46" s="3">
        <v>121.2</v>
      </c>
      <c r="CF46" s="3">
        <v>89.2</v>
      </c>
      <c r="CG46" s="3">
        <v>101</v>
      </c>
      <c r="CH46" s="3">
        <v>115</v>
      </c>
      <c r="CI46" s="3">
        <v>131.69999999999999</v>
      </c>
      <c r="CJ46" s="3">
        <v>124.1</v>
      </c>
      <c r="CK46" s="3">
        <v>110</v>
      </c>
      <c r="CL46" s="3">
        <v>139.1</v>
      </c>
    </row>
    <row r="47" spans="1:90" x14ac:dyDescent="0.25">
      <c r="A47" s="4">
        <v>33147</v>
      </c>
      <c r="B47" s="3">
        <v>122.6</v>
      </c>
      <c r="C47" s="3">
        <v>125.3</v>
      </c>
      <c r="D47" s="3">
        <v>123.2</v>
      </c>
      <c r="E47" s="3">
        <v>123.3</v>
      </c>
      <c r="F47" s="3">
        <v>105.7</v>
      </c>
      <c r="G47" s="3">
        <v>102.3</v>
      </c>
      <c r="H47" s="3">
        <v>123</v>
      </c>
      <c r="I47" s="3">
        <v>129.1</v>
      </c>
      <c r="J47" s="3">
        <v>119.2</v>
      </c>
      <c r="K47" s="3">
        <v>121.2</v>
      </c>
      <c r="L47" s="3">
        <v>123.2</v>
      </c>
      <c r="M47" s="3">
        <v>138</v>
      </c>
      <c r="N47" s="3">
        <v>114.4</v>
      </c>
      <c r="O47" s="3">
        <v>121.2</v>
      </c>
      <c r="P47" s="3">
        <v>118.3</v>
      </c>
      <c r="Q47" s="3">
        <v>118.6</v>
      </c>
      <c r="R47" s="3">
        <v>114</v>
      </c>
      <c r="S47" s="3">
        <v>127.5</v>
      </c>
      <c r="T47" s="3">
        <v>130</v>
      </c>
      <c r="U47" s="3">
        <v>136.69999999999999</v>
      </c>
      <c r="V47" s="3">
        <v>89.5</v>
      </c>
      <c r="W47" s="3">
        <v>138.4</v>
      </c>
      <c r="X47" s="3">
        <v>131.80000000000001</v>
      </c>
      <c r="Y47" s="3">
        <v>109.5</v>
      </c>
      <c r="Z47" s="3">
        <v>112.1</v>
      </c>
      <c r="AA47" s="3">
        <v>99.8</v>
      </c>
      <c r="AB47" s="3">
        <v>124</v>
      </c>
      <c r="AC47" s="3">
        <v>114</v>
      </c>
      <c r="AD47" s="3">
        <v>108.6</v>
      </c>
      <c r="AE47" s="3">
        <v>125.2</v>
      </c>
      <c r="AF47" s="3">
        <v>116.1</v>
      </c>
      <c r="AG47" s="3">
        <v>116.8</v>
      </c>
      <c r="AH47" s="3">
        <v>114.6</v>
      </c>
      <c r="AI47" s="3">
        <v>122.1</v>
      </c>
      <c r="AJ47" s="3">
        <v>130.4</v>
      </c>
      <c r="AK47" s="3">
        <v>130.30000000000001</v>
      </c>
      <c r="AL47" s="3">
        <v>129.4</v>
      </c>
      <c r="AM47" s="3">
        <v>131.1</v>
      </c>
      <c r="AN47" s="3">
        <v>132.4</v>
      </c>
      <c r="AO47" s="3">
        <v>121.5</v>
      </c>
      <c r="AP47" s="3">
        <v>123.9</v>
      </c>
      <c r="AQ47" s="3">
        <v>127.6</v>
      </c>
      <c r="AR47" s="3">
        <v>121.2</v>
      </c>
      <c r="AS47" s="3">
        <v>116.7</v>
      </c>
      <c r="AT47" s="3">
        <v>115.2</v>
      </c>
      <c r="AU47" s="3">
        <v>141.1</v>
      </c>
      <c r="AV47" s="3">
        <v>223</v>
      </c>
      <c r="AX47" s="3">
        <v>171.8</v>
      </c>
      <c r="AY47" s="3">
        <v>148.4</v>
      </c>
      <c r="AZ47" s="3">
        <v>126.3</v>
      </c>
      <c r="BA47" s="3">
        <v>125.9</v>
      </c>
      <c r="BB47" s="3">
        <v>178.4</v>
      </c>
      <c r="BC47" s="3">
        <v>107.4</v>
      </c>
      <c r="BD47" s="3">
        <v>126.2</v>
      </c>
      <c r="BE47" s="3">
        <v>112.4</v>
      </c>
      <c r="BF47" s="3">
        <v>184</v>
      </c>
      <c r="BG47" s="3">
        <v>119.2</v>
      </c>
      <c r="BH47" s="3">
        <v>117.9</v>
      </c>
      <c r="BI47" s="3">
        <v>107.1</v>
      </c>
      <c r="BJ47" s="3">
        <v>121.3</v>
      </c>
      <c r="BK47" s="3">
        <v>126.6</v>
      </c>
      <c r="BL47" s="3">
        <v>110.5</v>
      </c>
      <c r="BM47" s="3">
        <v>125.2</v>
      </c>
      <c r="BN47" s="3">
        <v>112.6</v>
      </c>
      <c r="BO47" s="3">
        <v>132.30000000000001</v>
      </c>
      <c r="BP47" s="3">
        <v>128.4</v>
      </c>
      <c r="BQ47" s="3">
        <v>117.6</v>
      </c>
      <c r="BR47" s="3">
        <v>113.6</v>
      </c>
      <c r="BS47" s="3">
        <v>118.7</v>
      </c>
      <c r="BT47" s="3">
        <v>121.2</v>
      </c>
      <c r="BU47" s="3">
        <v>119.8</v>
      </c>
      <c r="BV47" s="3">
        <v>109.4</v>
      </c>
      <c r="BW47" s="3">
        <v>128.9</v>
      </c>
      <c r="BX47" s="3">
        <v>138.5</v>
      </c>
      <c r="BY47" s="3">
        <v>119.9</v>
      </c>
      <c r="BZ47" s="3">
        <v>131.19999999999999</v>
      </c>
      <c r="CA47" s="3">
        <v>136.4</v>
      </c>
      <c r="CB47" s="3">
        <v>131.6</v>
      </c>
      <c r="CC47" s="3">
        <v>129.69999999999999</v>
      </c>
      <c r="CD47" s="3">
        <v>127.8</v>
      </c>
      <c r="CE47" s="3">
        <v>121.6</v>
      </c>
      <c r="CF47" s="3">
        <v>89.6</v>
      </c>
      <c r="CG47" s="3">
        <v>101.6</v>
      </c>
      <c r="CH47" s="3">
        <v>115.2</v>
      </c>
      <c r="CI47" s="3">
        <v>135.6</v>
      </c>
      <c r="CJ47" s="3">
        <v>124.7</v>
      </c>
      <c r="CK47" s="3">
        <v>110.5</v>
      </c>
      <c r="CL47" s="3">
        <v>140.1</v>
      </c>
    </row>
    <row r="48" spans="1:90" x14ac:dyDescent="0.25">
      <c r="A48" s="4">
        <v>33178</v>
      </c>
      <c r="B48" s="3">
        <v>124.1</v>
      </c>
      <c r="C48" s="3">
        <v>125.8</v>
      </c>
      <c r="D48" s="3">
        <v>124.7</v>
      </c>
      <c r="E48" s="3">
        <v>123.6</v>
      </c>
      <c r="F48" s="3">
        <v>108.9</v>
      </c>
      <c r="G48" s="3">
        <v>106.3</v>
      </c>
      <c r="H48" s="3">
        <v>123.1</v>
      </c>
      <c r="I48" s="3">
        <v>128.69999999999999</v>
      </c>
      <c r="J48" s="3">
        <v>118.5</v>
      </c>
      <c r="K48" s="3">
        <v>121.3</v>
      </c>
      <c r="L48" s="3">
        <v>123.5</v>
      </c>
      <c r="M48" s="3">
        <v>137.5</v>
      </c>
      <c r="N48" s="3">
        <v>115.2</v>
      </c>
      <c r="O48" s="3">
        <v>120.7</v>
      </c>
      <c r="P48" s="3">
        <v>120</v>
      </c>
      <c r="Q48" s="3">
        <v>119.4</v>
      </c>
      <c r="R48" s="3">
        <v>110.6</v>
      </c>
      <c r="S48" s="3">
        <v>128.30000000000001</v>
      </c>
      <c r="T48" s="3">
        <v>130</v>
      </c>
      <c r="U48" s="3">
        <v>139.9</v>
      </c>
      <c r="V48" s="3">
        <v>89.9</v>
      </c>
      <c r="W48" s="3">
        <v>137.69999999999999</v>
      </c>
      <c r="X48" s="3">
        <v>132.30000000000001</v>
      </c>
      <c r="Y48" s="3">
        <v>109.7</v>
      </c>
      <c r="Z48" s="3">
        <v>114.2</v>
      </c>
      <c r="AA48" s="3">
        <v>103.4</v>
      </c>
      <c r="AB48" s="3">
        <v>124.5</v>
      </c>
      <c r="AC48" s="3">
        <v>118.5</v>
      </c>
      <c r="AD48" s="3">
        <v>114.5</v>
      </c>
      <c r="AE48" s="3">
        <v>126.8</v>
      </c>
      <c r="AF48" s="3">
        <v>116.9</v>
      </c>
      <c r="AG48" s="3">
        <v>117.7</v>
      </c>
      <c r="AH48" s="3">
        <v>114.8</v>
      </c>
      <c r="AI48" s="3">
        <v>122.9</v>
      </c>
      <c r="AJ48" s="3">
        <v>131.19999999999999</v>
      </c>
      <c r="AK48" s="3">
        <v>130.9</v>
      </c>
      <c r="AL48" s="3">
        <v>130.19999999999999</v>
      </c>
      <c r="AM48" s="3">
        <v>131.5</v>
      </c>
      <c r="AN48" s="3">
        <v>132.9</v>
      </c>
      <c r="AO48" s="3">
        <v>120.9</v>
      </c>
      <c r="AP48" s="3">
        <v>123.6</v>
      </c>
      <c r="AQ48" s="3">
        <v>127.9</v>
      </c>
      <c r="AR48" s="3">
        <v>120.6</v>
      </c>
      <c r="AS48" s="3">
        <v>117.2</v>
      </c>
      <c r="AT48" s="3">
        <v>115.4</v>
      </c>
      <c r="AU48" s="3">
        <v>141.30000000000001</v>
      </c>
      <c r="AV48" s="3">
        <v>215.4</v>
      </c>
      <c r="AX48" s="3">
        <v>171.8</v>
      </c>
      <c r="AY48" s="3">
        <v>148.30000000000001</v>
      </c>
      <c r="AZ48" s="3">
        <v>126.7</v>
      </c>
      <c r="BA48" s="3">
        <v>126.3</v>
      </c>
      <c r="BB48" s="3">
        <v>176.8</v>
      </c>
      <c r="BC48" s="3">
        <v>110.9</v>
      </c>
      <c r="BD48" s="3">
        <v>126.2</v>
      </c>
      <c r="BE48" s="3">
        <v>112.9</v>
      </c>
      <c r="BF48" s="3">
        <v>154.6</v>
      </c>
      <c r="BG48" s="3">
        <v>120</v>
      </c>
      <c r="BH48" s="3">
        <v>119.1</v>
      </c>
      <c r="BI48" s="3">
        <v>107.4</v>
      </c>
      <c r="BJ48" s="3">
        <v>121.7</v>
      </c>
      <c r="BK48" s="3">
        <v>127.8</v>
      </c>
      <c r="BL48" s="3">
        <v>111</v>
      </c>
      <c r="BM48" s="3">
        <v>125.2</v>
      </c>
      <c r="BN48" s="3">
        <v>113.7</v>
      </c>
      <c r="BO48" s="3">
        <v>133.80000000000001</v>
      </c>
      <c r="BP48" s="3">
        <v>128.5</v>
      </c>
      <c r="BQ48" s="3">
        <v>118.4</v>
      </c>
      <c r="BR48" s="3">
        <v>114.3</v>
      </c>
      <c r="BS48" s="3">
        <v>119.7</v>
      </c>
      <c r="BT48" s="3">
        <v>123.3</v>
      </c>
      <c r="BU48" s="3">
        <v>120.7</v>
      </c>
      <c r="BV48" s="3">
        <v>109.3</v>
      </c>
      <c r="BW48" s="3">
        <v>129.9</v>
      </c>
      <c r="BX48" s="3">
        <v>138.9</v>
      </c>
      <c r="BY48" s="3">
        <v>119.3</v>
      </c>
      <c r="BZ48" s="3">
        <v>132.4</v>
      </c>
      <c r="CA48" s="3">
        <v>128.80000000000001</v>
      </c>
      <c r="CB48" s="3">
        <v>131.6</v>
      </c>
      <c r="CC48" s="3">
        <v>129.69999999999999</v>
      </c>
      <c r="CD48" s="3">
        <v>127.6</v>
      </c>
      <c r="CE48" s="3">
        <v>122</v>
      </c>
      <c r="CF48" s="3">
        <v>89.6</v>
      </c>
      <c r="CG48" s="3">
        <v>102.4</v>
      </c>
      <c r="CH48" s="3">
        <v>115.3</v>
      </c>
      <c r="CI48" s="3">
        <v>137.4</v>
      </c>
      <c r="CJ48" s="3">
        <v>125.4</v>
      </c>
      <c r="CK48" s="3">
        <v>110.5</v>
      </c>
      <c r="CL48" s="3">
        <v>141.19999999999999</v>
      </c>
    </row>
    <row r="49" spans="1:90" x14ac:dyDescent="0.25">
      <c r="A49" s="4">
        <v>33208</v>
      </c>
      <c r="B49" s="3">
        <v>124.6</v>
      </c>
      <c r="C49" s="3">
        <v>126.8</v>
      </c>
      <c r="D49" s="3">
        <v>125.7</v>
      </c>
      <c r="E49" s="3">
        <v>124.1</v>
      </c>
      <c r="F49" s="3">
        <v>110.2</v>
      </c>
      <c r="G49" s="3">
        <v>107.5</v>
      </c>
      <c r="H49" s="3">
        <v>121.8</v>
      </c>
      <c r="I49" s="3">
        <v>127.8</v>
      </c>
      <c r="J49" s="3">
        <v>116.7</v>
      </c>
      <c r="K49" s="3">
        <v>122.1</v>
      </c>
      <c r="L49" s="3">
        <v>123.2</v>
      </c>
      <c r="M49" s="3">
        <v>138.69999999999999</v>
      </c>
      <c r="N49" s="3">
        <v>113.9</v>
      </c>
      <c r="O49" s="3">
        <v>120.2</v>
      </c>
      <c r="P49" s="3">
        <v>120.4</v>
      </c>
      <c r="Q49" s="3">
        <v>119.1</v>
      </c>
      <c r="R49" s="3">
        <v>114.6</v>
      </c>
      <c r="S49" s="3">
        <v>128.80000000000001</v>
      </c>
      <c r="T49" s="3">
        <v>132.6</v>
      </c>
      <c r="U49" s="3">
        <v>140.5</v>
      </c>
      <c r="V49" s="3">
        <v>89.8</v>
      </c>
      <c r="W49" s="3">
        <v>136.9</v>
      </c>
      <c r="X49" s="3">
        <v>132.69999999999999</v>
      </c>
      <c r="Y49" s="3">
        <v>109.8</v>
      </c>
      <c r="Z49" s="3">
        <v>117.2</v>
      </c>
      <c r="AA49" s="3">
        <v>110.1</v>
      </c>
      <c r="AB49" s="3">
        <v>124.2</v>
      </c>
      <c r="AC49" s="3">
        <v>123.1</v>
      </c>
      <c r="AD49" s="3">
        <v>121.3</v>
      </c>
      <c r="AE49" s="3">
        <v>126.8</v>
      </c>
      <c r="AF49" s="3">
        <v>120</v>
      </c>
      <c r="AG49" s="3">
        <v>121.6</v>
      </c>
      <c r="AH49" s="3">
        <v>115.2</v>
      </c>
      <c r="AI49" s="3">
        <v>123.2</v>
      </c>
      <c r="AJ49" s="3">
        <v>131.80000000000001</v>
      </c>
      <c r="AK49" s="3">
        <v>131.6</v>
      </c>
      <c r="AL49" s="3">
        <v>130.69999999999999</v>
      </c>
      <c r="AM49" s="3">
        <v>132.19999999999999</v>
      </c>
      <c r="AN49" s="3">
        <v>133.9</v>
      </c>
      <c r="AO49" s="3">
        <v>119.9</v>
      </c>
      <c r="AP49" s="3">
        <v>123.4</v>
      </c>
      <c r="AQ49" s="3">
        <v>128.80000000000001</v>
      </c>
      <c r="AR49" s="3">
        <v>119.4</v>
      </c>
      <c r="AS49" s="3">
        <v>117.9</v>
      </c>
      <c r="AT49" s="3">
        <v>116.1</v>
      </c>
      <c r="AU49" s="3">
        <v>141.9</v>
      </c>
      <c r="AV49" s="3">
        <v>214.2</v>
      </c>
      <c r="AX49" s="3">
        <v>171.8</v>
      </c>
      <c r="AY49" s="3">
        <v>148.30000000000001</v>
      </c>
      <c r="AZ49" s="3">
        <v>127.7</v>
      </c>
      <c r="BA49" s="3">
        <v>126.7</v>
      </c>
      <c r="BB49" s="3">
        <v>177.1</v>
      </c>
      <c r="BC49" s="3">
        <v>111.6</v>
      </c>
      <c r="BD49" s="3">
        <v>126.2</v>
      </c>
      <c r="BE49" s="3">
        <v>114</v>
      </c>
      <c r="BF49" s="3">
        <v>140.5</v>
      </c>
      <c r="BG49" s="3">
        <v>120.5</v>
      </c>
      <c r="BH49" s="3">
        <v>119.7</v>
      </c>
      <c r="BI49" s="3">
        <v>107.9</v>
      </c>
      <c r="BJ49" s="3">
        <v>122.7</v>
      </c>
      <c r="BK49" s="3">
        <v>128.19999999999999</v>
      </c>
      <c r="BL49" s="3">
        <v>111.3</v>
      </c>
      <c r="BM49" s="3">
        <v>125.2</v>
      </c>
      <c r="BN49" s="3">
        <v>113.9</v>
      </c>
      <c r="BO49" s="3">
        <v>134.4</v>
      </c>
      <c r="BP49" s="3">
        <v>128.1</v>
      </c>
      <c r="BQ49" s="3">
        <v>118</v>
      </c>
      <c r="BR49" s="3">
        <v>114.2</v>
      </c>
      <c r="BS49" s="3">
        <v>119.5</v>
      </c>
      <c r="BT49" s="3">
        <v>123.5</v>
      </c>
      <c r="BU49" s="3">
        <v>121.1</v>
      </c>
      <c r="BV49" s="3">
        <v>109</v>
      </c>
      <c r="BW49" s="3">
        <v>130.30000000000001</v>
      </c>
      <c r="BX49" s="3">
        <v>139.30000000000001</v>
      </c>
      <c r="BY49" s="3">
        <v>118</v>
      </c>
      <c r="BZ49" s="3">
        <v>132.69999999999999</v>
      </c>
      <c r="CA49" s="3">
        <v>121.8</v>
      </c>
      <c r="CB49" s="3">
        <v>131.6</v>
      </c>
      <c r="CC49" s="3">
        <v>129.69999999999999</v>
      </c>
      <c r="CD49" s="3">
        <v>127.9</v>
      </c>
      <c r="CE49" s="3">
        <v>122</v>
      </c>
      <c r="CF49" s="3">
        <v>89.3</v>
      </c>
      <c r="CG49" s="3">
        <v>103.1</v>
      </c>
      <c r="CH49" s="3">
        <v>115.5</v>
      </c>
      <c r="CI49" s="3">
        <v>137.5</v>
      </c>
      <c r="CJ49" s="3">
        <v>126.1</v>
      </c>
      <c r="CK49" s="3">
        <v>110.7</v>
      </c>
      <c r="CL49" s="3">
        <v>141.69999999999999</v>
      </c>
    </row>
    <row r="50" spans="1:90" x14ac:dyDescent="0.25">
      <c r="A50" s="4">
        <v>33239</v>
      </c>
      <c r="B50" s="3">
        <v>130.1</v>
      </c>
      <c r="C50" s="3">
        <v>127.7</v>
      </c>
      <c r="D50" s="3">
        <v>125.7</v>
      </c>
      <c r="E50" s="3">
        <v>124.7</v>
      </c>
      <c r="F50" s="3">
        <v>111.5</v>
      </c>
      <c r="G50" s="3">
        <v>110.7</v>
      </c>
      <c r="H50" s="3">
        <v>118.3</v>
      </c>
      <c r="I50" s="3">
        <v>127.5</v>
      </c>
      <c r="J50" s="3">
        <v>117.1</v>
      </c>
      <c r="K50" s="3">
        <v>122.5</v>
      </c>
      <c r="L50" s="3">
        <v>124.5</v>
      </c>
      <c r="M50" s="3">
        <v>139.9</v>
      </c>
      <c r="N50" s="3">
        <v>115.4</v>
      </c>
      <c r="O50" s="3">
        <v>120</v>
      </c>
      <c r="P50" s="3">
        <v>121.3</v>
      </c>
      <c r="Q50" s="3">
        <v>120.1</v>
      </c>
      <c r="R50" s="3">
        <v>112.8</v>
      </c>
      <c r="S50" s="3">
        <v>129.9</v>
      </c>
      <c r="T50" s="3">
        <v>133.9</v>
      </c>
      <c r="U50" s="3">
        <v>141.69999999999999</v>
      </c>
      <c r="V50" s="3">
        <v>89.8</v>
      </c>
      <c r="W50" s="3">
        <v>134.6</v>
      </c>
      <c r="X50" s="3">
        <v>134.5</v>
      </c>
      <c r="Y50" s="3">
        <v>110.7</v>
      </c>
      <c r="Z50" s="3">
        <v>118.2</v>
      </c>
      <c r="AA50" s="3">
        <v>112.8</v>
      </c>
      <c r="AB50" s="3">
        <v>123.7</v>
      </c>
      <c r="AC50" s="3">
        <v>124.4</v>
      </c>
      <c r="AD50" s="3">
        <v>123.1</v>
      </c>
      <c r="AE50" s="3">
        <v>127.3</v>
      </c>
      <c r="AF50" s="3">
        <v>122.7</v>
      </c>
      <c r="AG50" s="3">
        <v>124.6</v>
      </c>
      <c r="AH50" s="3">
        <v>117.1</v>
      </c>
      <c r="AI50" s="3">
        <v>124</v>
      </c>
      <c r="AJ50" s="3">
        <v>132.30000000000001</v>
      </c>
      <c r="AK50" s="3">
        <v>132.9</v>
      </c>
      <c r="AL50" s="3">
        <v>131.80000000000001</v>
      </c>
      <c r="AM50" s="3">
        <v>133</v>
      </c>
      <c r="AN50" s="3">
        <v>134.6</v>
      </c>
      <c r="AO50" s="3">
        <v>121.6</v>
      </c>
      <c r="AP50" s="3">
        <v>124.9</v>
      </c>
      <c r="AQ50" s="3">
        <v>129.69999999999999</v>
      </c>
      <c r="AR50" s="3">
        <v>121.4</v>
      </c>
      <c r="AS50" s="3">
        <v>118.4</v>
      </c>
      <c r="AT50" s="3">
        <v>116.9</v>
      </c>
      <c r="AU50" s="3">
        <v>142.30000000000001</v>
      </c>
      <c r="AV50" s="3">
        <v>216.2</v>
      </c>
      <c r="AX50" s="3">
        <v>171.8</v>
      </c>
      <c r="AY50" s="3">
        <v>148.30000000000001</v>
      </c>
      <c r="AZ50" s="3">
        <v>129.5</v>
      </c>
      <c r="BA50" s="3">
        <v>128.9</v>
      </c>
      <c r="BB50" s="3">
        <v>178.2</v>
      </c>
      <c r="BC50" s="3">
        <v>112.5</v>
      </c>
      <c r="BD50" s="3">
        <v>126.2</v>
      </c>
      <c r="BE50" s="3">
        <v>115.3</v>
      </c>
      <c r="BF50" s="3">
        <v>148.80000000000001</v>
      </c>
      <c r="BG50" s="3">
        <v>117.3</v>
      </c>
      <c r="BH50" s="3">
        <v>115.9</v>
      </c>
      <c r="BI50" s="3">
        <v>104.7</v>
      </c>
      <c r="BJ50" s="3">
        <v>120.7</v>
      </c>
      <c r="BK50" s="3">
        <v>129.4</v>
      </c>
      <c r="BL50" s="3">
        <v>111.6</v>
      </c>
      <c r="BM50" s="3">
        <v>125.2</v>
      </c>
      <c r="BN50" s="3">
        <v>114</v>
      </c>
      <c r="BO50" s="3">
        <v>136.30000000000001</v>
      </c>
      <c r="BP50" s="3">
        <v>131.19999999999999</v>
      </c>
      <c r="BQ50" s="3">
        <v>114.6</v>
      </c>
      <c r="BR50" s="3">
        <v>106.7</v>
      </c>
      <c r="BS50" s="3">
        <v>114.7</v>
      </c>
      <c r="BT50" s="3">
        <v>121.6</v>
      </c>
      <c r="BU50" s="3">
        <v>119.5</v>
      </c>
      <c r="BV50" s="3">
        <v>108.5</v>
      </c>
      <c r="BW50" s="3">
        <v>130.6</v>
      </c>
      <c r="BX50" s="3">
        <v>143.9</v>
      </c>
      <c r="BY50" s="3">
        <v>116.7</v>
      </c>
      <c r="BZ50" s="3">
        <v>135</v>
      </c>
      <c r="CA50" s="3">
        <v>120.1</v>
      </c>
      <c r="CB50" s="3">
        <v>135.80000000000001</v>
      </c>
      <c r="CC50" s="3">
        <v>140.30000000000001</v>
      </c>
      <c r="CD50" s="3">
        <v>132.6</v>
      </c>
      <c r="CE50" s="3">
        <v>122.1</v>
      </c>
      <c r="CF50" s="3">
        <v>86.9</v>
      </c>
      <c r="CG50" s="3">
        <v>104.1</v>
      </c>
      <c r="CH50" s="3">
        <v>114.9</v>
      </c>
      <c r="CI50" s="3">
        <v>138.4</v>
      </c>
      <c r="CJ50" s="3">
        <v>127.8</v>
      </c>
      <c r="CK50" s="3">
        <v>111.3</v>
      </c>
      <c r="CL50" s="3">
        <v>143.19999999999999</v>
      </c>
    </row>
    <row r="51" spans="1:90" x14ac:dyDescent="0.25">
      <c r="A51" s="4">
        <v>33270</v>
      </c>
      <c r="B51" s="3">
        <v>130.6</v>
      </c>
      <c r="C51" s="3">
        <v>128.4</v>
      </c>
      <c r="D51" s="3">
        <v>126</v>
      </c>
      <c r="E51" s="3">
        <v>125.2</v>
      </c>
      <c r="F51" s="3">
        <v>110.4</v>
      </c>
      <c r="G51" s="3">
        <v>109.1</v>
      </c>
      <c r="H51" s="3">
        <v>122</v>
      </c>
      <c r="I51" s="3">
        <v>124.3</v>
      </c>
      <c r="J51" s="3">
        <v>116.4</v>
      </c>
      <c r="K51" s="3">
        <v>122.3</v>
      </c>
      <c r="L51" s="3">
        <v>124</v>
      </c>
      <c r="M51" s="3">
        <v>137.5</v>
      </c>
      <c r="N51" s="3">
        <v>115.6</v>
      </c>
      <c r="O51" s="3">
        <v>119.4</v>
      </c>
      <c r="P51" s="3">
        <v>122.3</v>
      </c>
      <c r="Q51" s="3">
        <v>120.2</v>
      </c>
      <c r="R51" s="3">
        <v>115.3</v>
      </c>
      <c r="S51" s="3">
        <v>130.1</v>
      </c>
      <c r="T51" s="3">
        <v>134.5</v>
      </c>
      <c r="U51" s="3">
        <v>141.80000000000001</v>
      </c>
      <c r="V51" s="3">
        <v>89.8</v>
      </c>
      <c r="W51" s="3">
        <v>138</v>
      </c>
      <c r="X51" s="3">
        <v>135.19999999999999</v>
      </c>
      <c r="Y51" s="3">
        <v>111.2</v>
      </c>
      <c r="Z51" s="3">
        <v>120.3</v>
      </c>
      <c r="AA51" s="3">
        <v>116.7</v>
      </c>
      <c r="AB51" s="3">
        <v>123.7</v>
      </c>
      <c r="AC51" s="3">
        <v>133.1</v>
      </c>
      <c r="AD51" s="3">
        <v>135.6</v>
      </c>
      <c r="AE51" s="3">
        <v>128.19999999999999</v>
      </c>
      <c r="AF51" s="3">
        <v>124</v>
      </c>
      <c r="AG51" s="3">
        <v>125.3</v>
      </c>
      <c r="AH51" s="3">
        <v>120.2</v>
      </c>
      <c r="AI51" s="3">
        <v>127</v>
      </c>
      <c r="AJ51" s="3">
        <v>132.80000000000001</v>
      </c>
      <c r="AK51" s="3">
        <v>133.4</v>
      </c>
      <c r="AL51" s="3">
        <v>132.6</v>
      </c>
      <c r="AM51" s="3">
        <v>133.9</v>
      </c>
      <c r="AN51" s="3">
        <v>135.1</v>
      </c>
      <c r="AO51" s="3">
        <v>124.9</v>
      </c>
      <c r="AP51" s="3">
        <v>126.4</v>
      </c>
      <c r="AQ51" s="3">
        <v>130.69999999999999</v>
      </c>
      <c r="AR51" s="3">
        <v>123.3</v>
      </c>
      <c r="AS51" s="3">
        <v>118.5</v>
      </c>
      <c r="AT51" s="3">
        <v>117.2</v>
      </c>
      <c r="AU51" s="3">
        <v>142.5</v>
      </c>
      <c r="AV51" s="3">
        <v>218</v>
      </c>
      <c r="AX51" s="3">
        <v>171.8</v>
      </c>
      <c r="AY51" s="3">
        <v>148.30000000000001</v>
      </c>
      <c r="AZ51" s="3">
        <v>129.69999999999999</v>
      </c>
      <c r="BA51" s="3">
        <v>130.9</v>
      </c>
      <c r="BB51" s="3">
        <v>178</v>
      </c>
      <c r="BC51" s="3">
        <v>112.6</v>
      </c>
      <c r="BD51" s="3">
        <v>126.2</v>
      </c>
      <c r="BE51" s="3">
        <v>115.8</v>
      </c>
      <c r="BF51" s="3">
        <v>145.19999999999999</v>
      </c>
      <c r="BG51" s="3">
        <v>120</v>
      </c>
      <c r="BH51" s="3">
        <v>117.6</v>
      </c>
      <c r="BI51" s="3">
        <v>105.3</v>
      </c>
      <c r="BJ51" s="3">
        <v>123</v>
      </c>
      <c r="BK51" s="3">
        <v>130</v>
      </c>
      <c r="BL51" s="3">
        <v>112.5</v>
      </c>
      <c r="BM51" s="3">
        <v>125.2</v>
      </c>
      <c r="BN51" s="3">
        <v>114.2</v>
      </c>
      <c r="BO51" s="3">
        <v>137</v>
      </c>
      <c r="BP51" s="3">
        <v>130.9</v>
      </c>
      <c r="BQ51" s="3">
        <v>116.2</v>
      </c>
      <c r="BR51" s="3">
        <v>106.6</v>
      </c>
      <c r="BS51" s="3">
        <v>115.7</v>
      </c>
      <c r="BT51" s="3">
        <v>123.8</v>
      </c>
      <c r="BU51" s="3">
        <v>120.4</v>
      </c>
      <c r="BV51" s="3">
        <v>109.4</v>
      </c>
      <c r="BW51" s="3">
        <v>132.30000000000001</v>
      </c>
      <c r="BX51" s="3">
        <v>144.6</v>
      </c>
      <c r="BY51" s="3">
        <v>117.9</v>
      </c>
      <c r="BZ51" s="3">
        <v>136.5</v>
      </c>
      <c r="CA51" s="3">
        <v>116.4</v>
      </c>
      <c r="CB51" s="3">
        <v>135.80000000000001</v>
      </c>
      <c r="CC51" s="3">
        <v>140.30000000000001</v>
      </c>
      <c r="CD51" s="3">
        <v>137.69999999999999</v>
      </c>
      <c r="CE51" s="3">
        <v>122.5</v>
      </c>
      <c r="CF51" s="3">
        <v>87</v>
      </c>
      <c r="CG51" s="3">
        <v>104.5</v>
      </c>
      <c r="CH51" s="3">
        <v>116.2</v>
      </c>
      <c r="CI51" s="3">
        <v>139.5</v>
      </c>
      <c r="CJ51" s="3">
        <v>128.69999999999999</v>
      </c>
      <c r="CK51" s="3">
        <v>111.4</v>
      </c>
      <c r="CL51" s="3">
        <v>143.19999999999999</v>
      </c>
    </row>
    <row r="52" spans="1:90" x14ac:dyDescent="0.25">
      <c r="A52" s="4">
        <v>33298</v>
      </c>
      <c r="B52" s="3">
        <v>130.6</v>
      </c>
      <c r="C52" s="3">
        <v>130.19999999999999</v>
      </c>
      <c r="D52" s="3">
        <v>127.3</v>
      </c>
      <c r="E52" s="3">
        <v>124.8</v>
      </c>
      <c r="F52" s="3">
        <v>111.7</v>
      </c>
      <c r="G52" s="3">
        <v>112.4</v>
      </c>
      <c r="H52" s="3">
        <v>119.4</v>
      </c>
      <c r="I52" s="3">
        <v>127.5</v>
      </c>
      <c r="J52" s="3">
        <v>116.3</v>
      </c>
      <c r="K52" s="3">
        <v>121.8</v>
      </c>
      <c r="L52" s="3">
        <v>124</v>
      </c>
      <c r="M52" s="3">
        <v>137.6</v>
      </c>
      <c r="N52" s="3">
        <v>115.6</v>
      </c>
      <c r="O52" s="3">
        <v>119.3</v>
      </c>
      <c r="P52" s="3">
        <v>121.9</v>
      </c>
      <c r="Q52" s="3">
        <v>120</v>
      </c>
      <c r="R52" s="3">
        <v>114.6</v>
      </c>
      <c r="S52" s="3">
        <v>130.6</v>
      </c>
      <c r="T52" s="3">
        <v>132.19999999999999</v>
      </c>
      <c r="U52" s="3">
        <v>142.30000000000001</v>
      </c>
      <c r="V52" s="3">
        <v>89.7</v>
      </c>
      <c r="W52" s="3">
        <v>139</v>
      </c>
      <c r="X52" s="3">
        <v>135.6</v>
      </c>
      <c r="Y52" s="3">
        <v>111.4</v>
      </c>
      <c r="Z52" s="3">
        <v>122.5</v>
      </c>
      <c r="AA52" s="3">
        <v>120.8</v>
      </c>
      <c r="AB52" s="3">
        <v>123.7</v>
      </c>
      <c r="AC52" s="3">
        <v>129.4</v>
      </c>
      <c r="AD52" s="3">
        <v>129.30000000000001</v>
      </c>
      <c r="AE52" s="3">
        <v>129.69999999999999</v>
      </c>
      <c r="AF52" s="3">
        <v>123.3</v>
      </c>
      <c r="AG52" s="3">
        <v>124.2</v>
      </c>
      <c r="AH52" s="3">
        <v>121.1</v>
      </c>
      <c r="AI52" s="3">
        <v>128.30000000000001</v>
      </c>
      <c r="AJ52" s="3">
        <v>133.4</v>
      </c>
      <c r="AK52" s="3">
        <v>133.9</v>
      </c>
      <c r="AL52" s="3">
        <v>132.80000000000001</v>
      </c>
      <c r="AM52" s="3">
        <v>134.6</v>
      </c>
      <c r="AN52" s="3">
        <v>135.5</v>
      </c>
      <c r="AO52" s="3">
        <v>126.9</v>
      </c>
      <c r="AP52" s="3">
        <v>127.2</v>
      </c>
      <c r="AQ52" s="3">
        <v>131.4</v>
      </c>
      <c r="AR52" s="3">
        <v>124.1</v>
      </c>
      <c r="AS52" s="3">
        <v>118.5</v>
      </c>
      <c r="AT52" s="3">
        <v>117.3</v>
      </c>
      <c r="AU52" s="3">
        <v>142.6</v>
      </c>
      <c r="AV52" s="3">
        <v>220</v>
      </c>
      <c r="AX52" s="3">
        <v>171.8</v>
      </c>
      <c r="AY52" s="3">
        <v>148.30000000000001</v>
      </c>
      <c r="AZ52" s="3">
        <v>130.1</v>
      </c>
      <c r="BA52" s="3">
        <v>132.19999999999999</v>
      </c>
      <c r="BB52" s="3">
        <v>178.6</v>
      </c>
      <c r="BC52" s="3">
        <v>112.7</v>
      </c>
      <c r="BD52" s="3">
        <v>126.2</v>
      </c>
      <c r="BE52" s="3">
        <v>115.8</v>
      </c>
      <c r="BF52" s="3">
        <v>119</v>
      </c>
      <c r="BG52" s="3">
        <v>121</v>
      </c>
      <c r="BH52" s="3">
        <v>119.2</v>
      </c>
      <c r="BI52" s="3">
        <v>107.4</v>
      </c>
      <c r="BJ52" s="3">
        <v>124.1</v>
      </c>
      <c r="BK52" s="3">
        <v>130.4</v>
      </c>
      <c r="BL52" s="3">
        <v>113.9</v>
      </c>
      <c r="BM52" s="3">
        <v>125.2</v>
      </c>
      <c r="BN52" s="3">
        <v>114.2</v>
      </c>
      <c r="BO52" s="3">
        <v>138.69999999999999</v>
      </c>
      <c r="BP52" s="3">
        <v>131.4</v>
      </c>
      <c r="BQ52" s="3">
        <v>119.1</v>
      </c>
      <c r="BR52" s="3">
        <v>107.8</v>
      </c>
      <c r="BS52" s="3">
        <v>117.5</v>
      </c>
      <c r="BT52" s="3">
        <v>125.4</v>
      </c>
      <c r="BU52" s="3">
        <v>121.1</v>
      </c>
      <c r="BV52" s="3">
        <v>109.9</v>
      </c>
      <c r="BW52" s="3">
        <v>133</v>
      </c>
      <c r="BX52" s="3">
        <v>144.80000000000001</v>
      </c>
      <c r="BY52" s="3">
        <v>118.7</v>
      </c>
      <c r="BZ52" s="3">
        <v>138.19999999999999</v>
      </c>
      <c r="CA52" s="3">
        <v>117.4</v>
      </c>
      <c r="CB52" s="3">
        <v>135.80000000000001</v>
      </c>
      <c r="CC52" s="3">
        <v>140.30000000000001</v>
      </c>
      <c r="CD52" s="3">
        <v>139.80000000000001</v>
      </c>
      <c r="CE52" s="3">
        <v>122.5</v>
      </c>
      <c r="CF52" s="3">
        <v>87.2</v>
      </c>
      <c r="CG52" s="3">
        <v>104.4</v>
      </c>
      <c r="CH52" s="3">
        <v>116.5</v>
      </c>
      <c r="CI52" s="3">
        <v>137</v>
      </c>
      <c r="CJ52" s="3">
        <v>130.1</v>
      </c>
      <c r="CK52" s="3">
        <v>111.4</v>
      </c>
      <c r="CL52" s="3">
        <v>143.30000000000001</v>
      </c>
    </row>
    <row r="53" spans="1:90" x14ac:dyDescent="0.25">
      <c r="A53" s="4">
        <v>33329</v>
      </c>
      <c r="B53" s="3">
        <v>130.6</v>
      </c>
      <c r="C53" s="3">
        <v>130.9</v>
      </c>
      <c r="D53" s="3">
        <v>128.69999999999999</v>
      </c>
      <c r="E53" s="3">
        <v>125.6</v>
      </c>
      <c r="F53" s="3">
        <v>116.4</v>
      </c>
      <c r="G53" s="3">
        <v>118.3</v>
      </c>
      <c r="H53" s="3">
        <v>123.4</v>
      </c>
      <c r="I53" s="3">
        <v>127.1</v>
      </c>
      <c r="J53" s="3">
        <v>116.8</v>
      </c>
      <c r="K53" s="3">
        <v>122.9</v>
      </c>
      <c r="L53" s="3">
        <v>125.8</v>
      </c>
      <c r="M53" s="3">
        <v>141</v>
      </c>
      <c r="N53" s="3">
        <v>116.6</v>
      </c>
      <c r="O53" s="3">
        <v>119.5</v>
      </c>
      <c r="P53" s="3">
        <v>122.8</v>
      </c>
      <c r="Q53" s="3">
        <v>121</v>
      </c>
      <c r="R53" s="3">
        <v>113</v>
      </c>
      <c r="S53" s="3">
        <v>131.9</v>
      </c>
      <c r="T53" s="3">
        <v>134.5</v>
      </c>
      <c r="U53" s="3">
        <v>143.1</v>
      </c>
      <c r="V53" s="3">
        <v>90</v>
      </c>
      <c r="W53" s="3">
        <v>142.19999999999999</v>
      </c>
      <c r="X53" s="3">
        <v>136.1</v>
      </c>
      <c r="Y53" s="3">
        <v>114.7</v>
      </c>
      <c r="Z53" s="3">
        <v>125.5</v>
      </c>
      <c r="AA53" s="3">
        <v>124.8</v>
      </c>
      <c r="AB53" s="3">
        <v>125.7</v>
      </c>
      <c r="AC53" s="3">
        <v>128.1</v>
      </c>
      <c r="AD53" s="3">
        <v>126.9</v>
      </c>
      <c r="AE53" s="3">
        <v>130.80000000000001</v>
      </c>
      <c r="AF53" s="3">
        <v>126</v>
      </c>
      <c r="AG53" s="3">
        <v>127.1</v>
      </c>
      <c r="AH53" s="3">
        <v>122.8</v>
      </c>
      <c r="AI53" s="3">
        <v>129.5</v>
      </c>
      <c r="AJ53" s="3">
        <v>137.69999999999999</v>
      </c>
      <c r="AK53" s="3">
        <v>139.5</v>
      </c>
      <c r="AL53" s="3">
        <v>137.5</v>
      </c>
      <c r="AM53" s="3">
        <v>142</v>
      </c>
      <c r="AN53" s="3">
        <v>143.19999999999999</v>
      </c>
      <c r="AO53" s="3">
        <v>132.4</v>
      </c>
      <c r="AP53" s="3">
        <v>135.4</v>
      </c>
      <c r="AQ53" s="3">
        <v>139.80000000000001</v>
      </c>
      <c r="AR53" s="3">
        <v>132.19999999999999</v>
      </c>
      <c r="AS53" s="3">
        <v>132.69999999999999</v>
      </c>
      <c r="AT53" s="3">
        <v>128.1</v>
      </c>
      <c r="AU53" s="3">
        <v>155.4</v>
      </c>
      <c r="AV53" s="3">
        <v>211.1</v>
      </c>
      <c r="AX53" s="3">
        <v>121.3</v>
      </c>
      <c r="AY53" s="3">
        <v>174.1</v>
      </c>
      <c r="AZ53" s="3">
        <v>133.9</v>
      </c>
      <c r="BA53" s="3">
        <v>134.19999999999999</v>
      </c>
      <c r="BB53" s="3">
        <v>189.2</v>
      </c>
      <c r="BC53" s="3">
        <v>112.9</v>
      </c>
      <c r="BD53" s="3">
        <v>128.6</v>
      </c>
      <c r="BE53" s="3">
        <v>116.5</v>
      </c>
      <c r="BF53" s="3">
        <v>113.1</v>
      </c>
      <c r="BG53" s="3">
        <v>121.3</v>
      </c>
      <c r="BH53" s="3">
        <v>121.3</v>
      </c>
      <c r="BI53" s="3">
        <v>111.2</v>
      </c>
      <c r="BJ53" s="3">
        <v>126.9</v>
      </c>
      <c r="BK53" s="3">
        <v>132.6</v>
      </c>
      <c r="BL53" s="3">
        <v>116.6</v>
      </c>
      <c r="BM53" s="3">
        <v>125.2</v>
      </c>
      <c r="BN53" s="3">
        <v>116.9</v>
      </c>
      <c r="BO53" s="3">
        <v>141.4</v>
      </c>
      <c r="BP53" s="3">
        <v>133.69999999999999</v>
      </c>
      <c r="BQ53" s="3">
        <v>119.6</v>
      </c>
      <c r="BR53" s="3">
        <v>112.4</v>
      </c>
      <c r="BS53" s="3">
        <v>119.9</v>
      </c>
      <c r="BT53" s="3">
        <v>126.7</v>
      </c>
      <c r="BU53" s="3">
        <v>123.3</v>
      </c>
      <c r="BV53" s="3">
        <v>111</v>
      </c>
      <c r="BW53" s="3">
        <v>136.6</v>
      </c>
      <c r="BX53" s="3">
        <v>149.19999999999999</v>
      </c>
      <c r="BY53" s="3">
        <v>119.9</v>
      </c>
      <c r="BZ53" s="3">
        <v>141.1</v>
      </c>
      <c r="CA53" s="3">
        <v>129.9</v>
      </c>
      <c r="CB53" s="3">
        <v>139.1</v>
      </c>
      <c r="CC53" s="3">
        <v>140.30000000000001</v>
      </c>
      <c r="CD53" s="3">
        <v>140.6</v>
      </c>
      <c r="CE53" s="3">
        <v>124</v>
      </c>
      <c r="CF53" s="3">
        <v>88.5</v>
      </c>
      <c r="CG53" s="3">
        <v>106.5</v>
      </c>
      <c r="CH53" s="3">
        <v>118.2</v>
      </c>
      <c r="CI53" s="3">
        <v>140</v>
      </c>
      <c r="CJ53" s="3">
        <v>131.6</v>
      </c>
      <c r="CK53" s="3">
        <v>118.4</v>
      </c>
      <c r="CL53" s="3">
        <v>150.5</v>
      </c>
    </row>
    <row r="54" spans="1:90" x14ac:dyDescent="0.25">
      <c r="A54" s="4">
        <v>33359</v>
      </c>
      <c r="B54" s="3">
        <v>129.80000000000001</v>
      </c>
      <c r="C54" s="3">
        <v>130.69999999999999</v>
      </c>
      <c r="D54" s="3">
        <v>129.19999999999999</v>
      </c>
      <c r="E54" s="3">
        <v>125.4</v>
      </c>
      <c r="F54" s="3">
        <v>123.2</v>
      </c>
      <c r="G54" s="3">
        <v>131.1</v>
      </c>
      <c r="H54" s="3">
        <v>127</v>
      </c>
      <c r="I54" s="3">
        <v>127.2</v>
      </c>
      <c r="J54" s="3">
        <v>112</v>
      </c>
      <c r="K54" s="3">
        <v>123.3</v>
      </c>
      <c r="L54" s="3">
        <v>124.6</v>
      </c>
      <c r="M54" s="3">
        <v>135.30000000000001</v>
      </c>
      <c r="N54" s="3">
        <v>117.3</v>
      </c>
      <c r="O54" s="3">
        <v>119.3</v>
      </c>
      <c r="P54" s="3">
        <v>123.1</v>
      </c>
      <c r="Q54" s="3">
        <v>120.5</v>
      </c>
      <c r="R54" s="3">
        <v>111.1</v>
      </c>
      <c r="S54" s="3">
        <v>132.30000000000001</v>
      </c>
      <c r="T54" s="3">
        <v>134.69999999999999</v>
      </c>
      <c r="U54" s="3">
        <v>147</v>
      </c>
      <c r="V54" s="3">
        <v>90.7</v>
      </c>
      <c r="W54" s="3">
        <v>143.19999999999999</v>
      </c>
      <c r="X54" s="3">
        <v>136.80000000000001</v>
      </c>
      <c r="Y54" s="3">
        <v>116</v>
      </c>
      <c r="Z54" s="3">
        <v>123.7</v>
      </c>
      <c r="AA54" s="3">
        <v>117.1</v>
      </c>
      <c r="AB54" s="3">
        <v>130.4</v>
      </c>
      <c r="AC54" s="3">
        <v>122</v>
      </c>
      <c r="AD54" s="3">
        <v>118.4</v>
      </c>
      <c r="AE54" s="3">
        <v>129.80000000000001</v>
      </c>
      <c r="AF54" s="3">
        <v>126.6</v>
      </c>
      <c r="AG54" s="3">
        <v>127.7</v>
      </c>
      <c r="AH54" s="3">
        <v>123.3</v>
      </c>
      <c r="AI54" s="3">
        <v>130.19999999999999</v>
      </c>
      <c r="AJ54" s="3">
        <v>139.1</v>
      </c>
      <c r="AK54" s="3">
        <v>140.1</v>
      </c>
      <c r="AL54" s="3">
        <v>138.6</v>
      </c>
      <c r="AM54" s="3">
        <v>142.69999999999999</v>
      </c>
      <c r="AN54" s="3">
        <v>143.80000000000001</v>
      </c>
      <c r="AO54" s="3">
        <v>133.80000000000001</v>
      </c>
      <c r="AP54" s="3">
        <v>136.4</v>
      </c>
      <c r="AQ54" s="3">
        <v>140.6</v>
      </c>
      <c r="AR54" s="3">
        <v>133.4</v>
      </c>
      <c r="AS54" s="3">
        <v>133.9</v>
      </c>
      <c r="AT54" s="3">
        <v>128.5</v>
      </c>
      <c r="AU54" s="3">
        <v>155.6</v>
      </c>
      <c r="AV54" s="3">
        <v>203.5</v>
      </c>
      <c r="AX54" s="3">
        <v>120.8</v>
      </c>
      <c r="AY54" s="3">
        <v>174.1</v>
      </c>
      <c r="AZ54" s="3">
        <v>135.80000000000001</v>
      </c>
      <c r="BA54" s="3">
        <v>136</v>
      </c>
      <c r="BB54" s="3">
        <v>189.3</v>
      </c>
      <c r="BC54" s="3">
        <v>107.4</v>
      </c>
      <c r="BD54" s="3">
        <v>132.69999999999999</v>
      </c>
      <c r="BE54" s="3">
        <v>117.6</v>
      </c>
      <c r="BF54" s="3">
        <v>115.6</v>
      </c>
      <c r="BG54" s="3">
        <v>123.3</v>
      </c>
      <c r="BH54" s="3">
        <v>123</v>
      </c>
      <c r="BI54" s="3">
        <v>112.6</v>
      </c>
      <c r="BJ54" s="3">
        <v>127.7</v>
      </c>
      <c r="BK54" s="3">
        <v>134.69999999999999</v>
      </c>
      <c r="BL54" s="3">
        <v>117.7</v>
      </c>
      <c r="BM54" s="3">
        <v>125.2</v>
      </c>
      <c r="BN54" s="3">
        <v>117.1</v>
      </c>
      <c r="BO54" s="3">
        <v>142.69999999999999</v>
      </c>
      <c r="BP54" s="3">
        <v>134.1</v>
      </c>
      <c r="BQ54" s="3">
        <v>121.1</v>
      </c>
      <c r="BR54" s="3">
        <v>112.1</v>
      </c>
      <c r="BS54" s="3">
        <v>119.7</v>
      </c>
      <c r="BT54" s="3">
        <v>127.9</v>
      </c>
      <c r="BU54" s="3">
        <v>123.9</v>
      </c>
      <c r="BV54" s="3">
        <v>111.6</v>
      </c>
      <c r="BW54" s="3">
        <v>137.5</v>
      </c>
      <c r="BX54" s="3">
        <v>150.80000000000001</v>
      </c>
      <c r="BY54" s="3">
        <v>121.7</v>
      </c>
      <c r="BZ54" s="3">
        <v>142.30000000000001</v>
      </c>
      <c r="CA54" s="3">
        <v>133.1</v>
      </c>
      <c r="CB54" s="3">
        <v>139.1</v>
      </c>
      <c r="CC54" s="3">
        <v>141.19999999999999</v>
      </c>
      <c r="CD54" s="3">
        <v>144</v>
      </c>
      <c r="CE54" s="3">
        <v>124.3</v>
      </c>
      <c r="CF54" s="3">
        <v>88.7</v>
      </c>
      <c r="CG54" s="3">
        <v>107.1</v>
      </c>
      <c r="CH54" s="3">
        <v>118.8</v>
      </c>
      <c r="CI54" s="3">
        <v>141.80000000000001</v>
      </c>
      <c r="CJ54" s="3">
        <v>132.4</v>
      </c>
      <c r="CK54" s="3">
        <v>118.6</v>
      </c>
      <c r="CL54" s="3">
        <v>151.30000000000001</v>
      </c>
    </row>
    <row r="55" spans="1:90" x14ac:dyDescent="0.25">
      <c r="A55" s="4">
        <v>33390</v>
      </c>
      <c r="B55" s="3">
        <v>131</v>
      </c>
      <c r="C55" s="3">
        <v>131.6</v>
      </c>
      <c r="D55" s="3">
        <v>130.1</v>
      </c>
      <c r="E55" s="3">
        <v>126</v>
      </c>
      <c r="F55" s="3">
        <v>112.8</v>
      </c>
      <c r="G55" s="3">
        <v>113.9</v>
      </c>
      <c r="H55" s="3">
        <v>130.80000000000001</v>
      </c>
      <c r="I55" s="3">
        <v>128.4</v>
      </c>
      <c r="J55" s="3">
        <v>117.2</v>
      </c>
      <c r="K55" s="3">
        <v>123.5</v>
      </c>
      <c r="L55" s="3">
        <v>126</v>
      </c>
      <c r="M55" s="3">
        <v>138.9</v>
      </c>
      <c r="N55" s="3">
        <v>117.8</v>
      </c>
      <c r="O55" s="3">
        <v>119.4</v>
      </c>
      <c r="P55" s="3">
        <v>123.7</v>
      </c>
      <c r="Q55" s="3">
        <v>122.4</v>
      </c>
      <c r="R55" s="3">
        <v>107.7</v>
      </c>
      <c r="S55" s="3">
        <v>132.4</v>
      </c>
      <c r="T55" s="3">
        <v>133.6</v>
      </c>
      <c r="U55" s="3">
        <v>150</v>
      </c>
      <c r="V55" s="3">
        <v>90.8</v>
      </c>
      <c r="W55" s="3">
        <v>143.80000000000001</v>
      </c>
      <c r="X55" s="3">
        <v>137.30000000000001</v>
      </c>
      <c r="Y55" s="3">
        <v>116.4</v>
      </c>
      <c r="Z55" s="3">
        <v>126.9</v>
      </c>
      <c r="AA55" s="3">
        <v>120.8</v>
      </c>
      <c r="AB55" s="3">
        <v>133</v>
      </c>
      <c r="AC55" s="3">
        <v>122.6</v>
      </c>
      <c r="AD55" s="3">
        <v>118.9</v>
      </c>
      <c r="AE55" s="3">
        <v>130.69999999999999</v>
      </c>
      <c r="AF55" s="3">
        <v>138.9</v>
      </c>
      <c r="AG55" s="3">
        <v>143.4</v>
      </c>
      <c r="AH55" s="3">
        <v>124.7</v>
      </c>
      <c r="AI55" s="3">
        <v>129.9</v>
      </c>
      <c r="AJ55" s="3">
        <v>139.9</v>
      </c>
      <c r="AK55" s="3">
        <v>140.9</v>
      </c>
      <c r="AL55" s="3">
        <v>139.6</v>
      </c>
      <c r="AM55" s="3">
        <v>143.6</v>
      </c>
      <c r="AN55" s="3">
        <v>144.69999999999999</v>
      </c>
      <c r="AO55" s="3">
        <v>134.6</v>
      </c>
      <c r="AP55" s="3">
        <v>137.1</v>
      </c>
      <c r="AQ55" s="3">
        <v>141.19999999999999</v>
      </c>
      <c r="AR55" s="3">
        <v>134.19999999999999</v>
      </c>
      <c r="AS55" s="3">
        <v>134</v>
      </c>
      <c r="AT55" s="3">
        <v>128.6</v>
      </c>
      <c r="AU55" s="3">
        <v>156.1</v>
      </c>
      <c r="AV55" s="3">
        <v>200.3</v>
      </c>
      <c r="AX55" s="3">
        <v>120.8</v>
      </c>
      <c r="AY55" s="3">
        <v>174.1</v>
      </c>
      <c r="AZ55" s="3">
        <v>136.30000000000001</v>
      </c>
      <c r="BA55" s="3">
        <v>137.5</v>
      </c>
      <c r="BB55" s="3">
        <v>190.2</v>
      </c>
      <c r="BC55" s="3">
        <v>106</v>
      </c>
      <c r="BD55" s="3">
        <v>136.80000000000001</v>
      </c>
      <c r="BE55" s="3">
        <v>118.7</v>
      </c>
      <c r="BF55" s="3">
        <v>114.1</v>
      </c>
      <c r="BG55" s="3">
        <v>123.6</v>
      </c>
      <c r="BH55" s="3">
        <v>123.3</v>
      </c>
      <c r="BI55" s="3">
        <v>111.6</v>
      </c>
      <c r="BJ55" s="3">
        <v>129.1</v>
      </c>
      <c r="BK55" s="3">
        <v>136</v>
      </c>
      <c r="BL55" s="3">
        <v>118</v>
      </c>
      <c r="BM55" s="3">
        <v>125.2</v>
      </c>
      <c r="BN55" s="3">
        <v>117.4</v>
      </c>
      <c r="BO55" s="3">
        <v>142.9</v>
      </c>
      <c r="BP55" s="3">
        <v>133.80000000000001</v>
      </c>
      <c r="BQ55" s="3">
        <v>122</v>
      </c>
      <c r="BR55" s="3">
        <v>111.8</v>
      </c>
      <c r="BS55" s="3">
        <v>119.8</v>
      </c>
      <c r="BT55" s="3">
        <v>128.80000000000001</v>
      </c>
      <c r="BU55" s="3">
        <v>123.7</v>
      </c>
      <c r="BV55" s="3">
        <v>112</v>
      </c>
      <c r="BW55" s="3">
        <v>138.19999999999999</v>
      </c>
      <c r="BX55" s="3">
        <v>151.30000000000001</v>
      </c>
      <c r="BY55" s="3">
        <v>123.5</v>
      </c>
      <c r="BZ55" s="3">
        <v>141.80000000000001</v>
      </c>
      <c r="CA55" s="3">
        <v>132.19999999999999</v>
      </c>
      <c r="CB55" s="3">
        <v>139.1</v>
      </c>
      <c r="CC55" s="3">
        <v>141.19999999999999</v>
      </c>
      <c r="CD55" s="3">
        <v>145.30000000000001</v>
      </c>
      <c r="CE55" s="3">
        <v>126.9</v>
      </c>
      <c r="CF55" s="3">
        <v>88.3</v>
      </c>
      <c r="CG55" s="3">
        <v>107.3</v>
      </c>
      <c r="CH55" s="3">
        <v>119</v>
      </c>
      <c r="CI55" s="3">
        <v>140.30000000000001</v>
      </c>
      <c r="CJ55" s="3">
        <v>133.5</v>
      </c>
      <c r="CK55" s="3">
        <v>118.6</v>
      </c>
      <c r="CL55" s="3">
        <v>152.19999999999999</v>
      </c>
    </row>
    <row r="56" spans="1:90" x14ac:dyDescent="0.25">
      <c r="A56" s="4">
        <v>33420</v>
      </c>
      <c r="B56" s="3">
        <v>131.69999999999999</v>
      </c>
      <c r="C56" s="3">
        <v>132.1</v>
      </c>
      <c r="D56" s="3">
        <v>130</v>
      </c>
      <c r="E56" s="3">
        <v>124</v>
      </c>
      <c r="F56" s="3">
        <v>99.6</v>
      </c>
      <c r="G56" s="3">
        <v>96.3</v>
      </c>
      <c r="H56" s="3">
        <v>126</v>
      </c>
      <c r="I56" s="3">
        <v>127.4</v>
      </c>
      <c r="J56" s="3">
        <v>115.9</v>
      </c>
      <c r="K56" s="3">
        <v>122.4</v>
      </c>
      <c r="L56" s="3">
        <v>125.4</v>
      </c>
      <c r="M56" s="3">
        <v>135.6</v>
      </c>
      <c r="N56" s="3">
        <v>118.4</v>
      </c>
      <c r="O56" s="3">
        <v>121.4</v>
      </c>
      <c r="P56" s="3">
        <v>124.5</v>
      </c>
      <c r="Q56" s="3">
        <v>120.6</v>
      </c>
      <c r="R56" s="3">
        <v>106.2</v>
      </c>
      <c r="S56" s="3">
        <v>132.30000000000001</v>
      </c>
      <c r="T56" s="3">
        <v>134.9</v>
      </c>
      <c r="U56" s="3">
        <v>150.30000000000001</v>
      </c>
      <c r="V56" s="3">
        <v>91</v>
      </c>
      <c r="W56" s="3">
        <v>145.1</v>
      </c>
      <c r="X56" s="3">
        <v>138.30000000000001</v>
      </c>
      <c r="Y56" s="3">
        <v>117</v>
      </c>
      <c r="Z56" s="3">
        <v>114.5</v>
      </c>
      <c r="AA56" s="3">
        <v>94.7</v>
      </c>
      <c r="AB56" s="3">
        <v>135.69999999999999</v>
      </c>
      <c r="AC56" s="3">
        <v>117.9</v>
      </c>
      <c r="AD56" s="3">
        <v>111.7</v>
      </c>
      <c r="AE56" s="3">
        <v>130.80000000000001</v>
      </c>
      <c r="AF56" s="3">
        <v>136.6</v>
      </c>
      <c r="AG56" s="3">
        <v>140.4</v>
      </c>
      <c r="AH56" s="3">
        <v>125</v>
      </c>
      <c r="AI56" s="3">
        <v>128.80000000000001</v>
      </c>
      <c r="AJ56" s="3">
        <v>141</v>
      </c>
      <c r="AK56" s="3">
        <v>141.6</v>
      </c>
      <c r="AL56" s="3">
        <v>140</v>
      </c>
      <c r="AM56" s="3">
        <v>145.30000000000001</v>
      </c>
      <c r="AN56" s="3">
        <v>146.80000000000001</v>
      </c>
      <c r="AO56" s="3">
        <v>133.9</v>
      </c>
      <c r="AP56" s="3">
        <v>137.19999999999999</v>
      </c>
      <c r="AQ56" s="3">
        <v>141.69999999999999</v>
      </c>
      <c r="AR56" s="3">
        <v>133.9</v>
      </c>
      <c r="AS56" s="3">
        <v>134</v>
      </c>
      <c r="AT56" s="3">
        <v>128.6</v>
      </c>
      <c r="AU56" s="3">
        <v>156</v>
      </c>
      <c r="AV56" s="3">
        <v>194.3</v>
      </c>
      <c r="AX56" s="3">
        <v>120.9</v>
      </c>
      <c r="AY56" s="3">
        <v>174.1</v>
      </c>
      <c r="AZ56" s="3">
        <v>136.4</v>
      </c>
      <c r="BA56" s="3">
        <v>137.80000000000001</v>
      </c>
      <c r="BB56" s="3">
        <v>195.2</v>
      </c>
      <c r="BC56" s="3">
        <v>105.6</v>
      </c>
      <c r="BD56" s="3">
        <v>139.6</v>
      </c>
      <c r="BE56" s="3">
        <v>119.5</v>
      </c>
      <c r="BF56" s="3">
        <v>111.5</v>
      </c>
      <c r="BG56" s="3">
        <v>120.8</v>
      </c>
      <c r="BH56" s="3">
        <v>120.7</v>
      </c>
      <c r="BI56" s="3">
        <v>110.2</v>
      </c>
      <c r="BJ56" s="3">
        <v>128</v>
      </c>
      <c r="BK56" s="3">
        <v>137</v>
      </c>
      <c r="BL56" s="3">
        <v>118.3</v>
      </c>
      <c r="BM56" s="3">
        <v>130.19999999999999</v>
      </c>
      <c r="BN56" s="3">
        <v>117.4</v>
      </c>
      <c r="BO56" s="3">
        <v>143</v>
      </c>
      <c r="BP56" s="3">
        <v>136.19999999999999</v>
      </c>
      <c r="BQ56" s="3">
        <v>116.4</v>
      </c>
      <c r="BR56" s="3">
        <v>105.4</v>
      </c>
      <c r="BS56" s="3">
        <v>115.5</v>
      </c>
      <c r="BT56" s="3">
        <v>127.7</v>
      </c>
      <c r="BU56" s="3">
        <v>121.7</v>
      </c>
      <c r="BV56" s="3">
        <v>111.5</v>
      </c>
      <c r="BW56" s="3">
        <v>139</v>
      </c>
      <c r="BX56" s="3">
        <v>157.69999999999999</v>
      </c>
      <c r="BY56" s="3">
        <v>125</v>
      </c>
      <c r="BZ56" s="3">
        <v>141.5</v>
      </c>
      <c r="CA56" s="3">
        <v>133.69999999999999</v>
      </c>
      <c r="CB56" s="3">
        <v>144.5</v>
      </c>
      <c r="CC56" s="3">
        <v>141.19999999999999</v>
      </c>
      <c r="CD56" s="3">
        <v>145.6</v>
      </c>
      <c r="CE56" s="3">
        <v>127.2</v>
      </c>
      <c r="CF56" s="3">
        <v>87.1</v>
      </c>
      <c r="CG56" s="3">
        <v>107.5</v>
      </c>
      <c r="CH56" s="3">
        <v>118.6</v>
      </c>
      <c r="CI56" s="3">
        <v>142.80000000000001</v>
      </c>
      <c r="CJ56" s="3">
        <v>134</v>
      </c>
      <c r="CK56" s="3">
        <v>116.6</v>
      </c>
      <c r="CL56" s="3">
        <v>154.1</v>
      </c>
    </row>
    <row r="57" spans="1:90" x14ac:dyDescent="0.25">
      <c r="A57" s="4">
        <v>33451</v>
      </c>
      <c r="B57" s="3">
        <v>132</v>
      </c>
      <c r="C57" s="3">
        <v>133</v>
      </c>
      <c r="D57" s="3">
        <v>130.6</v>
      </c>
      <c r="E57" s="3">
        <v>124.3</v>
      </c>
      <c r="F57" s="3">
        <v>96.9</v>
      </c>
      <c r="G57" s="3">
        <v>93.8</v>
      </c>
      <c r="H57" s="3">
        <v>118.8</v>
      </c>
      <c r="I57" s="3">
        <v>127.9</v>
      </c>
      <c r="J57" s="3">
        <v>113.9</v>
      </c>
      <c r="K57" s="3">
        <v>124</v>
      </c>
      <c r="L57" s="3">
        <v>128.19999999999999</v>
      </c>
      <c r="M57" s="3">
        <v>139.1</v>
      </c>
      <c r="N57" s="3">
        <v>120.8</v>
      </c>
      <c r="O57" s="3">
        <v>122.1</v>
      </c>
      <c r="P57" s="3">
        <v>125.4</v>
      </c>
      <c r="Q57" s="3">
        <v>122</v>
      </c>
      <c r="R57" s="3">
        <v>106</v>
      </c>
      <c r="S57" s="3">
        <v>133.19999999999999</v>
      </c>
      <c r="T57" s="3">
        <v>134.5</v>
      </c>
      <c r="U57" s="3">
        <v>151</v>
      </c>
      <c r="V57" s="3">
        <v>90.6</v>
      </c>
      <c r="W57" s="3">
        <v>145.4</v>
      </c>
      <c r="X57" s="3">
        <v>139.5</v>
      </c>
      <c r="Y57" s="3">
        <v>117.7</v>
      </c>
      <c r="Z57" s="3">
        <v>139.19999999999999</v>
      </c>
      <c r="AA57" s="3">
        <v>141.69999999999999</v>
      </c>
      <c r="AB57" s="3">
        <v>135.9</v>
      </c>
      <c r="AC57" s="3">
        <v>111</v>
      </c>
      <c r="AD57" s="3">
        <v>101.4</v>
      </c>
      <c r="AE57" s="3">
        <v>131</v>
      </c>
      <c r="AF57" s="3">
        <v>140.4</v>
      </c>
      <c r="AG57" s="3">
        <v>145.1</v>
      </c>
      <c r="AH57" s="3">
        <v>125.7</v>
      </c>
      <c r="AI57" s="3">
        <v>130.69999999999999</v>
      </c>
      <c r="AJ57" s="3">
        <v>141.6</v>
      </c>
      <c r="AK57" s="3">
        <v>141.69999999999999</v>
      </c>
      <c r="AL57" s="3">
        <v>140.4</v>
      </c>
      <c r="AM57" s="3">
        <v>146.1</v>
      </c>
      <c r="AN57" s="3">
        <v>147.80000000000001</v>
      </c>
      <c r="AO57" s="3">
        <v>134</v>
      </c>
      <c r="AP57" s="3">
        <v>137.5</v>
      </c>
      <c r="AQ57" s="3">
        <v>142.4</v>
      </c>
      <c r="AR57" s="3">
        <v>133.9</v>
      </c>
      <c r="AS57" s="3">
        <v>133.9</v>
      </c>
      <c r="AT57" s="3">
        <v>128.6</v>
      </c>
      <c r="AU57" s="3">
        <v>156.4</v>
      </c>
      <c r="AV57" s="3">
        <v>190</v>
      </c>
      <c r="AX57" s="3">
        <v>120.9</v>
      </c>
      <c r="AY57" s="3">
        <v>174.1</v>
      </c>
      <c r="AZ57" s="3">
        <v>138.1</v>
      </c>
      <c r="BA57" s="3">
        <v>138.1</v>
      </c>
      <c r="BB57" s="3">
        <v>195.4</v>
      </c>
      <c r="BC57" s="3">
        <v>111</v>
      </c>
      <c r="BD57" s="3">
        <v>139.6</v>
      </c>
      <c r="BE57" s="3">
        <v>119.5</v>
      </c>
      <c r="BF57" s="3">
        <v>112.5</v>
      </c>
      <c r="BG57" s="3">
        <v>123.4</v>
      </c>
      <c r="BH57" s="3">
        <v>122</v>
      </c>
      <c r="BI57" s="3">
        <v>110.8</v>
      </c>
      <c r="BJ57" s="3">
        <v>129.80000000000001</v>
      </c>
      <c r="BK57" s="3">
        <v>138.30000000000001</v>
      </c>
      <c r="BL57" s="3">
        <v>118.4</v>
      </c>
      <c r="BM57" s="3">
        <v>130.19999999999999</v>
      </c>
      <c r="BN57" s="3">
        <v>117.4</v>
      </c>
      <c r="BO57" s="3">
        <v>143.6</v>
      </c>
      <c r="BP57" s="3">
        <v>135.9</v>
      </c>
      <c r="BQ57" s="3">
        <v>116.6</v>
      </c>
      <c r="BR57" s="3">
        <v>105.1</v>
      </c>
      <c r="BS57" s="3">
        <v>116.6</v>
      </c>
      <c r="BT57" s="3">
        <v>128.69999999999999</v>
      </c>
      <c r="BU57" s="3">
        <v>121.8</v>
      </c>
      <c r="BV57" s="3">
        <v>111.9</v>
      </c>
      <c r="BW57" s="3">
        <v>140.1</v>
      </c>
      <c r="BX57" s="3">
        <v>158.1</v>
      </c>
      <c r="BY57" s="3">
        <v>125.4</v>
      </c>
      <c r="BZ57" s="3">
        <v>143.1</v>
      </c>
      <c r="CA57" s="3">
        <v>133.1</v>
      </c>
      <c r="CB57" s="3">
        <v>144.5</v>
      </c>
      <c r="CC57" s="3">
        <v>141.19999999999999</v>
      </c>
      <c r="CD57" s="3">
        <v>146</v>
      </c>
      <c r="CE57" s="3">
        <v>128</v>
      </c>
      <c r="CF57" s="3">
        <v>87</v>
      </c>
      <c r="CG57" s="3">
        <v>107.8</v>
      </c>
      <c r="CH57" s="3">
        <v>119.1</v>
      </c>
      <c r="CI57" s="3">
        <v>143</v>
      </c>
      <c r="CJ57" s="3">
        <v>133.19999999999999</v>
      </c>
      <c r="CK57" s="3">
        <v>116.7</v>
      </c>
      <c r="CL57" s="3">
        <v>154.6</v>
      </c>
    </row>
    <row r="58" spans="1:90" x14ac:dyDescent="0.25">
      <c r="A58" s="4">
        <v>33482</v>
      </c>
      <c r="B58" s="3">
        <v>129</v>
      </c>
      <c r="C58" s="3">
        <v>132.6</v>
      </c>
      <c r="D58" s="3">
        <v>130.4</v>
      </c>
      <c r="E58" s="3">
        <v>124</v>
      </c>
      <c r="F58" s="3">
        <v>99.4</v>
      </c>
      <c r="G58" s="3">
        <v>92.4</v>
      </c>
      <c r="H58" s="3">
        <v>117.7</v>
      </c>
      <c r="I58" s="3">
        <v>129.30000000000001</v>
      </c>
      <c r="J58" s="3">
        <v>115.4</v>
      </c>
      <c r="K58" s="3">
        <v>122.9</v>
      </c>
      <c r="L58" s="3">
        <v>127.5</v>
      </c>
      <c r="M58" s="3">
        <v>139.19999999999999</v>
      </c>
      <c r="N58" s="3">
        <v>119.9</v>
      </c>
      <c r="O58" s="3">
        <v>120.8</v>
      </c>
      <c r="P58" s="3">
        <v>127</v>
      </c>
      <c r="Q58" s="3">
        <v>120.5</v>
      </c>
      <c r="R58" s="3">
        <v>105.8</v>
      </c>
      <c r="S58" s="3">
        <v>133.69999999999999</v>
      </c>
      <c r="T58" s="3">
        <v>134.80000000000001</v>
      </c>
      <c r="U58" s="3">
        <v>151.80000000000001</v>
      </c>
      <c r="V58" s="3">
        <v>90.8</v>
      </c>
      <c r="W58" s="3">
        <v>145.69999999999999</v>
      </c>
      <c r="X58" s="3">
        <v>139.4</v>
      </c>
      <c r="Y58" s="3">
        <v>118.1</v>
      </c>
      <c r="Z58" s="3">
        <v>125.1</v>
      </c>
      <c r="AA58" s="3">
        <v>114.5</v>
      </c>
      <c r="AB58" s="3">
        <v>136.19999999999999</v>
      </c>
      <c r="AC58" s="3">
        <v>108.6</v>
      </c>
      <c r="AD58" s="3">
        <v>98.1</v>
      </c>
      <c r="AE58" s="3">
        <v>130.6</v>
      </c>
      <c r="AF58" s="3">
        <v>135.30000000000001</v>
      </c>
      <c r="AG58" s="3">
        <v>138.69999999999999</v>
      </c>
      <c r="AH58" s="3">
        <v>124.6</v>
      </c>
      <c r="AI58" s="3">
        <v>132.1</v>
      </c>
      <c r="AJ58" s="3">
        <v>141.9</v>
      </c>
      <c r="AK58" s="3">
        <v>144.19999999999999</v>
      </c>
      <c r="AL58" s="3">
        <v>141</v>
      </c>
      <c r="AM58" s="3">
        <v>147.1</v>
      </c>
      <c r="AN58" s="3">
        <v>148.9</v>
      </c>
      <c r="AO58" s="3">
        <v>134</v>
      </c>
      <c r="AP58" s="3">
        <v>137.69999999999999</v>
      </c>
      <c r="AQ58" s="3">
        <v>142.69999999999999</v>
      </c>
      <c r="AR58" s="3">
        <v>134.1</v>
      </c>
      <c r="AS58" s="3">
        <v>133.9</v>
      </c>
      <c r="AT58" s="3">
        <v>128.69999999999999</v>
      </c>
      <c r="AU58" s="3">
        <v>156.30000000000001</v>
      </c>
      <c r="AV58" s="3">
        <v>189.5</v>
      </c>
      <c r="AX58" s="3">
        <v>120.9</v>
      </c>
      <c r="AY58" s="3">
        <v>174.1</v>
      </c>
      <c r="AZ58" s="3">
        <v>138.9</v>
      </c>
      <c r="BA58" s="3">
        <v>138.4</v>
      </c>
      <c r="BB58" s="3">
        <v>195.3</v>
      </c>
      <c r="BC58" s="3">
        <v>113.6</v>
      </c>
      <c r="BD58" s="3">
        <v>139.6</v>
      </c>
      <c r="BE58" s="3">
        <v>119.5</v>
      </c>
      <c r="BF58" s="3">
        <v>116.6</v>
      </c>
      <c r="BG58" s="3">
        <v>124.9</v>
      </c>
      <c r="BH58" s="3">
        <v>123.8</v>
      </c>
      <c r="BI58" s="3">
        <v>111.9</v>
      </c>
      <c r="BJ58" s="3">
        <v>130.69999999999999</v>
      </c>
      <c r="BK58" s="3">
        <v>138.6</v>
      </c>
      <c r="BL58" s="3">
        <v>118.8</v>
      </c>
      <c r="BM58" s="3">
        <v>130.19999999999999</v>
      </c>
      <c r="BN58" s="3">
        <v>119.3</v>
      </c>
      <c r="BO58" s="3">
        <v>144.4</v>
      </c>
      <c r="BP58" s="3">
        <v>135.9</v>
      </c>
      <c r="BQ58" s="3">
        <v>122</v>
      </c>
      <c r="BR58" s="3">
        <v>111.7</v>
      </c>
      <c r="BS58" s="3">
        <v>118.6</v>
      </c>
      <c r="BT58" s="3">
        <v>131.30000000000001</v>
      </c>
      <c r="BU58" s="3">
        <v>123.2</v>
      </c>
      <c r="BV58" s="3">
        <v>112.2</v>
      </c>
      <c r="BW58" s="3">
        <v>140</v>
      </c>
      <c r="BX58" s="3">
        <v>158.30000000000001</v>
      </c>
      <c r="BY58" s="3">
        <v>126.6</v>
      </c>
      <c r="BZ58" s="3">
        <v>145.19999999999999</v>
      </c>
      <c r="CA58" s="3">
        <v>131</v>
      </c>
      <c r="CB58" s="3">
        <v>144.5</v>
      </c>
      <c r="CC58" s="3">
        <v>141.19999999999999</v>
      </c>
      <c r="CD58" s="3">
        <v>146.19999999999999</v>
      </c>
      <c r="CE58" s="3">
        <v>128.5</v>
      </c>
      <c r="CF58" s="3">
        <v>86.7</v>
      </c>
      <c r="CG58" s="3">
        <v>108.4</v>
      </c>
      <c r="CH58" s="3">
        <v>119.1</v>
      </c>
      <c r="CI58" s="3">
        <v>143.1</v>
      </c>
      <c r="CJ58" s="3">
        <v>133.19999999999999</v>
      </c>
      <c r="CK58" s="3">
        <v>116.7</v>
      </c>
      <c r="CL58" s="3">
        <v>161.19999999999999</v>
      </c>
    </row>
    <row r="59" spans="1:90" x14ac:dyDescent="0.25">
      <c r="A59" s="4">
        <v>33512</v>
      </c>
      <c r="B59" s="3">
        <v>129.9</v>
      </c>
      <c r="C59" s="3">
        <v>133.69999999999999</v>
      </c>
      <c r="D59" s="3">
        <v>131.1</v>
      </c>
      <c r="E59" s="3">
        <v>123</v>
      </c>
      <c r="F59" s="3">
        <v>98.7</v>
      </c>
      <c r="G59" s="3">
        <v>91.9</v>
      </c>
      <c r="H59" s="3">
        <v>121.3</v>
      </c>
      <c r="I59" s="3">
        <v>131.4</v>
      </c>
      <c r="J59" s="3">
        <v>114</v>
      </c>
      <c r="K59" s="3">
        <v>122.2</v>
      </c>
      <c r="L59" s="3">
        <v>128.9</v>
      </c>
      <c r="M59" s="3">
        <v>146.30000000000001</v>
      </c>
      <c r="N59" s="3">
        <v>118.9</v>
      </c>
      <c r="O59" s="3">
        <v>122.2</v>
      </c>
      <c r="P59" s="3">
        <v>123.5</v>
      </c>
      <c r="Q59" s="3">
        <v>122.9</v>
      </c>
      <c r="R59" s="3">
        <v>113.3</v>
      </c>
      <c r="S59" s="3">
        <v>134</v>
      </c>
      <c r="T59" s="3">
        <v>135.6</v>
      </c>
      <c r="U59" s="3">
        <v>152</v>
      </c>
      <c r="V59" s="3">
        <v>91.3</v>
      </c>
      <c r="W59" s="3">
        <v>146.80000000000001</v>
      </c>
      <c r="X59" s="3">
        <v>139.30000000000001</v>
      </c>
      <c r="Y59" s="3">
        <v>117.9</v>
      </c>
      <c r="Z59" s="3">
        <v>123.9</v>
      </c>
      <c r="AA59" s="3">
        <v>111.9</v>
      </c>
      <c r="AB59" s="3">
        <v>136.6</v>
      </c>
      <c r="AC59" s="3">
        <v>109</v>
      </c>
      <c r="AD59" s="3">
        <v>101.6</v>
      </c>
      <c r="AE59" s="3">
        <v>124.5</v>
      </c>
      <c r="AF59" s="3">
        <v>133.19999999999999</v>
      </c>
      <c r="AG59" s="3">
        <v>136.19999999999999</v>
      </c>
      <c r="AH59" s="3">
        <v>123.8</v>
      </c>
      <c r="AI59" s="3">
        <v>132.19999999999999</v>
      </c>
      <c r="AJ59" s="3">
        <v>142.6</v>
      </c>
      <c r="AK59" s="3">
        <v>144.19999999999999</v>
      </c>
      <c r="AL59" s="3">
        <v>141.9</v>
      </c>
      <c r="AM59" s="3">
        <v>147.5</v>
      </c>
      <c r="AN59" s="3">
        <v>149.4</v>
      </c>
      <c r="AO59" s="3">
        <v>134.19999999999999</v>
      </c>
      <c r="AP59" s="3">
        <v>137.9</v>
      </c>
      <c r="AQ59" s="3">
        <v>143.1</v>
      </c>
      <c r="AR59" s="3">
        <v>134.1</v>
      </c>
      <c r="AS59" s="3">
        <v>134</v>
      </c>
      <c r="AT59" s="3">
        <v>128.80000000000001</v>
      </c>
      <c r="AU59" s="3">
        <v>156.80000000000001</v>
      </c>
      <c r="AV59" s="3">
        <v>185.1</v>
      </c>
      <c r="AX59" s="3">
        <v>120.9</v>
      </c>
      <c r="AY59" s="3">
        <v>174.1</v>
      </c>
      <c r="AZ59" s="3">
        <v>140.4</v>
      </c>
      <c r="BA59" s="3">
        <v>138.5</v>
      </c>
      <c r="BB59" s="3">
        <v>195.7</v>
      </c>
      <c r="BC59" s="3">
        <v>114.1</v>
      </c>
      <c r="BD59" s="3">
        <v>139.6</v>
      </c>
      <c r="BE59" s="3">
        <v>119.5</v>
      </c>
      <c r="BF59" s="3">
        <v>115.4</v>
      </c>
      <c r="BG59" s="3">
        <v>125.5</v>
      </c>
      <c r="BH59" s="3">
        <v>123.4</v>
      </c>
      <c r="BI59" s="3">
        <v>113</v>
      </c>
      <c r="BJ59" s="3">
        <v>130.30000000000001</v>
      </c>
      <c r="BK59" s="3">
        <v>139</v>
      </c>
      <c r="BL59" s="3">
        <v>115.1</v>
      </c>
      <c r="BM59" s="3">
        <v>138.1</v>
      </c>
      <c r="BN59" s="3">
        <v>120.1</v>
      </c>
      <c r="BO59" s="3">
        <v>144.80000000000001</v>
      </c>
      <c r="BP59" s="3">
        <v>137.9</v>
      </c>
      <c r="BQ59" s="3">
        <v>123</v>
      </c>
      <c r="BR59" s="3">
        <v>113.3</v>
      </c>
      <c r="BS59" s="3">
        <v>120</v>
      </c>
      <c r="BT59" s="3">
        <v>133</v>
      </c>
      <c r="BU59" s="3">
        <v>124</v>
      </c>
      <c r="BV59" s="3">
        <v>112.9</v>
      </c>
      <c r="BW59" s="3">
        <v>141.30000000000001</v>
      </c>
      <c r="BX59" s="3">
        <v>158.80000000000001</v>
      </c>
      <c r="BY59" s="3">
        <v>127.2</v>
      </c>
      <c r="BZ59" s="3">
        <v>146</v>
      </c>
      <c r="CA59" s="3">
        <v>132.19999999999999</v>
      </c>
      <c r="CB59" s="3">
        <v>151.80000000000001</v>
      </c>
      <c r="CC59" s="3">
        <v>141.69999999999999</v>
      </c>
      <c r="CD59" s="3">
        <v>147.6</v>
      </c>
      <c r="CE59" s="3">
        <v>128.30000000000001</v>
      </c>
      <c r="CF59" s="3">
        <v>86.4</v>
      </c>
      <c r="CG59" s="3">
        <v>109.2</v>
      </c>
      <c r="CH59" s="3">
        <v>119.7</v>
      </c>
      <c r="CI59" s="3">
        <v>145.80000000000001</v>
      </c>
      <c r="CJ59" s="3">
        <v>133.80000000000001</v>
      </c>
      <c r="CK59" s="3">
        <v>117.2</v>
      </c>
      <c r="CL59" s="3">
        <v>161.19999999999999</v>
      </c>
    </row>
    <row r="60" spans="1:90" x14ac:dyDescent="0.25">
      <c r="A60" s="4">
        <v>33543</v>
      </c>
      <c r="B60" s="3">
        <v>129.5</v>
      </c>
      <c r="C60" s="3">
        <v>135.19999999999999</v>
      </c>
      <c r="D60" s="3">
        <v>131.6</v>
      </c>
      <c r="E60" s="3">
        <v>125.2</v>
      </c>
      <c r="F60" s="3">
        <v>98.8</v>
      </c>
      <c r="G60" s="3">
        <v>94.9</v>
      </c>
      <c r="H60" s="3">
        <v>120.3</v>
      </c>
      <c r="I60" s="3">
        <v>131.80000000000001</v>
      </c>
      <c r="J60" s="3">
        <v>112.6</v>
      </c>
      <c r="K60" s="3">
        <v>122.7</v>
      </c>
      <c r="L60" s="3">
        <v>127.2</v>
      </c>
      <c r="M60" s="3">
        <v>142.80000000000001</v>
      </c>
      <c r="N60" s="3">
        <v>117.9</v>
      </c>
      <c r="O60" s="3">
        <v>124.9</v>
      </c>
      <c r="P60" s="3">
        <v>126.3</v>
      </c>
      <c r="Q60" s="3">
        <v>123.5</v>
      </c>
      <c r="R60" s="3">
        <v>112.3</v>
      </c>
      <c r="S60" s="3">
        <v>134.5</v>
      </c>
      <c r="T60" s="3">
        <v>134.1</v>
      </c>
      <c r="U60" s="3">
        <v>152.19999999999999</v>
      </c>
      <c r="V60" s="3">
        <v>91.3</v>
      </c>
      <c r="W60" s="3">
        <v>147.1</v>
      </c>
      <c r="X60" s="3">
        <v>139.19999999999999</v>
      </c>
      <c r="Y60" s="3">
        <v>118</v>
      </c>
      <c r="Z60" s="3">
        <v>125.5</v>
      </c>
      <c r="AA60" s="3">
        <v>115.7</v>
      </c>
      <c r="AB60" s="3">
        <v>135.69999999999999</v>
      </c>
      <c r="AC60" s="3">
        <v>119.6</v>
      </c>
      <c r="AD60" s="3">
        <v>115</v>
      </c>
      <c r="AE60" s="3">
        <v>129.30000000000001</v>
      </c>
      <c r="AF60" s="3">
        <v>134.30000000000001</v>
      </c>
      <c r="AG60" s="3">
        <v>137.6</v>
      </c>
      <c r="AH60" s="3">
        <v>123.9</v>
      </c>
      <c r="AI60" s="3">
        <v>132.69999999999999</v>
      </c>
      <c r="AJ60" s="3">
        <v>143.19999999999999</v>
      </c>
      <c r="AK60" s="3">
        <v>145</v>
      </c>
      <c r="AL60" s="3">
        <v>142.30000000000001</v>
      </c>
      <c r="AM60" s="3">
        <v>147.5</v>
      </c>
      <c r="AN60" s="3">
        <v>149.69999999999999</v>
      </c>
      <c r="AO60" s="3">
        <v>132.30000000000001</v>
      </c>
      <c r="AP60" s="3">
        <v>137.4</v>
      </c>
      <c r="AQ60" s="3">
        <v>143.4</v>
      </c>
      <c r="AR60" s="3">
        <v>133</v>
      </c>
      <c r="AS60" s="3">
        <v>136.30000000000001</v>
      </c>
      <c r="AT60" s="3">
        <v>130.69999999999999</v>
      </c>
      <c r="AU60" s="3">
        <v>157.30000000000001</v>
      </c>
      <c r="AV60" s="3">
        <v>185.7</v>
      </c>
      <c r="AX60" s="3">
        <v>120.9</v>
      </c>
      <c r="AY60" s="3">
        <v>174.1</v>
      </c>
      <c r="AZ60" s="3">
        <v>140.4</v>
      </c>
      <c r="BA60" s="3">
        <v>138</v>
      </c>
      <c r="BB60" s="3">
        <v>194.5</v>
      </c>
      <c r="BC60" s="3">
        <v>116.8</v>
      </c>
      <c r="BD60" s="3">
        <v>139.6</v>
      </c>
      <c r="BE60" s="3">
        <v>119.5</v>
      </c>
      <c r="BF60" s="3">
        <v>117.7</v>
      </c>
      <c r="BG60" s="3">
        <v>126.7</v>
      </c>
      <c r="BH60" s="3">
        <v>123.8</v>
      </c>
      <c r="BI60" s="3">
        <v>113.3</v>
      </c>
      <c r="BJ60" s="3">
        <v>130.80000000000001</v>
      </c>
      <c r="BK60" s="3">
        <v>139</v>
      </c>
      <c r="BL60" s="3">
        <v>116.8</v>
      </c>
      <c r="BM60" s="3">
        <v>138.1</v>
      </c>
      <c r="BN60" s="3">
        <v>120.9</v>
      </c>
      <c r="BO60" s="3">
        <v>145.6</v>
      </c>
      <c r="BP60" s="3">
        <v>138.5</v>
      </c>
      <c r="BQ60" s="3">
        <v>123.5</v>
      </c>
      <c r="BR60" s="3">
        <v>113.3</v>
      </c>
      <c r="BS60" s="3">
        <v>120.7</v>
      </c>
      <c r="BT60" s="3">
        <v>134</v>
      </c>
      <c r="BU60" s="3">
        <v>123.8</v>
      </c>
      <c r="BV60" s="3">
        <v>112.7</v>
      </c>
      <c r="BW60" s="3">
        <v>141.80000000000001</v>
      </c>
      <c r="BX60" s="3">
        <v>159</v>
      </c>
      <c r="BY60" s="3">
        <v>127.4</v>
      </c>
      <c r="BZ60" s="3">
        <v>147.69999999999999</v>
      </c>
      <c r="CA60" s="3">
        <v>131.6</v>
      </c>
      <c r="CB60" s="3">
        <v>151.80000000000001</v>
      </c>
      <c r="CC60" s="3">
        <v>141.69999999999999</v>
      </c>
      <c r="CD60" s="3">
        <v>148.6</v>
      </c>
      <c r="CE60" s="3">
        <v>128.69999999999999</v>
      </c>
      <c r="CF60" s="3">
        <v>86.7</v>
      </c>
      <c r="CG60" s="3">
        <v>109.9</v>
      </c>
      <c r="CH60" s="3">
        <v>120</v>
      </c>
      <c r="CI60" s="3">
        <v>146.19999999999999</v>
      </c>
      <c r="CJ60" s="3">
        <v>134.1</v>
      </c>
      <c r="CK60" s="3">
        <v>117.1</v>
      </c>
      <c r="CL60" s="3">
        <v>161.1</v>
      </c>
    </row>
    <row r="61" spans="1:90" x14ac:dyDescent="0.25">
      <c r="A61" s="4">
        <v>33573</v>
      </c>
      <c r="B61" s="3">
        <v>129.5</v>
      </c>
      <c r="C61" s="3">
        <v>135.6</v>
      </c>
      <c r="D61" s="3">
        <v>131.6</v>
      </c>
      <c r="E61" s="3">
        <v>124</v>
      </c>
      <c r="F61" s="3">
        <v>105.4</v>
      </c>
      <c r="G61" s="3">
        <v>102.9</v>
      </c>
      <c r="H61" s="3">
        <v>124</v>
      </c>
      <c r="I61" s="3">
        <v>133</v>
      </c>
      <c r="J61" s="3">
        <v>111.1</v>
      </c>
      <c r="K61" s="3">
        <v>122.8</v>
      </c>
      <c r="L61" s="3">
        <v>126.5</v>
      </c>
      <c r="M61" s="3">
        <v>145.5</v>
      </c>
      <c r="N61" s="3">
        <v>115.8</v>
      </c>
      <c r="O61" s="3">
        <v>125.3</v>
      </c>
      <c r="P61" s="3">
        <v>126.2</v>
      </c>
      <c r="Q61" s="3">
        <v>123.2</v>
      </c>
      <c r="R61" s="3">
        <v>118.4</v>
      </c>
      <c r="S61" s="3">
        <v>135.69999999999999</v>
      </c>
      <c r="T61" s="3">
        <v>135.6</v>
      </c>
      <c r="U61" s="3">
        <v>152.19999999999999</v>
      </c>
      <c r="V61" s="3">
        <v>90.9</v>
      </c>
      <c r="W61" s="3">
        <v>147.80000000000001</v>
      </c>
      <c r="X61" s="3">
        <v>138.5</v>
      </c>
      <c r="Y61" s="3">
        <v>118.2</v>
      </c>
      <c r="Z61" s="3">
        <v>126.2</v>
      </c>
      <c r="AA61" s="3">
        <v>116.9</v>
      </c>
      <c r="AB61" s="3">
        <v>135.9</v>
      </c>
      <c r="AC61" s="3">
        <v>120.5</v>
      </c>
      <c r="AD61" s="3">
        <v>116.1</v>
      </c>
      <c r="AE61" s="3">
        <v>129.80000000000001</v>
      </c>
      <c r="AF61" s="3">
        <v>132.69999999999999</v>
      </c>
      <c r="AG61" s="3">
        <v>135.4</v>
      </c>
      <c r="AH61" s="3">
        <v>124.1</v>
      </c>
      <c r="AI61" s="3">
        <v>133.5</v>
      </c>
      <c r="AJ61" s="3">
        <v>143.9</v>
      </c>
      <c r="AK61" s="3">
        <v>145.1</v>
      </c>
      <c r="AL61" s="3">
        <v>142.9</v>
      </c>
      <c r="AM61" s="3">
        <v>147.4</v>
      </c>
      <c r="AN61" s="3">
        <v>149.9</v>
      </c>
      <c r="AO61" s="3">
        <v>130.6</v>
      </c>
      <c r="AP61" s="3">
        <v>136.5</v>
      </c>
      <c r="AQ61" s="3">
        <v>143.80000000000001</v>
      </c>
      <c r="AR61" s="3">
        <v>131.1</v>
      </c>
      <c r="AS61" s="3">
        <v>137.69999999999999</v>
      </c>
      <c r="AT61" s="3">
        <v>132</v>
      </c>
      <c r="AU61" s="3">
        <v>157.5</v>
      </c>
      <c r="AV61" s="3">
        <v>186.8</v>
      </c>
      <c r="AX61" s="3">
        <v>120.9</v>
      </c>
      <c r="AY61" s="3">
        <v>174.1</v>
      </c>
      <c r="AZ61" s="3">
        <v>140.80000000000001</v>
      </c>
      <c r="BA61" s="3">
        <v>139</v>
      </c>
      <c r="BB61" s="3">
        <v>192.6</v>
      </c>
      <c r="BC61" s="3">
        <v>117.3</v>
      </c>
      <c r="BD61" s="3">
        <v>139.6</v>
      </c>
      <c r="BE61" s="3">
        <v>119.5</v>
      </c>
      <c r="BF61" s="3">
        <v>110.6</v>
      </c>
      <c r="BG61" s="3">
        <v>128.5</v>
      </c>
      <c r="BH61" s="3">
        <v>124.1</v>
      </c>
      <c r="BI61" s="3">
        <v>113.4</v>
      </c>
      <c r="BJ61" s="3">
        <v>130.6</v>
      </c>
      <c r="BK61" s="3">
        <v>139.19999999999999</v>
      </c>
      <c r="BL61" s="3">
        <v>118.6</v>
      </c>
      <c r="BM61" s="3">
        <v>138.1</v>
      </c>
      <c r="BN61" s="3">
        <v>120.9</v>
      </c>
      <c r="BO61" s="3">
        <v>146.19999999999999</v>
      </c>
      <c r="BP61" s="3">
        <v>137.69999999999999</v>
      </c>
      <c r="BQ61" s="3">
        <v>123.1</v>
      </c>
      <c r="BR61" s="3">
        <v>113.2</v>
      </c>
      <c r="BS61" s="3">
        <v>121</v>
      </c>
      <c r="BT61" s="3">
        <v>134.5</v>
      </c>
      <c r="BU61" s="3">
        <v>124.8</v>
      </c>
      <c r="BV61" s="3">
        <v>111.9</v>
      </c>
      <c r="BW61" s="3">
        <v>141.80000000000001</v>
      </c>
      <c r="BX61" s="3">
        <v>159.19999999999999</v>
      </c>
      <c r="BY61" s="3">
        <v>127.2</v>
      </c>
      <c r="BZ61" s="3">
        <v>148</v>
      </c>
      <c r="CA61" s="3">
        <v>129.9</v>
      </c>
      <c r="CB61" s="3">
        <v>151.80000000000001</v>
      </c>
      <c r="CC61" s="3">
        <v>141.80000000000001</v>
      </c>
      <c r="CD61" s="3">
        <v>148.69999999999999</v>
      </c>
      <c r="CE61" s="3">
        <v>128.19999999999999</v>
      </c>
      <c r="CF61" s="3">
        <v>86.6</v>
      </c>
      <c r="CG61" s="3">
        <v>110.9</v>
      </c>
      <c r="CH61" s="3">
        <v>120.1</v>
      </c>
      <c r="CI61" s="3">
        <v>146.30000000000001</v>
      </c>
      <c r="CJ61" s="3">
        <v>135.5</v>
      </c>
      <c r="CK61" s="3">
        <v>117.1</v>
      </c>
      <c r="CL61" s="3">
        <v>161.19999999999999</v>
      </c>
    </row>
    <row r="62" spans="1:90" x14ac:dyDescent="0.25">
      <c r="A62" s="4">
        <v>33604</v>
      </c>
      <c r="B62" s="3">
        <v>133.30000000000001</v>
      </c>
      <c r="C62" s="3">
        <v>135.5</v>
      </c>
      <c r="D62" s="3">
        <v>132.4</v>
      </c>
      <c r="E62" s="3">
        <v>125.8</v>
      </c>
      <c r="F62" s="3">
        <v>113.3</v>
      </c>
      <c r="G62" s="3">
        <v>114.1</v>
      </c>
      <c r="H62" s="3">
        <v>125.4</v>
      </c>
      <c r="I62" s="3">
        <v>135.6</v>
      </c>
      <c r="J62" s="3">
        <v>111</v>
      </c>
      <c r="K62" s="3">
        <v>121.8</v>
      </c>
      <c r="L62" s="3">
        <v>127.7</v>
      </c>
      <c r="M62" s="3">
        <v>147.69999999999999</v>
      </c>
      <c r="N62" s="3">
        <v>116.6</v>
      </c>
      <c r="O62" s="3">
        <v>126.3</v>
      </c>
      <c r="P62" s="3">
        <v>127.2</v>
      </c>
      <c r="Q62" s="3">
        <v>126.7</v>
      </c>
      <c r="R62" s="3">
        <v>119.4</v>
      </c>
      <c r="S62" s="3">
        <v>135.9</v>
      </c>
      <c r="T62" s="3">
        <v>135.80000000000001</v>
      </c>
      <c r="U62" s="3">
        <v>152.30000000000001</v>
      </c>
      <c r="V62" s="3">
        <v>91.4</v>
      </c>
      <c r="W62" s="3">
        <v>151.6</v>
      </c>
      <c r="X62" s="3">
        <v>138.80000000000001</v>
      </c>
      <c r="Y62" s="3">
        <v>118.5</v>
      </c>
      <c r="Z62" s="3">
        <v>126.8</v>
      </c>
      <c r="AA62" s="3">
        <v>119.3</v>
      </c>
      <c r="AB62" s="3">
        <v>134.5</v>
      </c>
      <c r="AC62" s="3">
        <v>122.9</v>
      </c>
      <c r="AD62" s="3">
        <v>119.4</v>
      </c>
      <c r="AE62" s="3">
        <v>130.5</v>
      </c>
      <c r="AF62" s="3">
        <v>132.6</v>
      </c>
      <c r="AG62" s="3">
        <v>134.80000000000001</v>
      </c>
      <c r="AH62" s="3">
        <v>125.9</v>
      </c>
      <c r="AI62" s="3">
        <v>133</v>
      </c>
      <c r="AJ62" s="3">
        <v>144.19999999999999</v>
      </c>
      <c r="AK62" s="3">
        <v>146.19999999999999</v>
      </c>
      <c r="AL62" s="3">
        <v>143.5</v>
      </c>
      <c r="AM62" s="3">
        <v>148</v>
      </c>
      <c r="AN62" s="3">
        <v>150</v>
      </c>
      <c r="AO62" s="3">
        <v>134</v>
      </c>
      <c r="AP62" s="3">
        <v>137.9</v>
      </c>
      <c r="AQ62" s="3">
        <v>143.80000000000001</v>
      </c>
      <c r="AR62" s="3">
        <v>133.6</v>
      </c>
      <c r="AS62" s="3">
        <v>138</v>
      </c>
      <c r="AT62" s="3">
        <v>133.4</v>
      </c>
      <c r="AU62" s="3">
        <v>158.30000000000001</v>
      </c>
      <c r="AV62" s="3">
        <v>188.1</v>
      </c>
      <c r="AX62" s="3">
        <v>120.9</v>
      </c>
      <c r="AY62" s="3">
        <v>174.1</v>
      </c>
      <c r="AZ62" s="3">
        <v>141.5</v>
      </c>
      <c r="BA62" s="3">
        <v>139.5</v>
      </c>
      <c r="BB62" s="3">
        <v>190.6</v>
      </c>
      <c r="BC62" s="3">
        <v>117.5</v>
      </c>
      <c r="BD62" s="3">
        <v>139.6</v>
      </c>
      <c r="BE62" s="3">
        <v>119.5</v>
      </c>
      <c r="BF62" s="3">
        <v>104.5</v>
      </c>
      <c r="BG62" s="3">
        <v>123.6</v>
      </c>
      <c r="BH62" s="3">
        <v>120.2</v>
      </c>
      <c r="BI62" s="3">
        <v>109.5</v>
      </c>
      <c r="BJ62" s="3">
        <v>129.9</v>
      </c>
      <c r="BK62" s="3">
        <v>140.6</v>
      </c>
      <c r="BL62" s="3">
        <v>119.2</v>
      </c>
      <c r="BM62" s="3">
        <v>138.1</v>
      </c>
      <c r="BN62" s="3">
        <v>120.9</v>
      </c>
      <c r="BO62" s="3">
        <v>146.80000000000001</v>
      </c>
      <c r="BP62" s="3">
        <v>143.1</v>
      </c>
      <c r="BQ62" s="3">
        <v>115</v>
      </c>
      <c r="BR62" s="3">
        <v>104.9</v>
      </c>
      <c r="BS62" s="3">
        <v>115.5</v>
      </c>
      <c r="BT62" s="3">
        <v>131.4</v>
      </c>
      <c r="BU62" s="3">
        <v>121.8</v>
      </c>
      <c r="BV62" s="3">
        <v>111.5</v>
      </c>
      <c r="BW62" s="3">
        <v>142.5</v>
      </c>
      <c r="BX62" s="3">
        <v>164.5</v>
      </c>
      <c r="BY62" s="3">
        <v>127.4</v>
      </c>
      <c r="BZ62" s="3">
        <v>149.6</v>
      </c>
      <c r="CA62" s="3">
        <v>124.6</v>
      </c>
      <c r="CB62" s="3">
        <v>157.5</v>
      </c>
      <c r="CC62" s="3">
        <v>150.69999999999999</v>
      </c>
      <c r="CD62" s="3">
        <v>150.1</v>
      </c>
      <c r="CE62" s="3">
        <v>128.19999999999999</v>
      </c>
      <c r="CF62" s="3">
        <v>84.3</v>
      </c>
      <c r="CG62" s="3">
        <v>110.4</v>
      </c>
      <c r="CH62" s="3">
        <v>119.3</v>
      </c>
      <c r="CI62" s="3">
        <v>147.4</v>
      </c>
      <c r="CJ62" s="3">
        <v>136.30000000000001</v>
      </c>
      <c r="CK62" s="3">
        <v>118.1</v>
      </c>
      <c r="CL62" s="3">
        <v>162.1</v>
      </c>
    </row>
    <row r="63" spans="1:90" x14ac:dyDescent="0.25">
      <c r="A63" s="4">
        <v>33635</v>
      </c>
      <c r="B63" s="3">
        <v>135</v>
      </c>
      <c r="C63" s="3">
        <v>136.5</v>
      </c>
      <c r="D63" s="3">
        <v>132.80000000000001</v>
      </c>
      <c r="E63" s="3">
        <v>125.1</v>
      </c>
      <c r="F63" s="3">
        <v>115.9</v>
      </c>
      <c r="G63" s="3">
        <v>122.6</v>
      </c>
      <c r="H63" s="3">
        <v>124.9</v>
      </c>
      <c r="I63" s="3">
        <v>136.80000000000001</v>
      </c>
      <c r="J63" s="3">
        <v>111.7</v>
      </c>
      <c r="K63" s="3">
        <v>123.4</v>
      </c>
      <c r="L63" s="3">
        <v>126.6</v>
      </c>
      <c r="M63" s="3">
        <v>143</v>
      </c>
      <c r="N63" s="3">
        <v>116.3</v>
      </c>
      <c r="O63" s="3">
        <v>125.3</v>
      </c>
      <c r="P63" s="3">
        <v>127.8</v>
      </c>
      <c r="Q63" s="3">
        <v>128.69999999999999</v>
      </c>
      <c r="R63" s="3">
        <v>119.2</v>
      </c>
      <c r="S63" s="3">
        <v>136.1</v>
      </c>
      <c r="T63" s="3">
        <v>135.9</v>
      </c>
      <c r="U63" s="3">
        <v>152.30000000000001</v>
      </c>
      <c r="V63" s="3">
        <v>91.4</v>
      </c>
      <c r="W63" s="3">
        <v>154.69999999999999</v>
      </c>
      <c r="X63" s="3">
        <v>139.19999999999999</v>
      </c>
      <c r="Y63" s="3">
        <v>119.3</v>
      </c>
      <c r="Z63" s="3">
        <v>126.9</v>
      </c>
      <c r="AA63" s="3">
        <v>119.6</v>
      </c>
      <c r="AB63" s="3">
        <v>134.5</v>
      </c>
      <c r="AC63" s="3">
        <v>121.7</v>
      </c>
      <c r="AD63" s="3">
        <v>117.1</v>
      </c>
      <c r="AE63" s="3">
        <v>131.9</v>
      </c>
      <c r="AF63" s="3">
        <v>134.9</v>
      </c>
      <c r="AG63" s="3">
        <v>137.6</v>
      </c>
      <c r="AH63" s="3">
        <v>126.7</v>
      </c>
      <c r="AI63" s="3">
        <v>133.5</v>
      </c>
      <c r="AJ63" s="3">
        <v>144.69999999999999</v>
      </c>
      <c r="AK63" s="3">
        <v>146.5</v>
      </c>
      <c r="AL63" s="3">
        <v>144</v>
      </c>
      <c r="AM63" s="3">
        <v>148.69999999999999</v>
      </c>
      <c r="AN63" s="3">
        <v>150.5</v>
      </c>
      <c r="AO63" s="3">
        <v>136.19999999999999</v>
      </c>
      <c r="AP63" s="3">
        <v>138.80000000000001</v>
      </c>
      <c r="AQ63" s="3">
        <v>144.4</v>
      </c>
      <c r="AR63" s="3">
        <v>134.6</v>
      </c>
      <c r="AS63" s="3">
        <v>138.1</v>
      </c>
      <c r="AT63" s="3">
        <v>133.80000000000001</v>
      </c>
      <c r="AU63" s="3">
        <v>158.5</v>
      </c>
      <c r="AV63" s="3">
        <v>189.3</v>
      </c>
      <c r="AX63" s="3">
        <v>120.9</v>
      </c>
      <c r="AY63" s="3">
        <v>174.1</v>
      </c>
      <c r="AZ63" s="3">
        <v>141.80000000000001</v>
      </c>
      <c r="BA63" s="3">
        <v>140.19999999999999</v>
      </c>
      <c r="BB63" s="3">
        <v>190.5</v>
      </c>
      <c r="BC63" s="3">
        <v>117.6</v>
      </c>
      <c r="BD63" s="3">
        <v>139.6</v>
      </c>
      <c r="BE63" s="3">
        <v>119.5</v>
      </c>
      <c r="BF63" s="3">
        <v>106.7</v>
      </c>
      <c r="BG63" s="3">
        <v>125.6</v>
      </c>
      <c r="BH63" s="3">
        <v>121.6</v>
      </c>
      <c r="BI63" s="3">
        <v>110.4</v>
      </c>
      <c r="BJ63" s="3">
        <v>131</v>
      </c>
      <c r="BK63" s="3">
        <v>141.69999999999999</v>
      </c>
      <c r="BL63" s="3">
        <v>118.4</v>
      </c>
      <c r="BM63" s="3">
        <v>138.1</v>
      </c>
      <c r="BN63" s="3">
        <v>120.8</v>
      </c>
      <c r="BO63" s="3">
        <v>147.30000000000001</v>
      </c>
      <c r="BP63" s="3">
        <v>143</v>
      </c>
      <c r="BQ63" s="3">
        <v>117.7</v>
      </c>
      <c r="BR63" s="3">
        <v>106.1</v>
      </c>
      <c r="BS63" s="3">
        <v>117.1</v>
      </c>
      <c r="BT63" s="3">
        <v>133</v>
      </c>
      <c r="BU63" s="3">
        <v>122.2</v>
      </c>
      <c r="BV63" s="3">
        <v>112.6</v>
      </c>
      <c r="BW63" s="3">
        <v>143.1</v>
      </c>
      <c r="BX63" s="3">
        <v>164.9</v>
      </c>
      <c r="BY63" s="3">
        <v>128.4</v>
      </c>
      <c r="BZ63" s="3">
        <v>150.80000000000001</v>
      </c>
      <c r="CA63" s="3">
        <v>126</v>
      </c>
      <c r="CB63" s="3">
        <v>157.5</v>
      </c>
      <c r="CC63" s="3">
        <v>150.69999999999999</v>
      </c>
      <c r="CD63" s="3">
        <v>150.1</v>
      </c>
      <c r="CE63" s="3">
        <v>129.19999999999999</v>
      </c>
      <c r="CF63" s="3">
        <v>84.5</v>
      </c>
      <c r="CG63" s="3">
        <v>110.7</v>
      </c>
      <c r="CH63" s="3">
        <v>120.1</v>
      </c>
      <c r="CI63" s="3">
        <v>148.30000000000001</v>
      </c>
      <c r="CJ63" s="3">
        <v>137.19999999999999</v>
      </c>
      <c r="CK63" s="3">
        <v>118.1</v>
      </c>
      <c r="CL63" s="3">
        <v>162.30000000000001</v>
      </c>
    </row>
    <row r="64" spans="1:90" x14ac:dyDescent="0.25">
      <c r="A64" s="4">
        <v>33664</v>
      </c>
      <c r="B64" s="3">
        <v>134.9</v>
      </c>
      <c r="C64" s="3">
        <v>136.6</v>
      </c>
      <c r="D64" s="3">
        <v>134.4</v>
      </c>
      <c r="E64" s="3">
        <v>125.7</v>
      </c>
      <c r="F64" s="3">
        <v>116.1</v>
      </c>
      <c r="G64" s="3">
        <v>123</v>
      </c>
      <c r="H64" s="3">
        <v>127.5</v>
      </c>
      <c r="I64" s="3">
        <v>137.80000000000001</v>
      </c>
      <c r="J64" s="3">
        <v>114.2</v>
      </c>
      <c r="K64" s="3">
        <v>123.5</v>
      </c>
      <c r="L64" s="3">
        <v>125.6</v>
      </c>
      <c r="M64" s="3">
        <v>144.69999999999999</v>
      </c>
      <c r="N64" s="3">
        <v>114.8</v>
      </c>
      <c r="O64" s="3">
        <v>125.1</v>
      </c>
      <c r="P64" s="3">
        <v>127</v>
      </c>
      <c r="Q64" s="3">
        <v>130.1</v>
      </c>
      <c r="R64" s="3">
        <v>116.8</v>
      </c>
      <c r="S64" s="3">
        <v>136.5</v>
      </c>
      <c r="T64" s="3">
        <v>136.4</v>
      </c>
      <c r="U64" s="3">
        <v>152.9</v>
      </c>
      <c r="V64" s="3">
        <v>90.9</v>
      </c>
      <c r="W64" s="3">
        <v>156</v>
      </c>
      <c r="X64" s="3">
        <v>138.80000000000001</v>
      </c>
      <c r="Y64" s="3">
        <v>119.8</v>
      </c>
      <c r="Z64" s="3">
        <v>126.7</v>
      </c>
      <c r="AA64" s="3">
        <v>118</v>
      </c>
      <c r="AB64" s="3">
        <v>135.30000000000001</v>
      </c>
      <c r="AC64" s="3">
        <v>122</v>
      </c>
      <c r="AD64" s="3">
        <v>117.8</v>
      </c>
      <c r="AE64" s="3">
        <v>131.30000000000001</v>
      </c>
      <c r="AF64" s="3">
        <v>132.6</v>
      </c>
      <c r="AG64" s="3">
        <v>134.1</v>
      </c>
      <c r="AH64" s="3">
        <v>128.1</v>
      </c>
      <c r="AI64" s="3">
        <v>133.6</v>
      </c>
      <c r="AJ64" s="3">
        <v>145.1</v>
      </c>
      <c r="AK64" s="3">
        <v>147.19999999999999</v>
      </c>
      <c r="AL64" s="3">
        <v>144.9</v>
      </c>
      <c r="AM64" s="3">
        <v>149.1</v>
      </c>
      <c r="AN64" s="3">
        <v>150.80000000000001</v>
      </c>
      <c r="AO64" s="3">
        <v>137.1</v>
      </c>
      <c r="AP64" s="3">
        <v>139.6</v>
      </c>
      <c r="AQ64" s="3">
        <v>145.19999999999999</v>
      </c>
      <c r="AR64" s="3">
        <v>135.4</v>
      </c>
      <c r="AS64" s="3">
        <v>138.1</v>
      </c>
      <c r="AT64" s="3">
        <v>133.9</v>
      </c>
      <c r="AU64" s="3">
        <v>158.69999999999999</v>
      </c>
      <c r="AV64" s="3">
        <v>184.3</v>
      </c>
      <c r="AX64" s="3">
        <v>120.9</v>
      </c>
      <c r="AY64" s="3">
        <v>174.1</v>
      </c>
      <c r="AZ64" s="3">
        <v>142</v>
      </c>
      <c r="BA64" s="3">
        <v>141.5</v>
      </c>
      <c r="BB64" s="3">
        <v>190</v>
      </c>
      <c r="BC64" s="3">
        <v>117.6</v>
      </c>
      <c r="BD64" s="3">
        <v>139.6</v>
      </c>
      <c r="BE64" s="3">
        <v>119.5</v>
      </c>
      <c r="BF64" s="3">
        <v>103.5</v>
      </c>
      <c r="BG64" s="3">
        <v>127.5</v>
      </c>
      <c r="BH64" s="3">
        <v>123.3</v>
      </c>
      <c r="BI64" s="3">
        <v>112.1</v>
      </c>
      <c r="BJ64" s="3">
        <v>130.9</v>
      </c>
      <c r="BK64" s="3">
        <v>141.80000000000001</v>
      </c>
      <c r="BL64" s="3">
        <v>120.1</v>
      </c>
      <c r="BM64" s="3">
        <v>138.1</v>
      </c>
      <c r="BN64" s="3">
        <v>120.8</v>
      </c>
      <c r="BO64" s="3">
        <v>148</v>
      </c>
      <c r="BP64" s="3">
        <v>143.19999999999999</v>
      </c>
      <c r="BQ64" s="3">
        <v>120.6</v>
      </c>
      <c r="BR64" s="3">
        <v>107.5</v>
      </c>
      <c r="BS64" s="3">
        <v>119.6</v>
      </c>
      <c r="BT64" s="3">
        <v>135.19999999999999</v>
      </c>
      <c r="BU64" s="3">
        <v>122.8</v>
      </c>
      <c r="BV64" s="3">
        <v>113.5</v>
      </c>
      <c r="BW64" s="3">
        <v>143.9</v>
      </c>
      <c r="BX64" s="3">
        <v>165.4</v>
      </c>
      <c r="BY64" s="3">
        <v>129.9</v>
      </c>
      <c r="BZ64" s="3">
        <v>151.19999999999999</v>
      </c>
      <c r="CA64" s="3">
        <v>128</v>
      </c>
      <c r="CB64" s="3">
        <v>157.5</v>
      </c>
      <c r="CC64" s="3">
        <v>150.69999999999999</v>
      </c>
      <c r="CD64" s="3">
        <v>150.80000000000001</v>
      </c>
      <c r="CE64" s="3">
        <v>129.6</v>
      </c>
      <c r="CF64" s="3">
        <v>84.6</v>
      </c>
      <c r="CG64" s="3">
        <v>110.9</v>
      </c>
      <c r="CH64" s="3">
        <v>120.9</v>
      </c>
      <c r="CI64" s="3">
        <v>149.4</v>
      </c>
      <c r="CJ64" s="3">
        <v>138.30000000000001</v>
      </c>
      <c r="CK64" s="3">
        <v>118.1</v>
      </c>
      <c r="CL64" s="3">
        <v>162.5</v>
      </c>
    </row>
    <row r="65" spans="1:91" x14ac:dyDescent="0.25">
      <c r="A65" s="4">
        <v>33695</v>
      </c>
      <c r="B65" s="3">
        <v>134.80000000000001</v>
      </c>
      <c r="C65" s="3">
        <v>136.6</v>
      </c>
      <c r="D65" s="3">
        <v>133.80000000000001</v>
      </c>
      <c r="E65" s="3">
        <v>124.5</v>
      </c>
      <c r="F65" s="3">
        <v>123.6</v>
      </c>
      <c r="G65" s="3">
        <v>129.9</v>
      </c>
      <c r="H65" s="3">
        <v>128.30000000000001</v>
      </c>
      <c r="I65" s="3">
        <v>137.5</v>
      </c>
      <c r="J65" s="3">
        <v>109.6</v>
      </c>
      <c r="K65" s="3">
        <v>123.2</v>
      </c>
      <c r="L65" s="3">
        <v>124.5</v>
      </c>
      <c r="M65" s="3">
        <v>144</v>
      </c>
      <c r="N65" s="3">
        <v>113.7</v>
      </c>
      <c r="O65" s="3">
        <v>127.2</v>
      </c>
      <c r="P65" s="3">
        <v>128.30000000000001</v>
      </c>
      <c r="Q65" s="3">
        <v>130.1</v>
      </c>
      <c r="R65" s="3">
        <v>115.3</v>
      </c>
      <c r="S65" s="3">
        <v>136.1</v>
      </c>
      <c r="T65" s="3">
        <v>137.6</v>
      </c>
      <c r="U65" s="3">
        <v>152.30000000000001</v>
      </c>
      <c r="V65" s="3">
        <v>90.8</v>
      </c>
      <c r="W65" s="3">
        <v>156.1</v>
      </c>
      <c r="X65" s="3">
        <v>137.69999999999999</v>
      </c>
      <c r="Y65" s="3">
        <v>120.1</v>
      </c>
      <c r="Z65" s="3">
        <v>128.6</v>
      </c>
      <c r="AA65" s="3">
        <v>121.9</v>
      </c>
      <c r="AB65" s="3">
        <v>135.6</v>
      </c>
      <c r="AC65" s="3">
        <v>114.1</v>
      </c>
      <c r="AD65" s="3">
        <v>106.2</v>
      </c>
      <c r="AE65" s="3">
        <v>132.9</v>
      </c>
      <c r="AF65" s="3">
        <v>133.4</v>
      </c>
      <c r="AG65" s="3">
        <v>135.30000000000001</v>
      </c>
      <c r="AH65" s="3">
        <v>127.8</v>
      </c>
      <c r="AI65" s="3">
        <v>134.30000000000001</v>
      </c>
      <c r="AJ65" s="3">
        <v>146</v>
      </c>
      <c r="AK65" s="3">
        <v>148.1</v>
      </c>
      <c r="AL65" s="3">
        <v>146.1</v>
      </c>
      <c r="AM65" s="3">
        <v>150.69999999999999</v>
      </c>
      <c r="AN65" s="3">
        <v>152.5</v>
      </c>
      <c r="AO65" s="3">
        <v>138.1</v>
      </c>
      <c r="AP65" s="3">
        <v>141.80000000000001</v>
      </c>
      <c r="AQ65" s="3">
        <v>147.80000000000001</v>
      </c>
      <c r="AR65" s="3">
        <v>137.4</v>
      </c>
      <c r="AS65" s="3">
        <v>146.6</v>
      </c>
      <c r="AT65" s="3">
        <v>139.5</v>
      </c>
      <c r="AU65" s="3">
        <v>168.5</v>
      </c>
      <c r="AV65" s="3">
        <v>182.8</v>
      </c>
      <c r="AX65" s="3">
        <v>137</v>
      </c>
      <c r="AY65" s="3">
        <v>191.7</v>
      </c>
      <c r="AZ65" s="3">
        <v>143.19999999999999</v>
      </c>
      <c r="BA65" s="3">
        <v>140.30000000000001</v>
      </c>
      <c r="BB65" s="3">
        <v>189.7</v>
      </c>
      <c r="BC65" s="3">
        <v>117.6</v>
      </c>
      <c r="BD65" s="3">
        <v>140</v>
      </c>
      <c r="BE65" s="3">
        <v>119.5</v>
      </c>
      <c r="BF65" s="3">
        <v>103</v>
      </c>
      <c r="BG65" s="3">
        <v>127.1</v>
      </c>
      <c r="BH65" s="3">
        <v>123.1</v>
      </c>
      <c r="BI65" s="3">
        <v>112.8</v>
      </c>
      <c r="BJ65" s="3">
        <v>131.69999999999999</v>
      </c>
      <c r="BK65" s="3">
        <v>142.30000000000001</v>
      </c>
      <c r="BL65" s="3">
        <v>120</v>
      </c>
      <c r="BM65" s="3">
        <v>138.1</v>
      </c>
      <c r="BN65" s="3">
        <v>120.7</v>
      </c>
      <c r="BO65" s="3">
        <v>148.9</v>
      </c>
      <c r="BP65" s="3">
        <v>145.4</v>
      </c>
      <c r="BQ65" s="3">
        <v>119.6</v>
      </c>
      <c r="BR65" s="3">
        <v>110.8</v>
      </c>
      <c r="BS65" s="3">
        <v>120.6</v>
      </c>
      <c r="BT65" s="3">
        <v>135.1</v>
      </c>
      <c r="BU65" s="3">
        <v>123</v>
      </c>
      <c r="BV65" s="3">
        <v>113.7</v>
      </c>
      <c r="BW65" s="3">
        <v>146.1</v>
      </c>
      <c r="BX65" s="3">
        <v>166.9</v>
      </c>
      <c r="BY65" s="3">
        <v>130.30000000000001</v>
      </c>
      <c r="BZ65" s="3">
        <v>152</v>
      </c>
      <c r="CA65" s="3">
        <v>132.4</v>
      </c>
      <c r="CB65" s="3">
        <v>168</v>
      </c>
      <c r="CC65" s="3">
        <v>150.80000000000001</v>
      </c>
      <c r="CD65" s="3">
        <v>153.4</v>
      </c>
      <c r="CE65" s="3">
        <v>129.6</v>
      </c>
      <c r="CF65" s="3">
        <v>84.5</v>
      </c>
      <c r="CG65" s="3">
        <v>111.4</v>
      </c>
      <c r="CH65" s="3">
        <v>120.8</v>
      </c>
      <c r="CI65" s="3">
        <v>150.9</v>
      </c>
      <c r="CJ65" s="3">
        <v>138.19999999999999</v>
      </c>
      <c r="CK65" s="3">
        <v>121</v>
      </c>
      <c r="CL65" s="3">
        <v>166.9</v>
      </c>
    </row>
    <row r="66" spans="1:91" x14ac:dyDescent="0.25">
      <c r="A66" s="4">
        <v>33725</v>
      </c>
      <c r="B66" s="3">
        <v>135.4</v>
      </c>
      <c r="C66" s="3">
        <v>136</v>
      </c>
      <c r="D66" s="3">
        <v>135.1</v>
      </c>
      <c r="E66" s="3">
        <v>125.5</v>
      </c>
      <c r="F66" s="3">
        <v>122.2</v>
      </c>
      <c r="G66" s="3">
        <v>127.9</v>
      </c>
      <c r="H66" s="3">
        <v>133.6</v>
      </c>
      <c r="I66" s="3">
        <v>137.80000000000001</v>
      </c>
      <c r="J66" s="3">
        <v>112.7</v>
      </c>
      <c r="K66" s="3">
        <v>124.1</v>
      </c>
      <c r="L66" s="3">
        <v>125.8</v>
      </c>
      <c r="M66" s="3">
        <v>145.80000000000001</v>
      </c>
      <c r="N66" s="3">
        <v>114.9</v>
      </c>
      <c r="O66" s="3">
        <v>127</v>
      </c>
      <c r="P66" s="3">
        <v>129</v>
      </c>
      <c r="Q66" s="3">
        <v>133.1</v>
      </c>
      <c r="R66" s="3">
        <v>116</v>
      </c>
      <c r="S66" s="3">
        <v>136.4</v>
      </c>
      <c r="T66" s="3">
        <v>137.69999999999999</v>
      </c>
      <c r="U66" s="3">
        <v>151.9</v>
      </c>
      <c r="V66" s="3">
        <v>91.2</v>
      </c>
      <c r="W66" s="3">
        <v>156.19999999999999</v>
      </c>
      <c r="X66" s="3">
        <v>137.6</v>
      </c>
      <c r="Y66" s="3">
        <v>121.4</v>
      </c>
      <c r="Z66" s="3">
        <v>132.4</v>
      </c>
      <c r="AA66" s="3">
        <v>126.8</v>
      </c>
      <c r="AB66" s="3">
        <v>138.5</v>
      </c>
      <c r="AC66" s="3">
        <v>111.6</v>
      </c>
      <c r="AD66" s="3">
        <v>102.6</v>
      </c>
      <c r="AE66" s="3">
        <v>133.30000000000001</v>
      </c>
      <c r="AF66" s="3">
        <v>131.1</v>
      </c>
      <c r="AG66" s="3">
        <v>132</v>
      </c>
      <c r="AH66" s="3">
        <v>128.5</v>
      </c>
      <c r="AI66" s="3">
        <v>134</v>
      </c>
      <c r="AJ66" s="3">
        <v>146.80000000000001</v>
      </c>
      <c r="AK66" s="3">
        <v>148.69999999999999</v>
      </c>
      <c r="AL66" s="3">
        <v>147</v>
      </c>
      <c r="AM66" s="3">
        <v>151.5</v>
      </c>
      <c r="AN66" s="3">
        <v>153.19999999999999</v>
      </c>
      <c r="AO66" s="3">
        <v>139.19999999999999</v>
      </c>
      <c r="AP66" s="3">
        <v>142.6</v>
      </c>
      <c r="AQ66" s="3">
        <v>148.69999999999999</v>
      </c>
      <c r="AR66" s="3">
        <v>138.19999999999999</v>
      </c>
      <c r="AS66" s="3">
        <v>147.1</v>
      </c>
      <c r="AT66" s="3">
        <v>139.9</v>
      </c>
      <c r="AU66" s="3">
        <v>168.7</v>
      </c>
      <c r="AV66" s="3">
        <v>183.6</v>
      </c>
      <c r="AX66" s="3">
        <v>136.6</v>
      </c>
      <c r="AY66" s="3">
        <v>191.8</v>
      </c>
      <c r="AZ66" s="3">
        <v>143.5</v>
      </c>
      <c r="BA66" s="3">
        <v>141</v>
      </c>
      <c r="BB66" s="3">
        <v>189.9</v>
      </c>
      <c r="BC66" s="3">
        <v>116.5</v>
      </c>
      <c r="BD66" s="3">
        <v>141</v>
      </c>
      <c r="BE66" s="3">
        <v>119.5</v>
      </c>
      <c r="BF66" s="3">
        <v>103.8</v>
      </c>
      <c r="BG66" s="3">
        <v>128.1</v>
      </c>
      <c r="BH66" s="3">
        <v>123.3</v>
      </c>
      <c r="BI66" s="3">
        <v>112</v>
      </c>
      <c r="BJ66" s="3">
        <v>131.9</v>
      </c>
      <c r="BK66" s="3">
        <v>144</v>
      </c>
      <c r="BL66" s="3">
        <v>119.6</v>
      </c>
      <c r="BM66" s="3">
        <v>138.1</v>
      </c>
      <c r="BN66" s="3">
        <v>120.7</v>
      </c>
      <c r="BO66" s="3">
        <v>149.6</v>
      </c>
      <c r="BP66" s="3">
        <v>145.1</v>
      </c>
      <c r="BQ66" s="3">
        <v>121.8</v>
      </c>
      <c r="BR66" s="3">
        <v>109.5</v>
      </c>
      <c r="BS66" s="3">
        <v>120.8</v>
      </c>
      <c r="BT66" s="3">
        <v>135.30000000000001</v>
      </c>
      <c r="BU66" s="3">
        <v>123</v>
      </c>
      <c r="BV66" s="3">
        <v>114</v>
      </c>
      <c r="BW66" s="3">
        <v>146.6</v>
      </c>
      <c r="BX66" s="3">
        <v>167.8</v>
      </c>
      <c r="BY66" s="3">
        <v>131</v>
      </c>
      <c r="BZ66" s="3">
        <v>152.6</v>
      </c>
      <c r="CA66" s="3">
        <v>134.1</v>
      </c>
      <c r="CB66" s="3">
        <v>168</v>
      </c>
      <c r="CC66" s="3">
        <v>151.30000000000001</v>
      </c>
      <c r="CD66" s="3">
        <v>153.9</v>
      </c>
      <c r="CE66" s="3">
        <v>129.80000000000001</v>
      </c>
      <c r="CF66" s="3">
        <v>84.1</v>
      </c>
      <c r="CG66" s="3">
        <v>111.7</v>
      </c>
      <c r="CH66" s="3">
        <v>121.4</v>
      </c>
      <c r="CI66" s="3">
        <v>151.4</v>
      </c>
      <c r="CJ66" s="3">
        <v>138.6</v>
      </c>
      <c r="CK66" s="3">
        <v>121</v>
      </c>
      <c r="CL66" s="3">
        <v>167.5</v>
      </c>
    </row>
    <row r="67" spans="1:91" x14ac:dyDescent="0.25">
      <c r="A67" s="4">
        <v>33756</v>
      </c>
      <c r="B67" s="3">
        <v>135.19999999999999</v>
      </c>
      <c r="C67" s="3">
        <v>135.4</v>
      </c>
      <c r="D67" s="3">
        <v>134.80000000000001</v>
      </c>
      <c r="E67" s="3">
        <v>125.2</v>
      </c>
      <c r="F67" s="3">
        <v>115.2</v>
      </c>
      <c r="G67" s="3">
        <v>116.6</v>
      </c>
      <c r="H67" s="3">
        <v>130.5</v>
      </c>
      <c r="I67" s="3">
        <v>138.80000000000001</v>
      </c>
      <c r="J67" s="3">
        <v>109.7</v>
      </c>
      <c r="K67" s="3">
        <v>123.9</v>
      </c>
      <c r="L67" s="3">
        <v>124.6</v>
      </c>
      <c r="M67" s="3">
        <v>136.4</v>
      </c>
      <c r="N67" s="3">
        <v>115.3</v>
      </c>
      <c r="O67" s="3">
        <v>127</v>
      </c>
      <c r="P67" s="3">
        <v>128.69999999999999</v>
      </c>
      <c r="Q67" s="3">
        <v>134.19999999999999</v>
      </c>
      <c r="R67" s="3">
        <v>113.9</v>
      </c>
      <c r="S67" s="3">
        <v>137.6</v>
      </c>
      <c r="T67" s="3">
        <v>138.80000000000001</v>
      </c>
      <c r="U67" s="3">
        <v>150.9</v>
      </c>
      <c r="V67" s="3">
        <v>91.4</v>
      </c>
      <c r="W67" s="3">
        <v>156.1</v>
      </c>
      <c r="X67" s="3">
        <v>137.30000000000001</v>
      </c>
      <c r="Y67" s="3">
        <v>121.8</v>
      </c>
      <c r="Z67" s="3">
        <v>122.6</v>
      </c>
      <c r="AA67" s="3">
        <v>103.6</v>
      </c>
      <c r="AB67" s="3">
        <v>140</v>
      </c>
      <c r="AC67" s="3">
        <v>113</v>
      </c>
      <c r="AD67" s="3">
        <v>105.7</v>
      </c>
      <c r="AE67" s="3">
        <v>130.1</v>
      </c>
      <c r="AF67" s="3">
        <v>132.4</v>
      </c>
      <c r="AG67" s="3">
        <v>133.69999999999999</v>
      </c>
      <c r="AH67" s="3">
        <v>128.6</v>
      </c>
      <c r="AI67" s="3">
        <v>135</v>
      </c>
      <c r="AJ67" s="3">
        <v>147.30000000000001</v>
      </c>
      <c r="AK67" s="3">
        <v>150.1</v>
      </c>
      <c r="AL67" s="3">
        <v>147.69999999999999</v>
      </c>
      <c r="AM67" s="3">
        <v>151.9</v>
      </c>
      <c r="AN67" s="3">
        <v>153.80000000000001</v>
      </c>
      <c r="AO67" s="3">
        <v>138.69999999999999</v>
      </c>
      <c r="AP67" s="3">
        <v>143.19999999999999</v>
      </c>
      <c r="AQ67" s="3">
        <v>149.1</v>
      </c>
      <c r="AR67" s="3">
        <v>138.80000000000001</v>
      </c>
      <c r="AS67" s="3">
        <v>147</v>
      </c>
      <c r="AT67" s="3">
        <v>139.9</v>
      </c>
      <c r="AU67" s="3">
        <v>168.7</v>
      </c>
      <c r="AV67" s="3">
        <v>183.5</v>
      </c>
      <c r="AX67" s="3">
        <v>136.6</v>
      </c>
      <c r="AY67" s="3">
        <v>191.8</v>
      </c>
      <c r="AZ67" s="3">
        <v>143.80000000000001</v>
      </c>
      <c r="BA67" s="3">
        <v>137.5</v>
      </c>
      <c r="BB67" s="3">
        <v>190.2</v>
      </c>
      <c r="BC67" s="3">
        <v>112</v>
      </c>
      <c r="BD67" s="3">
        <v>142</v>
      </c>
      <c r="BE67" s="3">
        <v>119.5</v>
      </c>
      <c r="BF67" s="3">
        <v>103.2</v>
      </c>
      <c r="BG67" s="3">
        <v>126.7</v>
      </c>
      <c r="BH67" s="3">
        <v>124.1</v>
      </c>
      <c r="BI67" s="3">
        <v>112.3</v>
      </c>
      <c r="BJ67" s="3">
        <v>132.30000000000001</v>
      </c>
      <c r="BK67" s="3">
        <v>143.9</v>
      </c>
      <c r="BL67" s="3">
        <v>120.2</v>
      </c>
      <c r="BM67" s="3">
        <v>138.1</v>
      </c>
      <c r="BN67" s="3">
        <v>120.6</v>
      </c>
      <c r="BO67" s="3">
        <v>150</v>
      </c>
      <c r="BP67" s="3">
        <v>145.19999999999999</v>
      </c>
      <c r="BQ67" s="3">
        <v>121.9</v>
      </c>
      <c r="BR67" s="3">
        <v>109.9</v>
      </c>
      <c r="BS67" s="3">
        <v>120.8</v>
      </c>
      <c r="BT67" s="3">
        <v>135.69999999999999</v>
      </c>
      <c r="BU67" s="3">
        <v>123.2</v>
      </c>
      <c r="BV67" s="3">
        <v>114.1</v>
      </c>
      <c r="BW67" s="3">
        <v>146.69999999999999</v>
      </c>
      <c r="BX67" s="3">
        <v>168.4</v>
      </c>
      <c r="BY67" s="3">
        <v>131.6</v>
      </c>
      <c r="BZ67" s="3">
        <v>153.19999999999999</v>
      </c>
      <c r="CA67" s="3">
        <v>133.80000000000001</v>
      </c>
      <c r="CB67" s="3">
        <v>168</v>
      </c>
      <c r="CC67" s="3">
        <v>151.19999999999999</v>
      </c>
      <c r="CD67" s="3">
        <v>154.4</v>
      </c>
      <c r="CE67" s="3">
        <v>133.80000000000001</v>
      </c>
      <c r="CF67" s="3">
        <v>83.9</v>
      </c>
      <c r="CG67" s="3">
        <v>111.8</v>
      </c>
      <c r="CH67" s="3">
        <v>121.5</v>
      </c>
      <c r="CI67" s="3">
        <v>152.1</v>
      </c>
      <c r="CJ67" s="3">
        <v>135.69999999999999</v>
      </c>
      <c r="CK67" s="3">
        <v>121</v>
      </c>
      <c r="CL67" s="3">
        <v>167.8</v>
      </c>
    </row>
    <row r="68" spans="1:91" x14ac:dyDescent="0.25">
      <c r="A68" s="4">
        <v>33786</v>
      </c>
      <c r="B68" s="3">
        <v>134.1</v>
      </c>
      <c r="C68" s="3">
        <v>136.1</v>
      </c>
      <c r="D68" s="3">
        <v>136.5</v>
      </c>
      <c r="E68" s="3">
        <v>123.6</v>
      </c>
      <c r="F68" s="3">
        <v>109.7</v>
      </c>
      <c r="G68" s="3">
        <v>109.1</v>
      </c>
      <c r="H68" s="3">
        <v>126.4</v>
      </c>
      <c r="I68" s="3">
        <v>137.9</v>
      </c>
      <c r="J68" s="3">
        <v>112.5</v>
      </c>
      <c r="K68" s="3">
        <v>123</v>
      </c>
      <c r="L68" s="3">
        <v>126.4</v>
      </c>
      <c r="M68" s="3">
        <v>140.4</v>
      </c>
      <c r="N68" s="3">
        <v>116.6</v>
      </c>
      <c r="O68" s="3">
        <v>126.8</v>
      </c>
      <c r="P68" s="3">
        <v>126.7</v>
      </c>
      <c r="Q68" s="3">
        <v>132.69999999999999</v>
      </c>
      <c r="R68" s="3">
        <v>111.8</v>
      </c>
      <c r="S68" s="3">
        <v>138.69999999999999</v>
      </c>
      <c r="T68" s="3">
        <v>136.1</v>
      </c>
      <c r="U68" s="3">
        <v>150.6</v>
      </c>
      <c r="V68" s="3">
        <v>90.8</v>
      </c>
      <c r="W68" s="3">
        <v>155.80000000000001</v>
      </c>
      <c r="X68" s="3">
        <v>136.80000000000001</v>
      </c>
      <c r="Y68" s="3">
        <v>122.7</v>
      </c>
      <c r="Z68" s="3">
        <v>121.2</v>
      </c>
      <c r="AA68" s="3">
        <v>99.8</v>
      </c>
      <c r="AB68" s="3">
        <v>140.5</v>
      </c>
      <c r="AC68" s="3">
        <v>99.7</v>
      </c>
      <c r="AD68" s="3">
        <v>88</v>
      </c>
      <c r="AE68" s="3">
        <v>128.30000000000001</v>
      </c>
      <c r="AF68" s="3">
        <v>121</v>
      </c>
      <c r="AG68" s="3">
        <v>119.1</v>
      </c>
      <c r="AH68" s="3">
        <v>127.8</v>
      </c>
      <c r="AI68" s="3">
        <v>135</v>
      </c>
      <c r="AJ68" s="3">
        <v>147.80000000000001</v>
      </c>
      <c r="AK68" s="3">
        <v>150.4</v>
      </c>
      <c r="AL68" s="3">
        <v>148.19999999999999</v>
      </c>
      <c r="AM68" s="3">
        <v>153</v>
      </c>
      <c r="AN68" s="3">
        <v>155</v>
      </c>
      <c r="AO68" s="3">
        <v>138.5</v>
      </c>
      <c r="AP68" s="3">
        <v>143.69999999999999</v>
      </c>
      <c r="AQ68" s="3">
        <v>149.6</v>
      </c>
      <c r="AR68" s="3">
        <v>139.30000000000001</v>
      </c>
      <c r="AS68" s="3">
        <v>146.9</v>
      </c>
      <c r="AT68" s="3">
        <v>139.9</v>
      </c>
      <c r="AU68" s="3">
        <v>168.9</v>
      </c>
      <c r="AV68" s="3">
        <v>181.4</v>
      </c>
      <c r="AX68" s="3">
        <v>136.6</v>
      </c>
      <c r="AY68" s="3">
        <v>191.8</v>
      </c>
      <c r="AZ68" s="3">
        <v>144.1</v>
      </c>
      <c r="BA68" s="3">
        <v>143.19999999999999</v>
      </c>
      <c r="BB68" s="3">
        <v>200.6</v>
      </c>
      <c r="BC68" s="3">
        <v>112.1</v>
      </c>
      <c r="BD68" s="3">
        <v>142.69999999999999</v>
      </c>
      <c r="BE68" s="3">
        <v>118.9</v>
      </c>
      <c r="BF68" s="3">
        <v>103.4</v>
      </c>
      <c r="BG68" s="3">
        <v>124.9</v>
      </c>
      <c r="BH68" s="3">
        <v>120.9</v>
      </c>
      <c r="BI68" s="3">
        <v>108.9</v>
      </c>
      <c r="BJ68" s="3">
        <v>130.1</v>
      </c>
      <c r="BK68" s="3">
        <v>144.5</v>
      </c>
      <c r="BL68" s="3">
        <v>120.3</v>
      </c>
      <c r="BM68" s="3">
        <v>138.1</v>
      </c>
      <c r="BN68" s="3">
        <v>120.6</v>
      </c>
      <c r="BO68" s="3">
        <v>150.80000000000001</v>
      </c>
      <c r="BP68" s="3">
        <v>148.30000000000001</v>
      </c>
      <c r="BQ68" s="3">
        <v>114.3</v>
      </c>
      <c r="BR68" s="3">
        <v>104.6</v>
      </c>
      <c r="BS68" s="3">
        <v>115.8</v>
      </c>
      <c r="BT68" s="3">
        <v>132.69999999999999</v>
      </c>
      <c r="BU68" s="3">
        <v>120.5</v>
      </c>
      <c r="BV68" s="3">
        <v>113.2</v>
      </c>
      <c r="BW68" s="3">
        <v>148.1</v>
      </c>
      <c r="BX68" s="3">
        <v>171.6</v>
      </c>
      <c r="BY68" s="3">
        <v>131.4</v>
      </c>
      <c r="BZ68" s="3">
        <v>153.6</v>
      </c>
      <c r="CA68" s="3">
        <v>133.6</v>
      </c>
      <c r="CB68" s="3">
        <v>168.9</v>
      </c>
      <c r="CC68" s="3">
        <v>151.19999999999999</v>
      </c>
      <c r="CD68" s="3">
        <v>154.5</v>
      </c>
      <c r="CE68" s="3">
        <v>133.5</v>
      </c>
      <c r="CF68" s="3">
        <v>81.900000000000006</v>
      </c>
      <c r="CG68" s="3">
        <v>111.9</v>
      </c>
      <c r="CH68" s="3">
        <v>120.8</v>
      </c>
      <c r="CI68" s="3">
        <v>153</v>
      </c>
      <c r="CJ68" s="3">
        <v>139.4</v>
      </c>
      <c r="CK68" s="3">
        <v>119.8</v>
      </c>
      <c r="CL68" s="3">
        <v>168.4</v>
      </c>
    </row>
    <row r="69" spans="1:91" x14ac:dyDescent="0.25">
      <c r="A69" s="4">
        <v>33817</v>
      </c>
      <c r="B69" s="3">
        <v>133.9</v>
      </c>
      <c r="C69" s="3">
        <v>136.1</v>
      </c>
      <c r="D69" s="3">
        <v>136.30000000000001</v>
      </c>
      <c r="E69" s="3">
        <v>124.3</v>
      </c>
      <c r="F69" s="3">
        <v>109.8</v>
      </c>
      <c r="G69" s="3">
        <v>107.3</v>
      </c>
      <c r="H69" s="3">
        <v>124.7</v>
      </c>
      <c r="I69" s="3">
        <v>137.6</v>
      </c>
      <c r="J69" s="3">
        <v>113.1</v>
      </c>
      <c r="K69" s="3">
        <v>123</v>
      </c>
      <c r="L69" s="3">
        <v>126.5</v>
      </c>
      <c r="M69" s="3">
        <v>139.5</v>
      </c>
      <c r="N69" s="3">
        <v>116.9</v>
      </c>
      <c r="O69" s="3">
        <v>126.5</v>
      </c>
      <c r="P69" s="3">
        <v>128.1</v>
      </c>
      <c r="Q69" s="3">
        <v>133.80000000000001</v>
      </c>
      <c r="R69" s="3">
        <v>112.6</v>
      </c>
      <c r="S69" s="3">
        <v>139.1</v>
      </c>
      <c r="T69" s="3">
        <v>137.80000000000001</v>
      </c>
      <c r="U69" s="3">
        <v>150.69999999999999</v>
      </c>
      <c r="V69" s="3">
        <v>91.6</v>
      </c>
      <c r="W69" s="3">
        <v>154.9</v>
      </c>
      <c r="X69" s="3">
        <v>136.5</v>
      </c>
      <c r="Y69" s="3">
        <v>123.8</v>
      </c>
      <c r="Z69" s="3">
        <v>130.6</v>
      </c>
      <c r="AA69" s="3">
        <v>120</v>
      </c>
      <c r="AB69" s="3">
        <v>140.9</v>
      </c>
      <c r="AC69" s="3">
        <v>98.8</v>
      </c>
      <c r="AD69" s="3">
        <v>86.8</v>
      </c>
      <c r="AE69" s="3">
        <v>127.9</v>
      </c>
      <c r="AF69" s="3">
        <v>117.9</v>
      </c>
      <c r="AG69" s="3">
        <v>115.1</v>
      </c>
      <c r="AH69" s="3">
        <v>127.5</v>
      </c>
      <c r="AI69" s="3">
        <v>134.19999999999999</v>
      </c>
      <c r="AJ69" s="3">
        <v>148.30000000000001</v>
      </c>
      <c r="AK69" s="3">
        <v>150.4</v>
      </c>
      <c r="AL69" s="3">
        <v>149</v>
      </c>
      <c r="AM69" s="3">
        <v>153.6</v>
      </c>
      <c r="AN69" s="3">
        <v>155.69999999999999</v>
      </c>
      <c r="AO69" s="3">
        <v>139</v>
      </c>
      <c r="AP69" s="3">
        <v>143.9</v>
      </c>
      <c r="AQ69" s="3">
        <v>149.80000000000001</v>
      </c>
      <c r="AR69" s="3">
        <v>139.4</v>
      </c>
      <c r="AS69" s="3">
        <v>146.69999999999999</v>
      </c>
      <c r="AT69" s="3">
        <v>139.9</v>
      </c>
      <c r="AU69" s="3">
        <v>169.1</v>
      </c>
      <c r="AV69" s="3">
        <v>182.2</v>
      </c>
      <c r="AX69" s="3">
        <v>136.6</v>
      </c>
      <c r="AY69" s="3">
        <v>191.8</v>
      </c>
      <c r="AZ69" s="3">
        <v>144.5</v>
      </c>
      <c r="BA69" s="3">
        <v>143.6</v>
      </c>
      <c r="BB69" s="3">
        <v>200.4</v>
      </c>
      <c r="BC69" s="3">
        <v>111.9</v>
      </c>
      <c r="BD69" s="3">
        <v>142.69999999999999</v>
      </c>
      <c r="BE69" s="3">
        <v>117.7</v>
      </c>
      <c r="BF69" s="3">
        <v>100.8</v>
      </c>
      <c r="BG69" s="3">
        <v>126.8</v>
      </c>
      <c r="BH69" s="3">
        <v>122.6</v>
      </c>
      <c r="BI69" s="3">
        <v>108.8</v>
      </c>
      <c r="BJ69" s="3">
        <v>130.4</v>
      </c>
      <c r="BK69" s="3">
        <v>144.9</v>
      </c>
      <c r="BL69" s="3">
        <v>120.4</v>
      </c>
      <c r="BM69" s="3">
        <v>138.1</v>
      </c>
      <c r="BN69" s="3">
        <v>120.6</v>
      </c>
      <c r="BO69" s="3">
        <v>151.30000000000001</v>
      </c>
      <c r="BP69" s="3">
        <v>147.6</v>
      </c>
      <c r="BQ69" s="3">
        <v>115.7</v>
      </c>
      <c r="BR69" s="3">
        <v>103.4</v>
      </c>
      <c r="BS69" s="3">
        <v>115.7</v>
      </c>
      <c r="BT69" s="3">
        <v>133.30000000000001</v>
      </c>
      <c r="BU69" s="3">
        <v>120.1</v>
      </c>
      <c r="BV69" s="3">
        <v>113.5</v>
      </c>
      <c r="BW69" s="3">
        <v>147.9</v>
      </c>
      <c r="BX69" s="3">
        <v>172</v>
      </c>
      <c r="BY69" s="3">
        <v>131.4</v>
      </c>
      <c r="BZ69" s="3">
        <v>154.5</v>
      </c>
      <c r="CA69" s="3">
        <v>131.80000000000001</v>
      </c>
      <c r="CB69" s="3">
        <v>168.9</v>
      </c>
      <c r="CC69" s="3">
        <v>151.19999999999999</v>
      </c>
      <c r="CD69" s="3">
        <v>154.6</v>
      </c>
      <c r="CE69" s="3">
        <v>133.69999999999999</v>
      </c>
      <c r="CF69" s="3">
        <v>81.900000000000006</v>
      </c>
      <c r="CG69" s="3">
        <v>111.7</v>
      </c>
      <c r="CH69" s="3">
        <v>120.9</v>
      </c>
      <c r="CI69" s="3">
        <v>153.9</v>
      </c>
      <c r="CJ69" s="3">
        <v>138.30000000000001</v>
      </c>
      <c r="CK69" s="3">
        <v>119.8</v>
      </c>
      <c r="CL69" s="3">
        <v>168.8</v>
      </c>
    </row>
    <row r="70" spans="1:91" x14ac:dyDescent="0.25">
      <c r="A70" s="4">
        <v>33848</v>
      </c>
      <c r="B70" s="3">
        <v>134.6</v>
      </c>
      <c r="C70" s="3">
        <v>135.9</v>
      </c>
      <c r="D70" s="3">
        <v>137.6</v>
      </c>
      <c r="E70" s="3">
        <v>124.9</v>
      </c>
      <c r="F70" s="3">
        <v>108.3</v>
      </c>
      <c r="G70" s="3">
        <v>107.6</v>
      </c>
      <c r="H70" s="3">
        <v>123.5</v>
      </c>
      <c r="I70" s="3">
        <v>135.6</v>
      </c>
      <c r="J70" s="3">
        <v>111.1</v>
      </c>
      <c r="K70" s="3">
        <v>123</v>
      </c>
      <c r="L70" s="3">
        <v>127.6</v>
      </c>
      <c r="M70" s="3">
        <v>142</v>
      </c>
      <c r="N70" s="3">
        <v>117.6</v>
      </c>
      <c r="O70" s="3">
        <v>126.1</v>
      </c>
      <c r="P70" s="3">
        <v>128.19999999999999</v>
      </c>
      <c r="Q70" s="3">
        <v>134.5</v>
      </c>
      <c r="R70" s="3">
        <v>111.7</v>
      </c>
      <c r="S70" s="3">
        <v>139.80000000000001</v>
      </c>
      <c r="T70" s="3">
        <v>135.9</v>
      </c>
      <c r="U70" s="3">
        <v>150.80000000000001</v>
      </c>
      <c r="V70" s="3">
        <v>91.3</v>
      </c>
      <c r="W70" s="3">
        <v>154.30000000000001</v>
      </c>
      <c r="X70" s="3">
        <v>136.30000000000001</v>
      </c>
      <c r="Y70" s="3">
        <v>123.8</v>
      </c>
      <c r="Z70" s="3">
        <v>126</v>
      </c>
      <c r="AA70" s="3">
        <v>110.4</v>
      </c>
      <c r="AB70" s="3">
        <v>140.5</v>
      </c>
      <c r="AC70" s="3">
        <v>100</v>
      </c>
      <c r="AD70" s="3">
        <v>89.1</v>
      </c>
      <c r="AE70" s="3">
        <v>126.6</v>
      </c>
      <c r="AF70" s="3">
        <v>111.9</v>
      </c>
      <c r="AG70" s="3">
        <v>107.1</v>
      </c>
      <c r="AH70" s="3">
        <v>128</v>
      </c>
      <c r="AI70" s="3">
        <v>135.4</v>
      </c>
      <c r="AJ70" s="3">
        <v>148.80000000000001</v>
      </c>
      <c r="AK70" s="3">
        <v>153</v>
      </c>
      <c r="AL70" s="3">
        <v>149.30000000000001</v>
      </c>
      <c r="AM70" s="3">
        <v>154.30000000000001</v>
      </c>
      <c r="AN70" s="3">
        <v>156.5</v>
      </c>
      <c r="AO70" s="3">
        <v>138.80000000000001</v>
      </c>
      <c r="AP70" s="3">
        <v>144.1</v>
      </c>
      <c r="AQ70" s="3">
        <v>150.19999999999999</v>
      </c>
      <c r="AR70" s="3">
        <v>139.69999999999999</v>
      </c>
      <c r="AS70" s="3">
        <v>146.69999999999999</v>
      </c>
      <c r="AT70" s="3">
        <v>140.1</v>
      </c>
      <c r="AU70" s="3">
        <v>169.2</v>
      </c>
      <c r="AV70" s="3">
        <v>183.2</v>
      </c>
      <c r="AX70" s="3">
        <v>136.6</v>
      </c>
      <c r="AY70" s="3">
        <v>191.8</v>
      </c>
      <c r="AZ70" s="3">
        <v>144.5</v>
      </c>
      <c r="BA70" s="3">
        <v>142.80000000000001</v>
      </c>
      <c r="BB70" s="3">
        <v>200</v>
      </c>
      <c r="BC70" s="3">
        <v>116.5</v>
      </c>
      <c r="BD70" s="3">
        <v>142.69999999999999</v>
      </c>
      <c r="BE70" s="3">
        <v>116.5</v>
      </c>
      <c r="BF70" s="3">
        <v>98.3</v>
      </c>
      <c r="BG70" s="3">
        <v>128.4</v>
      </c>
      <c r="BH70" s="3">
        <v>123.4</v>
      </c>
      <c r="BI70" s="3">
        <v>111.9</v>
      </c>
      <c r="BJ70" s="3">
        <v>131.1</v>
      </c>
      <c r="BK70" s="3">
        <v>145.1</v>
      </c>
      <c r="BL70" s="3">
        <v>120.4</v>
      </c>
      <c r="BM70" s="3">
        <v>138.19999999999999</v>
      </c>
      <c r="BN70" s="3">
        <v>120.6</v>
      </c>
      <c r="BO70" s="3">
        <v>151.6</v>
      </c>
      <c r="BP70" s="3">
        <v>147.19999999999999</v>
      </c>
      <c r="BQ70" s="3">
        <v>120.2</v>
      </c>
      <c r="BR70" s="3">
        <v>111.2</v>
      </c>
      <c r="BS70" s="3">
        <v>118.4</v>
      </c>
      <c r="BT70" s="3">
        <v>135.9</v>
      </c>
      <c r="BU70" s="3">
        <v>122.5</v>
      </c>
      <c r="BV70" s="3">
        <v>114.3</v>
      </c>
      <c r="BW70" s="3">
        <v>148.80000000000001</v>
      </c>
      <c r="BX70" s="3">
        <v>172.1</v>
      </c>
      <c r="BY70" s="3">
        <v>130.5</v>
      </c>
      <c r="BZ70" s="3">
        <v>155</v>
      </c>
      <c r="CA70" s="3">
        <v>130.69999999999999</v>
      </c>
      <c r="CB70" s="3">
        <v>168.9</v>
      </c>
      <c r="CC70" s="3">
        <v>151.19999999999999</v>
      </c>
      <c r="CD70" s="3">
        <v>154.69999999999999</v>
      </c>
      <c r="CE70" s="3">
        <v>134.1</v>
      </c>
      <c r="CF70" s="3">
        <v>81.900000000000006</v>
      </c>
      <c r="CG70" s="3">
        <v>112.5</v>
      </c>
      <c r="CH70" s="3">
        <v>120.6</v>
      </c>
      <c r="CI70" s="3">
        <v>154.4</v>
      </c>
      <c r="CJ70" s="3">
        <v>137.9</v>
      </c>
      <c r="CK70" s="3">
        <v>119.8</v>
      </c>
      <c r="CL70" s="3">
        <v>173.8</v>
      </c>
    </row>
    <row r="71" spans="1:91" x14ac:dyDescent="0.25">
      <c r="A71" s="4">
        <v>33878</v>
      </c>
      <c r="B71" s="3">
        <v>134.5</v>
      </c>
      <c r="C71" s="3">
        <v>135.19999999999999</v>
      </c>
      <c r="D71" s="3">
        <v>137</v>
      </c>
      <c r="E71" s="3">
        <v>124.7</v>
      </c>
      <c r="F71" s="3">
        <v>107.8</v>
      </c>
      <c r="G71" s="3">
        <v>105</v>
      </c>
      <c r="H71" s="3">
        <v>121.7</v>
      </c>
      <c r="I71" s="3">
        <v>136.19999999999999</v>
      </c>
      <c r="J71" s="3">
        <v>112.3</v>
      </c>
      <c r="K71" s="3">
        <v>123.6</v>
      </c>
      <c r="L71" s="3">
        <v>129.1</v>
      </c>
      <c r="M71" s="3">
        <v>141.9</v>
      </c>
      <c r="N71" s="3">
        <v>119.3</v>
      </c>
      <c r="O71" s="3">
        <v>125.9</v>
      </c>
      <c r="P71" s="3">
        <v>125.8</v>
      </c>
      <c r="Q71" s="3">
        <v>134.6</v>
      </c>
      <c r="R71" s="3">
        <v>116.1</v>
      </c>
      <c r="S71" s="3">
        <v>140.30000000000001</v>
      </c>
      <c r="T71" s="3">
        <v>139</v>
      </c>
      <c r="U71" s="3">
        <v>150.5</v>
      </c>
      <c r="V71" s="3">
        <v>91</v>
      </c>
      <c r="W71" s="3">
        <v>153.5</v>
      </c>
      <c r="X71" s="3">
        <v>136.30000000000001</v>
      </c>
      <c r="Y71" s="3">
        <v>122.4</v>
      </c>
      <c r="Z71" s="3">
        <v>121.5</v>
      </c>
      <c r="AA71" s="3">
        <v>101</v>
      </c>
      <c r="AB71" s="3">
        <v>140</v>
      </c>
      <c r="AC71" s="3">
        <v>106.7</v>
      </c>
      <c r="AD71" s="3">
        <v>98.5</v>
      </c>
      <c r="AE71" s="3">
        <v>126.3</v>
      </c>
      <c r="AF71" s="3">
        <v>112.9</v>
      </c>
      <c r="AG71" s="3">
        <v>108.7</v>
      </c>
      <c r="AH71" s="3">
        <v>126.9</v>
      </c>
      <c r="AI71" s="3">
        <v>135.80000000000001</v>
      </c>
      <c r="AJ71" s="3">
        <v>149.4</v>
      </c>
      <c r="AK71" s="3">
        <v>153.9</v>
      </c>
      <c r="AL71" s="3">
        <v>149.69999999999999</v>
      </c>
      <c r="AM71" s="3">
        <v>155.1</v>
      </c>
      <c r="AN71" s="3">
        <v>157.4</v>
      </c>
      <c r="AO71" s="3">
        <v>139</v>
      </c>
      <c r="AP71" s="3">
        <v>144.80000000000001</v>
      </c>
      <c r="AQ71" s="3">
        <v>150.69999999999999</v>
      </c>
      <c r="AR71" s="3">
        <v>140.4</v>
      </c>
      <c r="AS71" s="3">
        <v>146.69999999999999</v>
      </c>
      <c r="AT71" s="3">
        <v>140.1</v>
      </c>
      <c r="AU71" s="3">
        <v>170.5</v>
      </c>
      <c r="AV71" s="3">
        <v>183.6</v>
      </c>
      <c r="AX71" s="3">
        <v>136.6</v>
      </c>
      <c r="AY71" s="3">
        <v>191.8</v>
      </c>
      <c r="AZ71" s="3">
        <v>145.1</v>
      </c>
      <c r="BA71" s="3">
        <v>141.80000000000001</v>
      </c>
      <c r="BB71" s="3">
        <v>199.2</v>
      </c>
      <c r="BC71" s="3">
        <v>117.9</v>
      </c>
      <c r="BD71" s="3">
        <v>142.69999999999999</v>
      </c>
      <c r="BE71" s="3">
        <v>115.3</v>
      </c>
      <c r="BF71" s="3">
        <v>110.7</v>
      </c>
      <c r="BG71" s="3">
        <v>128.1</v>
      </c>
      <c r="BH71" s="3">
        <v>123.6</v>
      </c>
      <c r="BI71" s="3">
        <v>113.8</v>
      </c>
      <c r="BJ71" s="3">
        <v>130.6</v>
      </c>
      <c r="BK71" s="3">
        <v>145.4</v>
      </c>
      <c r="BL71" s="3">
        <v>120</v>
      </c>
      <c r="BM71" s="3">
        <v>138.19999999999999</v>
      </c>
      <c r="BN71" s="3">
        <v>120.6</v>
      </c>
      <c r="BO71" s="3">
        <v>152.4</v>
      </c>
      <c r="BP71" s="3">
        <v>147.6</v>
      </c>
      <c r="BQ71" s="3">
        <v>122.1</v>
      </c>
      <c r="BR71" s="3">
        <v>112.6</v>
      </c>
      <c r="BS71" s="3">
        <v>119.9</v>
      </c>
      <c r="BT71" s="3">
        <v>137.19999999999999</v>
      </c>
      <c r="BU71" s="3">
        <v>124.2</v>
      </c>
      <c r="BV71" s="3">
        <v>114.7</v>
      </c>
      <c r="BW71" s="3">
        <v>148.9</v>
      </c>
      <c r="BX71" s="3">
        <v>172.4</v>
      </c>
      <c r="BY71" s="3">
        <v>128.80000000000001</v>
      </c>
      <c r="BZ71" s="3">
        <v>155.5</v>
      </c>
      <c r="CA71" s="3">
        <v>134.4</v>
      </c>
      <c r="CB71" s="3">
        <v>175</v>
      </c>
      <c r="CC71" s="3">
        <v>152.19999999999999</v>
      </c>
      <c r="CD71" s="3">
        <v>155.5</v>
      </c>
      <c r="CE71" s="3">
        <v>134</v>
      </c>
      <c r="CF71" s="3">
        <v>82.2</v>
      </c>
      <c r="CG71" s="3">
        <v>112.4</v>
      </c>
      <c r="CH71" s="3">
        <v>120.6</v>
      </c>
      <c r="CI71" s="3">
        <v>155.1</v>
      </c>
      <c r="CJ71" s="3">
        <v>137.30000000000001</v>
      </c>
      <c r="CK71" s="3">
        <v>118.4</v>
      </c>
      <c r="CL71" s="3">
        <v>174.1</v>
      </c>
    </row>
    <row r="72" spans="1:91" x14ac:dyDescent="0.25">
      <c r="A72" s="4">
        <v>33909</v>
      </c>
      <c r="B72" s="3">
        <v>134.69999999999999</v>
      </c>
      <c r="C72" s="3">
        <v>134.9</v>
      </c>
      <c r="D72" s="3">
        <v>135.9</v>
      </c>
      <c r="E72" s="3">
        <v>126.8</v>
      </c>
      <c r="F72" s="3">
        <v>108</v>
      </c>
      <c r="G72" s="3">
        <v>105.9</v>
      </c>
      <c r="H72" s="3">
        <v>122.8</v>
      </c>
      <c r="I72" s="3">
        <v>137.9</v>
      </c>
      <c r="J72" s="3">
        <v>110</v>
      </c>
      <c r="K72" s="3">
        <v>123.2</v>
      </c>
      <c r="L72" s="3">
        <v>129.5</v>
      </c>
      <c r="M72" s="3">
        <v>145.19999999999999</v>
      </c>
      <c r="N72" s="3">
        <v>119.2</v>
      </c>
      <c r="O72" s="3">
        <v>127.2</v>
      </c>
      <c r="P72" s="3">
        <v>124.7</v>
      </c>
      <c r="Q72" s="3">
        <v>135.69999999999999</v>
      </c>
      <c r="R72" s="3">
        <v>112.3</v>
      </c>
      <c r="S72" s="3">
        <v>139.5</v>
      </c>
      <c r="T72" s="3">
        <v>137.1</v>
      </c>
      <c r="U72" s="3">
        <v>149.69999999999999</v>
      </c>
      <c r="V72" s="3">
        <v>91.1</v>
      </c>
      <c r="W72" s="3">
        <v>153.30000000000001</v>
      </c>
      <c r="X72" s="3">
        <v>136.5</v>
      </c>
      <c r="Y72" s="3">
        <v>122.7</v>
      </c>
      <c r="Z72" s="3">
        <v>118.7</v>
      </c>
      <c r="AA72" s="3">
        <v>95.5</v>
      </c>
      <c r="AB72" s="3">
        <v>139.6</v>
      </c>
      <c r="AC72" s="3">
        <v>108.3</v>
      </c>
      <c r="AD72" s="3">
        <v>99.1</v>
      </c>
      <c r="AE72" s="3">
        <v>130.5</v>
      </c>
      <c r="AF72" s="3">
        <v>114</v>
      </c>
      <c r="AG72" s="3">
        <v>110.5</v>
      </c>
      <c r="AH72" s="3">
        <v>125.9</v>
      </c>
      <c r="AI72" s="3">
        <v>135.19999999999999</v>
      </c>
      <c r="AJ72" s="3">
        <v>150</v>
      </c>
      <c r="AK72" s="3">
        <v>154.6</v>
      </c>
      <c r="AL72" s="3">
        <v>150.19999999999999</v>
      </c>
      <c r="AM72" s="3">
        <v>155.1</v>
      </c>
      <c r="AN72" s="3">
        <v>157.69999999999999</v>
      </c>
      <c r="AO72" s="3">
        <v>137.19999999999999</v>
      </c>
      <c r="AP72" s="3">
        <v>144.5</v>
      </c>
      <c r="AQ72" s="3">
        <v>150.9</v>
      </c>
      <c r="AR72" s="3">
        <v>139.80000000000001</v>
      </c>
      <c r="AS72" s="3">
        <v>148</v>
      </c>
      <c r="AT72" s="3">
        <v>140.80000000000001</v>
      </c>
      <c r="AU72" s="3">
        <v>170.7</v>
      </c>
      <c r="AV72" s="3">
        <v>177</v>
      </c>
      <c r="AX72" s="3">
        <v>136.6</v>
      </c>
      <c r="AY72" s="3">
        <v>191.8</v>
      </c>
      <c r="AZ72" s="3">
        <v>145.1</v>
      </c>
      <c r="BA72" s="3">
        <v>142.30000000000001</v>
      </c>
      <c r="BB72" s="3">
        <v>199.9</v>
      </c>
      <c r="BC72" s="3">
        <v>118.6</v>
      </c>
      <c r="BD72" s="3">
        <v>142.69999999999999</v>
      </c>
      <c r="BE72" s="3">
        <v>114.6</v>
      </c>
      <c r="BF72" s="3">
        <v>116.7</v>
      </c>
      <c r="BG72" s="3">
        <v>128.6</v>
      </c>
      <c r="BH72" s="3">
        <v>124.2</v>
      </c>
      <c r="BI72" s="3">
        <v>113.3</v>
      </c>
      <c r="BJ72" s="3">
        <v>131.19999999999999</v>
      </c>
      <c r="BK72" s="3">
        <v>145.80000000000001</v>
      </c>
      <c r="BL72" s="3">
        <v>121.7</v>
      </c>
      <c r="BM72" s="3">
        <v>138.19999999999999</v>
      </c>
      <c r="BN72" s="3">
        <v>120.6</v>
      </c>
      <c r="BO72" s="3">
        <v>152.69999999999999</v>
      </c>
      <c r="BP72" s="3">
        <v>148.4</v>
      </c>
      <c r="BQ72" s="3">
        <v>121.8</v>
      </c>
      <c r="BR72" s="3">
        <v>111.6</v>
      </c>
      <c r="BS72" s="3">
        <v>119.5</v>
      </c>
      <c r="BT72" s="3">
        <v>136.9</v>
      </c>
      <c r="BU72" s="3">
        <v>124.2</v>
      </c>
      <c r="BV72" s="3">
        <v>115.1</v>
      </c>
      <c r="BW72" s="3">
        <v>149.5</v>
      </c>
      <c r="BX72" s="3">
        <v>172.6</v>
      </c>
      <c r="BY72" s="3">
        <v>127.3</v>
      </c>
      <c r="BZ72" s="3">
        <v>156</v>
      </c>
      <c r="CA72" s="3">
        <v>137.1</v>
      </c>
      <c r="CB72" s="3">
        <v>175</v>
      </c>
      <c r="CC72" s="3">
        <v>152.19999999999999</v>
      </c>
      <c r="CD72" s="3">
        <v>155.9</v>
      </c>
      <c r="CE72" s="3">
        <v>134.80000000000001</v>
      </c>
      <c r="CF72" s="3">
        <v>82.6</v>
      </c>
      <c r="CG72" s="3">
        <v>112.6</v>
      </c>
      <c r="CH72" s="3">
        <v>121</v>
      </c>
      <c r="CI72" s="3">
        <v>155.30000000000001</v>
      </c>
      <c r="CJ72" s="3">
        <v>138</v>
      </c>
      <c r="CK72" s="3">
        <v>118.4</v>
      </c>
      <c r="CL72" s="3">
        <v>173.5</v>
      </c>
    </row>
    <row r="73" spans="1:91" x14ac:dyDescent="0.25">
      <c r="A73" s="4">
        <v>33939</v>
      </c>
      <c r="B73" s="3">
        <v>137.6</v>
      </c>
      <c r="C73" s="3">
        <v>134.9</v>
      </c>
      <c r="D73" s="3">
        <v>137.9</v>
      </c>
      <c r="E73" s="3">
        <v>128.30000000000001</v>
      </c>
      <c r="F73" s="3">
        <v>112.2</v>
      </c>
      <c r="G73" s="3">
        <v>110.1</v>
      </c>
      <c r="H73" s="3">
        <v>123.3</v>
      </c>
      <c r="I73" s="3">
        <v>138</v>
      </c>
      <c r="J73" s="3">
        <v>109.3</v>
      </c>
      <c r="K73" s="3">
        <v>125.5</v>
      </c>
      <c r="L73" s="3">
        <v>129.30000000000001</v>
      </c>
      <c r="M73" s="3">
        <v>146.19999999999999</v>
      </c>
      <c r="N73" s="3">
        <v>118.7</v>
      </c>
      <c r="O73" s="3">
        <v>128.1</v>
      </c>
      <c r="P73" s="3">
        <v>125.1</v>
      </c>
      <c r="Q73" s="3">
        <v>135.19999999999999</v>
      </c>
      <c r="R73" s="3">
        <v>119.7</v>
      </c>
      <c r="S73" s="3">
        <v>139.4</v>
      </c>
      <c r="T73" s="3">
        <v>137.80000000000001</v>
      </c>
      <c r="U73" s="3">
        <v>149</v>
      </c>
      <c r="V73" s="3">
        <v>90.8</v>
      </c>
      <c r="W73" s="3">
        <v>152.80000000000001</v>
      </c>
      <c r="X73" s="3">
        <v>138.30000000000001</v>
      </c>
      <c r="Y73" s="3">
        <v>122.4</v>
      </c>
      <c r="Z73" s="3">
        <v>121.3</v>
      </c>
      <c r="AA73" s="3">
        <v>99.7</v>
      </c>
      <c r="AB73" s="3">
        <v>140.69999999999999</v>
      </c>
      <c r="AC73" s="3">
        <v>111.3</v>
      </c>
      <c r="AD73" s="3">
        <v>103.1</v>
      </c>
      <c r="AE73" s="3">
        <v>130.9</v>
      </c>
      <c r="AF73" s="3">
        <v>117.1</v>
      </c>
      <c r="AG73" s="3">
        <v>114.5</v>
      </c>
      <c r="AH73" s="3">
        <v>125.9</v>
      </c>
      <c r="AI73" s="3">
        <v>135.4</v>
      </c>
      <c r="AJ73" s="3">
        <v>150.6</v>
      </c>
      <c r="AK73" s="3">
        <v>155.1</v>
      </c>
      <c r="AL73" s="3">
        <v>150.5</v>
      </c>
      <c r="AM73" s="3">
        <v>155</v>
      </c>
      <c r="AN73" s="3">
        <v>157.9</v>
      </c>
      <c r="AO73" s="3">
        <v>134.9</v>
      </c>
      <c r="AP73" s="3">
        <v>143</v>
      </c>
      <c r="AQ73" s="3">
        <v>151.19999999999999</v>
      </c>
      <c r="AR73" s="3">
        <v>137.30000000000001</v>
      </c>
      <c r="AS73" s="3">
        <v>150.4</v>
      </c>
      <c r="AT73" s="3">
        <v>143</v>
      </c>
      <c r="AU73" s="3">
        <v>170.8</v>
      </c>
      <c r="AV73" s="3">
        <v>163.69999999999999</v>
      </c>
      <c r="AX73" s="3">
        <v>136.6</v>
      </c>
      <c r="AY73" s="3">
        <v>191.8</v>
      </c>
      <c r="AZ73" s="3">
        <v>145</v>
      </c>
      <c r="BA73" s="3">
        <v>142.30000000000001</v>
      </c>
      <c r="BB73" s="3">
        <v>198.8</v>
      </c>
      <c r="BC73" s="3">
        <v>118.6</v>
      </c>
      <c r="BD73" s="3">
        <v>142.69999999999999</v>
      </c>
      <c r="BE73" s="3">
        <v>113.9</v>
      </c>
      <c r="BF73" s="3">
        <v>113.5</v>
      </c>
      <c r="BG73" s="3">
        <v>131.5</v>
      </c>
      <c r="BH73" s="3">
        <v>125.5</v>
      </c>
      <c r="BI73" s="3">
        <v>113.9</v>
      </c>
      <c r="BJ73" s="3">
        <v>130.9</v>
      </c>
      <c r="BK73" s="3">
        <v>145.69999999999999</v>
      </c>
      <c r="BL73" s="3">
        <v>121.2</v>
      </c>
      <c r="BM73" s="3">
        <v>138.19999999999999</v>
      </c>
      <c r="BN73" s="3">
        <v>120.6</v>
      </c>
      <c r="BO73" s="3">
        <v>153.1</v>
      </c>
      <c r="BP73" s="3">
        <v>147.4</v>
      </c>
      <c r="BQ73" s="3">
        <v>121.1</v>
      </c>
      <c r="BR73" s="3">
        <v>111.2</v>
      </c>
      <c r="BS73" s="3">
        <v>118.3</v>
      </c>
      <c r="BT73" s="3">
        <v>136.5</v>
      </c>
      <c r="BU73" s="3">
        <v>124</v>
      </c>
      <c r="BV73" s="3">
        <v>114.8</v>
      </c>
      <c r="BW73" s="3">
        <v>148.80000000000001</v>
      </c>
      <c r="BX73" s="3">
        <v>173.1</v>
      </c>
      <c r="BY73" s="3">
        <v>125.2</v>
      </c>
      <c r="BZ73" s="3">
        <v>156.9</v>
      </c>
      <c r="CA73" s="3">
        <v>138.4</v>
      </c>
      <c r="CB73" s="3">
        <v>175</v>
      </c>
      <c r="CC73" s="3">
        <v>152.19999999999999</v>
      </c>
      <c r="CD73" s="3">
        <v>156</v>
      </c>
      <c r="CE73" s="3">
        <v>133.9</v>
      </c>
      <c r="CF73" s="3">
        <v>82.5</v>
      </c>
      <c r="CG73" s="3">
        <v>112.5</v>
      </c>
      <c r="CH73" s="3">
        <v>120.9</v>
      </c>
      <c r="CI73" s="3">
        <v>155.4</v>
      </c>
      <c r="CJ73" s="3">
        <v>139.19999999999999</v>
      </c>
      <c r="CK73" s="3">
        <v>118.4</v>
      </c>
      <c r="CL73" s="3">
        <v>173.6</v>
      </c>
    </row>
    <row r="74" spans="1:91" x14ac:dyDescent="0.25">
      <c r="A74" s="4">
        <v>33970</v>
      </c>
      <c r="B74" s="3">
        <v>138.4</v>
      </c>
      <c r="C74" s="3">
        <v>134.30000000000001</v>
      </c>
      <c r="D74" s="3">
        <v>138.6</v>
      </c>
      <c r="E74" s="3">
        <v>128.5</v>
      </c>
      <c r="F74" s="3">
        <v>112.3</v>
      </c>
      <c r="G74" s="3">
        <v>111.4</v>
      </c>
      <c r="H74" s="3">
        <v>121.9</v>
      </c>
      <c r="I74" s="3">
        <v>137.80000000000001</v>
      </c>
      <c r="J74" s="3">
        <v>109.4</v>
      </c>
      <c r="K74" s="3">
        <v>124.4</v>
      </c>
      <c r="L74" s="3">
        <v>130.5</v>
      </c>
      <c r="M74" s="3">
        <v>146.6</v>
      </c>
      <c r="N74" s="3">
        <v>120</v>
      </c>
      <c r="O74" s="3">
        <v>128.9</v>
      </c>
      <c r="P74" s="3">
        <v>126.1</v>
      </c>
      <c r="Q74" s="3">
        <v>136.4</v>
      </c>
      <c r="R74" s="3">
        <v>116.8</v>
      </c>
      <c r="S74" s="3">
        <v>139.4</v>
      </c>
      <c r="T74" s="3">
        <v>139.30000000000001</v>
      </c>
      <c r="U74" s="3">
        <v>149.1</v>
      </c>
      <c r="V74" s="3">
        <v>91.1</v>
      </c>
      <c r="W74" s="3">
        <v>152.9</v>
      </c>
      <c r="X74" s="3">
        <v>141.4</v>
      </c>
      <c r="Y74" s="3">
        <v>123.3</v>
      </c>
      <c r="Z74" s="3">
        <v>117.9</v>
      </c>
      <c r="AA74" s="3">
        <v>94.6</v>
      </c>
      <c r="AB74" s="3">
        <v>138.9</v>
      </c>
      <c r="AC74" s="3">
        <v>118.4</v>
      </c>
      <c r="AD74" s="3">
        <v>113.1</v>
      </c>
      <c r="AE74" s="3">
        <v>130.5</v>
      </c>
      <c r="AF74" s="3">
        <v>115.3</v>
      </c>
      <c r="AG74" s="3">
        <v>111.8</v>
      </c>
      <c r="AH74" s="3">
        <v>127.3</v>
      </c>
      <c r="AI74" s="3">
        <v>135.4</v>
      </c>
      <c r="AJ74" s="3">
        <v>150.9</v>
      </c>
      <c r="AK74" s="3">
        <v>155.80000000000001</v>
      </c>
      <c r="AL74" s="3">
        <v>151.1</v>
      </c>
      <c r="AM74" s="3">
        <v>155.6</v>
      </c>
      <c r="AN74" s="3">
        <v>158.19999999999999</v>
      </c>
      <c r="AO74" s="3">
        <v>137.5</v>
      </c>
      <c r="AP74" s="3">
        <v>144.5</v>
      </c>
      <c r="AQ74" s="3">
        <v>151.6</v>
      </c>
      <c r="AR74" s="3">
        <v>139.5</v>
      </c>
      <c r="AS74" s="3">
        <v>150.80000000000001</v>
      </c>
      <c r="AT74" s="3">
        <v>144.1</v>
      </c>
      <c r="AU74" s="3">
        <v>170.7</v>
      </c>
      <c r="AV74" s="3">
        <v>148.80000000000001</v>
      </c>
      <c r="AX74" s="3">
        <v>136.6</v>
      </c>
      <c r="AY74" s="3">
        <v>191.8</v>
      </c>
      <c r="AZ74" s="3">
        <v>145.69999999999999</v>
      </c>
      <c r="BA74" s="3">
        <v>141.69999999999999</v>
      </c>
      <c r="BB74" s="3">
        <v>197.3</v>
      </c>
      <c r="BC74" s="3">
        <v>118.6</v>
      </c>
      <c r="BD74" s="3">
        <v>142.69999999999999</v>
      </c>
      <c r="BE74" s="3">
        <v>113.3</v>
      </c>
      <c r="BF74" s="3">
        <v>114</v>
      </c>
      <c r="BG74" s="3">
        <v>124.4</v>
      </c>
      <c r="BH74" s="3">
        <v>121</v>
      </c>
      <c r="BI74" s="3">
        <v>110.5</v>
      </c>
      <c r="BJ74" s="3">
        <v>130.1</v>
      </c>
      <c r="BK74" s="3">
        <v>146.4</v>
      </c>
      <c r="BL74" s="3">
        <v>121.4</v>
      </c>
      <c r="BM74" s="3">
        <v>138.80000000000001</v>
      </c>
      <c r="BN74" s="3">
        <v>121.3</v>
      </c>
      <c r="BO74" s="3">
        <v>153.4</v>
      </c>
      <c r="BP74" s="3">
        <v>150.69999999999999</v>
      </c>
      <c r="BQ74" s="3">
        <v>113.7</v>
      </c>
      <c r="BR74" s="3">
        <v>103.6</v>
      </c>
      <c r="BS74" s="3">
        <v>113</v>
      </c>
      <c r="BT74" s="3">
        <v>133.4</v>
      </c>
      <c r="BU74" s="3">
        <v>120.7</v>
      </c>
      <c r="BV74" s="3">
        <v>112.9</v>
      </c>
      <c r="BW74" s="3">
        <v>149.9</v>
      </c>
      <c r="BX74" s="3">
        <v>175.3</v>
      </c>
      <c r="BY74" s="3">
        <v>122.1</v>
      </c>
      <c r="BZ74" s="3">
        <v>159.19999999999999</v>
      </c>
      <c r="CA74" s="3">
        <v>134.6</v>
      </c>
      <c r="CB74" s="3">
        <v>177.7</v>
      </c>
      <c r="CC74" s="3">
        <v>161.6</v>
      </c>
      <c r="CD74" s="3">
        <v>158</v>
      </c>
      <c r="CE74" s="3">
        <v>134.1</v>
      </c>
      <c r="CF74" s="3">
        <v>81</v>
      </c>
      <c r="CG74" s="3">
        <v>113.2</v>
      </c>
      <c r="CH74" s="3">
        <v>120.3</v>
      </c>
      <c r="CI74" s="3">
        <v>155.80000000000001</v>
      </c>
      <c r="CJ74" s="3">
        <v>139.80000000000001</v>
      </c>
      <c r="CK74" s="3">
        <v>118.4</v>
      </c>
      <c r="CL74" s="3">
        <v>174.4</v>
      </c>
      <c r="CM74" s="3">
        <v>100</v>
      </c>
    </row>
    <row r="75" spans="1:91" x14ac:dyDescent="0.25">
      <c r="A75" s="4">
        <v>34001</v>
      </c>
      <c r="B75" s="3">
        <v>137.69999999999999</v>
      </c>
      <c r="C75" s="3">
        <v>135.69999999999999</v>
      </c>
      <c r="D75" s="3">
        <v>139.1</v>
      </c>
      <c r="E75" s="3">
        <v>130.6</v>
      </c>
      <c r="F75" s="3">
        <v>115.8</v>
      </c>
      <c r="G75" s="3">
        <v>116.5</v>
      </c>
      <c r="H75" s="3">
        <v>122.8</v>
      </c>
      <c r="I75" s="3">
        <v>138.4</v>
      </c>
      <c r="J75" s="3">
        <v>110.6</v>
      </c>
      <c r="K75" s="3">
        <v>124.7</v>
      </c>
      <c r="L75" s="3">
        <v>129.9</v>
      </c>
      <c r="M75" s="3">
        <v>144</v>
      </c>
      <c r="N75" s="3">
        <v>120.6</v>
      </c>
      <c r="O75" s="3">
        <v>130.19999999999999</v>
      </c>
      <c r="P75" s="3">
        <v>128.6</v>
      </c>
      <c r="Q75" s="3">
        <v>140.1</v>
      </c>
      <c r="R75" s="3">
        <v>117</v>
      </c>
      <c r="S75" s="3">
        <v>140.1</v>
      </c>
      <c r="T75" s="3">
        <v>143.4</v>
      </c>
      <c r="U75" s="3">
        <v>149.19999999999999</v>
      </c>
      <c r="V75" s="3">
        <v>90.8</v>
      </c>
      <c r="W75" s="3">
        <v>155.4</v>
      </c>
      <c r="X75" s="3">
        <v>143.4</v>
      </c>
      <c r="Y75" s="3">
        <v>125.2</v>
      </c>
      <c r="Z75" s="3">
        <v>121.8</v>
      </c>
      <c r="AA75" s="3">
        <v>102.4</v>
      </c>
      <c r="AB75" s="3">
        <v>139.9</v>
      </c>
      <c r="AC75" s="3">
        <v>120.5</v>
      </c>
      <c r="AD75" s="3">
        <v>115.2</v>
      </c>
      <c r="AE75" s="3">
        <v>132.5</v>
      </c>
      <c r="AF75" s="3">
        <v>116.7</v>
      </c>
      <c r="AG75" s="3">
        <v>113.5</v>
      </c>
      <c r="AH75" s="3">
        <v>127.4</v>
      </c>
      <c r="AI75" s="3">
        <v>136.30000000000001</v>
      </c>
      <c r="AJ75" s="3">
        <v>151.30000000000001</v>
      </c>
      <c r="AK75" s="3">
        <v>156.1</v>
      </c>
      <c r="AL75" s="3">
        <v>151.80000000000001</v>
      </c>
      <c r="AM75" s="3">
        <v>156.1</v>
      </c>
      <c r="AN75" s="3">
        <v>158.4</v>
      </c>
      <c r="AO75" s="3">
        <v>140.1</v>
      </c>
      <c r="AP75" s="3">
        <v>145.30000000000001</v>
      </c>
      <c r="AQ75" s="3">
        <v>151.9</v>
      </c>
      <c r="AR75" s="3">
        <v>140.4</v>
      </c>
      <c r="AS75" s="3">
        <v>150.80000000000001</v>
      </c>
      <c r="AT75" s="3">
        <v>144.30000000000001</v>
      </c>
      <c r="AU75" s="3">
        <v>170.8</v>
      </c>
      <c r="AV75" s="3">
        <v>149.4</v>
      </c>
      <c r="AX75" s="3">
        <v>136.6</v>
      </c>
      <c r="AY75" s="3">
        <v>191.8</v>
      </c>
      <c r="AZ75" s="3">
        <v>145.69999999999999</v>
      </c>
      <c r="BA75" s="3">
        <v>143.6</v>
      </c>
      <c r="BB75" s="3">
        <v>197.3</v>
      </c>
      <c r="BC75" s="3">
        <v>118.6</v>
      </c>
      <c r="BD75" s="3">
        <v>142.69999999999999</v>
      </c>
      <c r="BE75" s="3">
        <v>113.3</v>
      </c>
      <c r="BF75" s="3">
        <v>114.2</v>
      </c>
      <c r="BG75" s="3">
        <v>126.2</v>
      </c>
      <c r="BH75" s="3">
        <v>122.3</v>
      </c>
      <c r="BI75" s="3">
        <v>110.9</v>
      </c>
      <c r="BJ75" s="3">
        <v>131.9</v>
      </c>
      <c r="BK75" s="3">
        <v>146.4</v>
      </c>
      <c r="BL75" s="3">
        <v>121.1</v>
      </c>
      <c r="BM75" s="3">
        <v>138.80000000000001</v>
      </c>
      <c r="BN75" s="3">
        <v>122</v>
      </c>
      <c r="BO75" s="3">
        <v>153.69999999999999</v>
      </c>
      <c r="BP75" s="3">
        <v>151.5</v>
      </c>
      <c r="BQ75" s="3">
        <v>115.9</v>
      </c>
      <c r="BR75" s="3">
        <v>105.9</v>
      </c>
      <c r="BS75" s="3">
        <v>115.5</v>
      </c>
      <c r="BT75" s="3">
        <v>135.4</v>
      </c>
      <c r="BU75" s="3">
        <v>122.7</v>
      </c>
      <c r="BV75" s="3">
        <v>113.9</v>
      </c>
      <c r="BW75" s="3">
        <v>150.5</v>
      </c>
      <c r="BX75" s="3">
        <v>176</v>
      </c>
      <c r="BY75" s="3">
        <v>123.4</v>
      </c>
      <c r="BZ75" s="3">
        <v>159.80000000000001</v>
      </c>
      <c r="CA75" s="3">
        <v>137.1</v>
      </c>
      <c r="CB75" s="3">
        <v>177.7</v>
      </c>
      <c r="CC75" s="3">
        <v>161.6</v>
      </c>
      <c r="CD75" s="3">
        <v>158</v>
      </c>
      <c r="CE75" s="3">
        <v>135.30000000000001</v>
      </c>
      <c r="CF75" s="3">
        <v>82.7</v>
      </c>
      <c r="CG75" s="3">
        <v>113.5</v>
      </c>
      <c r="CH75" s="3">
        <v>121.7</v>
      </c>
      <c r="CI75" s="3">
        <v>156.4</v>
      </c>
      <c r="CJ75" s="3">
        <v>140.69999999999999</v>
      </c>
      <c r="CK75" s="3">
        <v>118.4</v>
      </c>
      <c r="CL75" s="3">
        <v>174.7</v>
      </c>
      <c r="CM75" s="3">
        <v>100.3</v>
      </c>
    </row>
    <row r="76" spans="1:91" x14ac:dyDescent="0.25">
      <c r="A76" s="4">
        <v>34029</v>
      </c>
      <c r="B76" s="3">
        <v>137.4</v>
      </c>
      <c r="C76" s="3">
        <v>137.30000000000001</v>
      </c>
      <c r="D76" s="3">
        <v>139.6</v>
      </c>
      <c r="E76" s="3">
        <v>136</v>
      </c>
      <c r="F76" s="3">
        <v>126.6</v>
      </c>
      <c r="G76" s="3">
        <v>132</v>
      </c>
      <c r="H76" s="3">
        <v>122.5</v>
      </c>
      <c r="I76" s="3">
        <v>138.80000000000001</v>
      </c>
      <c r="J76" s="3">
        <v>108</v>
      </c>
      <c r="K76" s="3">
        <v>126.1</v>
      </c>
      <c r="L76" s="3">
        <v>127</v>
      </c>
      <c r="M76" s="3">
        <v>135.6</v>
      </c>
      <c r="N76" s="3">
        <v>120.6</v>
      </c>
      <c r="O76" s="3">
        <v>134.19999999999999</v>
      </c>
      <c r="P76" s="3">
        <v>129.1</v>
      </c>
      <c r="Q76" s="3">
        <v>142.1</v>
      </c>
      <c r="R76" s="3">
        <v>115.3</v>
      </c>
      <c r="S76" s="3">
        <v>139.9</v>
      </c>
      <c r="T76" s="3">
        <v>144.9</v>
      </c>
      <c r="U76" s="3">
        <v>149.6</v>
      </c>
      <c r="V76" s="3">
        <v>90.7</v>
      </c>
      <c r="W76" s="3">
        <v>158.5</v>
      </c>
      <c r="X76" s="3">
        <v>147.30000000000001</v>
      </c>
      <c r="Y76" s="3">
        <v>126.4</v>
      </c>
      <c r="Z76" s="3">
        <v>119.3</v>
      </c>
      <c r="AA76" s="3">
        <v>96.9</v>
      </c>
      <c r="AB76" s="3">
        <v>139.69999999999999</v>
      </c>
      <c r="AC76" s="3">
        <v>124.1</v>
      </c>
      <c r="AD76" s="3">
        <v>120.7</v>
      </c>
      <c r="AE76" s="3">
        <v>131.30000000000001</v>
      </c>
      <c r="AF76" s="3">
        <v>115.9</v>
      </c>
      <c r="AG76" s="3">
        <v>112.6</v>
      </c>
      <c r="AH76" s="3">
        <v>127.2</v>
      </c>
      <c r="AI76" s="3">
        <v>137.30000000000001</v>
      </c>
      <c r="AJ76" s="3">
        <v>152</v>
      </c>
      <c r="AK76" s="3">
        <v>157.30000000000001</v>
      </c>
      <c r="AL76" s="3">
        <v>152.5</v>
      </c>
      <c r="AM76" s="3">
        <v>156.69999999999999</v>
      </c>
      <c r="AN76" s="3">
        <v>158.6</v>
      </c>
      <c r="AO76" s="3">
        <v>142.5</v>
      </c>
      <c r="AP76" s="3">
        <v>146.30000000000001</v>
      </c>
      <c r="AQ76" s="3">
        <v>152.6</v>
      </c>
      <c r="AR76" s="3">
        <v>141.6</v>
      </c>
      <c r="AS76" s="3">
        <v>150.9</v>
      </c>
      <c r="AT76" s="3">
        <v>144.30000000000001</v>
      </c>
      <c r="AU76" s="3">
        <v>170.9</v>
      </c>
      <c r="AV76" s="3">
        <v>140.6</v>
      </c>
      <c r="AX76" s="3">
        <v>136.6</v>
      </c>
      <c r="AY76" s="3">
        <v>191.8</v>
      </c>
      <c r="AZ76" s="3">
        <v>145.9</v>
      </c>
      <c r="BA76" s="3">
        <v>144</v>
      </c>
      <c r="BB76" s="3">
        <v>197.9</v>
      </c>
      <c r="BC76" s="3">
        <v>118.6</v>
      </c>
      <c r="BD76" s="3">
        <v>142.69999999999999</v>
      </c>
      <c r="BE76" s="3">
        <v>113.3</v>
      </c>
      <c r="BF76" s="3">
        <v>117.5</v>
      </c>
      <c r="BG76" s="3">
        <v>128.30000000000001</v>
      </c>
      <c r="BH76" s="3">
        <v>123.7</v>
      </c>
      <c r="BI76" s="3">
        <v>112.6</v>
      </c>
      <c r="BJ76" s="3">
        <v>132.4</v>
      </c>
      <c r="BK76" s="3">
        <v>146.69999999999999</v>
      </c>
      <c r="BL76" s="3">
        <v>121.3</v>
      </c>
      <c r="BM76" s="3">
        <v>138.80000000000001</v>
      </c>
      <c r="BN76" s="3">
        <v>122.6</v>
      </c>
      <c r="BO76" s="3">
        <v>154.19999999999999</v>
      </c>
      <c r="BP76" s="3">
        <v>152.4</v>
      </c>
      <c r="BQ76" s="3">
        <v>119.2</v>
      </c>
      <c r="BR76" s="3">
        <v>107.8</v>
      </c>
      <c r="BS76" s="3">
        <v>116.6</v>
      </c>
      <c r="BT76" s="3">
        <v>137.6</v>
      </c>
      <c r="BU76" s="3">
        <v>124.6</v>
      </c>
      <c r="BV76" s="3">
        <v>115.1</v>
      </c>
      <c r="BW76" s="3">
        <v>151.30000000000001</v>
      </c>
      <c r="BX76" s="3">
        <v>176.3</v>
      </c>
      <c r="BY76" s="3">
        <v>125.1</v>
      </c>
      <c r="BZ76" s="3">
        <v>161.30000000000001</v>
      </c>
      <c r="CA76" s="3">
        <v>138.5</v>
      </c>
      <c r="CB76" s="3">
        <v>177.7</v>
      </c>
      <c r="CC76" s="3">
        <v>161.6</v>
      </c>
      <c r="CD76" s="3">
        <v>158.6</v>
      </c>
      <c r="CE76" s="3">
        <v>135.6</v>
      </c>
      <c r="CF76" s="3">
        <v>82.8</v>
      </c>
      <c r="CG76" s="3">
        <v>112.9</v>
      </c>
      <c r="CH76" s="3">
        <v>121.6</v>
      </c>
      <c r="CI76" s="3">
        <v>157</v>
      </c>
      <c r="CJ76" s="3">
        <v>141.6</v>
      </c>
      <c r="CK76" s="3">
        <v>118.5</v>
      </c>
      <c r="CL76" s="3">
        <v>175.1</v>
      </c>
      <c r="CM76" s="3">
        <v>100.5</v>
      </c>
    </row>
    <row r="77" spans="1:91" x14ac:dyDescent="0.25">
      <c r="A77" s="4">
        <v>34060</v>
      </c>
      <c r="B77" s="3">
        <v>139.69999999999999</v>
      </c>
      <c r="C77" s="3">
        <v>138.6</v>
      </c>
      <c r="D77" s="3">
        <v>139.69999999999999</v>
      </c>
      <c r="E77" s="3">
        <v>136.30000000000001</v>
      </c>
      <c r="F77" s="3">
        <v>138.9</v>
      </c>
      <c r="G77" s="3">
        <v>149.9</v>
      </c>
      <c r="H77" s="3">
        <v>123.8</v>
      </c>
      <c r="I77" s="3">
        <v>137.1</v>
      </c>
      <c r="J77" s="3">
        <v>109.2</v>
      </c>
      <c r="K77" s="3">
        <v>124.1</v>
      </c>
      <c r="L77" s="3">
        <v>124.2</v>
      </c>
      <c r="M77" s="3">
        <v>129.19999999999999</v>
      </c>
      <c r="N77" s="3">
        <v>119.8</v>
      </c>
      <c r="O77" s="3">
        <v>136.4</v>
      </c>
      <c r="P77" s="3">
        <v>129.19999999999999</v>
      </c>
      <c r="Q77" s="3">
        <v>143.19999999999999</v>
      </c>
      <c r="R77" s="3">
        <v>114.2</v>
      </c>
      <c r="S77" s="3">
        <v>140.5</v>
      </c>
      <c r="T77" s="3">
        <v>141.9</v>
      </c>
      <c r="U77" s="3">
        <v>149.30000000000001</v>
      </c>
      <c r="V77" s="3">
        <v>90.1</v>
      </c>
      <c r="W77" s="3">
        <v>157.69999999999999</v>
      </c>
      <c r="X77" s="3">
        <v>147.9</v>
      </c>
      <c r="Y77" s="3">
        <v>127.1</v>
      </c>
      <c r="Z77" s="3">
        <v>123.2</v>
      </c>
      <c r="AA77" s="3">
        <v>106.1</v>
      </c>
      <c r="AB77" s="3">
        <v>139.69999999999999</v>
      </c>
      <c r="AC77" s="3">
        <v>112.3</v>
      </c>
      <c r="AD77" s="3">
        <v>103.9</v>
      </c>
      <c r="AE77" s="3">
        <v>132.80000000000001</v>
      </c>
      <c r="AF77" s="3">
        <v>115.9</v>
      </c>
      <c r="AG77" s="3">
        <v>112.9</v>
      </c>
      <c r="AH77" s="3">
        <v>126.5</v>
      </c>
      <c r="AI77" s="3">
        <v>136.69999999999999</v>
      </c>
      <c r="AJ77" s="3">
        <v>153.19999999999999</v>
      </c>
      <c r="AK77" s="3">
        <v>159.6</v>
      </c>
      <c r="AL77" s="3">
        <v>154</v>
      </c>
      <c r="AM77" s="3">
        <v>159.19999999999999</v>
      </c>
      <c r="AN77" s="3">
        <v>161.5</v>
      </c>
      <c r="AO77" s="3">
        <v>142.80000000000001</v>
      </c>
      <c r="AP77" s="3">
        <v>147.5</v>
      </c>
      <c r="AQ77" s="3">
        <v>154.69999999999999</v>
      </c>
      <c r="AR77" s="3">
        <v>142.30000000000001</v>
      </c>
      <c r="AS77" s="3">
        <v>156.69999999999999</v>
      </c>
      <c r="AT77" s="3">
        <v>148.80000000000001</v>
      </c>
      <c r="AU77" s="3">
        <v>181.5</v>
      </c>
      <c r="AV77" s="3">
        <v>141.19999999999999</v>
      </c>
      <c r="AX77" s="3">
        <v>124.7</v>
      </c>
      <c r="AY77" s="3">
        <v>207.6</v>
      </c>
      <c r="AZ77" s="3">
        <v>146.80000000000001</v>
      </c>
      <c r="BA77" s="3">
        <v>142.6</v>
      </c>
      <c r="BB77" s="3">
        <v>197.5</v>
      </c>
      <c r="BC77" s="3">
        <v>118.4</v>
      </c>
      <c r="BD77" s="3">
        <v>142.30000000000001</v>
      </c>
      <c r="BE77" s="3">
        <v>113.3</v>
      </c>
      <c r="BF77" s="3">
        <v>114.5</v>
      </c>
      <c r="BG77" s="3">
        <v>129.9</v>
      </c>
      <c r="BH77" s="3">
        <v>124.1</v>
      </c>
      <c r="BI77" s="3">
        <v>113.2</v>
      </c>
      <c r="BJ77" s="3">
        <v>133.19999999999999</v>
      </c>
      <c r="BK77" s="3">
        <v>147.1</v>
      </c>
      <c r="BL77" s="3">
        <v>122.3</v>
      </c>
      <c r="BM77" s="3">
        <v>139.69999999999999</v>
      </c>
      <c r="BN77" s="3">
        <v>122.6</v>
      </c>
      <c r="BO77" s="3">
        <v>155.69999999999999</v>
      </c>
      <c r="BP77" s="3">
        <v>154.19999999999999</v>
      </c>
      <c r="BQ77" s="3">
        <v>119.6</v>
      </c>
      <c r="BR77" s="3">
        <v>110.7</v>
      </c>
      <c r="BS77" s="3">
        <v>118</v>
      </c>
      <c r="BT77" s="3">
        <v>138.30000000000001</v>
      </c>
      <c r="BU77" s="3">
        <v>126</v>
      </c>
      <c r="BV77" s="3">
        <v>115.5</v>
      </c>
      <c r="BW77" s="3">
        <v>153</v>
      </c>
      <c r="BX77" s="3">
        <v>177.9</v>
      </c>
      <c r="BY77" s="3">
        <v>126.6</v>
      </c>
      <c r="BZ77" s="3">
        <v>162.1</v>
      </c>
      <c r="CA77" s="3">
        <v>144.69999999999999</v>
      </c>
      <c r="CB77" s="3">
        <v>190.7</v>
      </c>
      <c r="CC77" s="3">
        <v>161.6</v>
      </c>
      <c r="CD77" s="3">
        <v>161</v>
      </c>
      <c r="CE77" s="3">
        <v>136.19999999999999</v>
      </c>
      <c r="CF77" s="3">
        <v>82.4</v>
      </c>
      <c r="CG77" s="3">
        <v>114</v>
      </c>
      <c r="CH77" s="3">
        <v>121.6</v>
      </c>
      <c r="CI77" s="3">
        <v>158</v>
      </c>
      <c r="CJ77" s="3">
        <v>141.6</v>
      </c>
      <c r="CK77" s="3">
        <v>120.2</v>
      </c>
      <c r="CL77" s="3">
        <v>177.9</v>
      </c>
      <c r="CM77" s="3">
        <v>101</v>
      </c>
    </row>
    <row r="78" spans="1:91" x14ac:dyDescent="0.25">
      <c r="A78" s="4">
        <v>34090</v>
      </c>
      <c r="B78" s="3">
        <v>139.9</v>
      </c>
      <c r="C78" s="3">
        <v>139.69999999999999</v>
      </c>
      <c r="D78" s="3">
        <v>139.9</v>
      </c>
      <c r="E78" s="3">
        <v>137.6</v>
      </c>
      <c r="F78" s="3">
        <v>138.80000000000001</v>
      </c>
      <c r="G78" s="3">
        <v>149.1</v>
      </c>
      <c r="H78" s="3">
        <v>125.7</v>
      </c>
      <c r="I78" s="3">
        <v>139.19999999999999</v>
      </c>
      <c r="J78" s="3">
        <v>111.9</v>
      </c>
      <c r="K78" s="3">
        <v>124.7</v>
      </c>
      <c r="L78" s="3">
        <v>124.3</v>
      </c>
      <c r="M78" s="3">
        <v>129.19999999999999</v>
      </c>
      <c r="N78" s="3">
        <v>120</v>
      </c>
      <c r="O78" s="3">
        <v>137.4</v>
      </c>
      <c r="P78" s="3">
        <v>128.9</v>
      </c>
      <c r="Q78" s="3">
        <v>144.5</v>
      </c>
      <c r="R78" s="3">
        <v>117</v>
      </c>
      <c r="S78" s="3">
        <v>140.30000000000001</v>
      </c>
      <c r="T78" s="3">
        <v>141.5</v>
      </c>
      <c r="U78" s="3">
        <v>149.30000000000001</v>
      </c>
      <c r="V78" s="3">
        <v>91.3</v>
      </c>
      <c r="W78" s="3">
        <v>157.9</v>
      </c>
      <c r="X78" s="3">
        <v>148.1</v>
      </c>
      <c r="Y78" s="3">
        <v>127.8</v>
      </c>
      <c r="Z78" s="3">
        <v>125.4</v>
      </c>
      <c r="AA78" s="3">
        <v>112.1</v>
      </c>
      <c r="AB78" s="3">
        <v>139.19999999999999</v>
      </c>
      <c r="AC78" s="3">
        <v>117.3</v>
      </c>
      <c r="AD78" s="3">
        <v>110.4</v>
      </c>
      <c r="AE78" s="3">
        <v>133.69999999999999</v>
      </c>
      <c r="AF78" s="3">
        <v>121.4</v>
      </c>
      <c r="AG78" s="3">
        <v>119.8</v>
      </c>
      <c r="AH78" s="3">
        <v>127</v>
      </c>
      <c r="AI78" s="3">
        <v>137.30000000000001</v>
      </c>
      <c r="AJ78" s="3">
        <v>153.9</v>
      </c>
      <c r="AK78" s="3">
        <v>160.4</v>
      </c>
      <c r="AL78" s="3">
        <v>154.5</v>
      </c>
      <c r="AM78" s="3">
        <v>159.80000000000001</v>
      </c>
      <c r="AN78" s="3">
        <v>161.80000000000001</v>
      </c>
      <c r="AO78" s="3">
        <v>144.9</v>
      </c>
      <c r="AP78" s="3">
        <v>147.69999999999999</v>
      </c>
      <c r="AQ78" s="3">
        <v>155.1</v>
      </c>
      <c r="AR78" s="3">
        <v>142.5</v>
      </c>
      <c r="AS78" s="3">
        <v>157.69999999999999</v>
      </c>
      <c r="AT78" s="3">
        <v>149.19999999999999</v>
      </c>
      <c r="AU78" s="3">
        <v>181.5</v>
      </c>
      <c r="AV78" s="3">
        <v>141.6</v>
      </c>
      <c r="AX78" s="3">
        <v>124.5</v>
      </c>
      <c r="AY78" s="3">
        <v>207.7</v>
      </c>
      <c r="AZ78" s="3">
        <v>147.1</v>
      </c>
      <c r="BA78" s="3">
        <v>142.69999999999999</v>
      </c>
      <c r="BB78" s="3">
        <v>198</v>
      </c>
      <c r="BC78" s="3">
        <v>113.6</v>
      </c>
      <c r="BD78" s="3">
        <v>141.30000000000001</v>
      </c>
      <c r="BE78" s="3">
        <v>113.3</v>
      </c>
      <c r="BF78" s="3">
        <v>113.3</v>
      </c>
      <c r="BG78" s="3">
        <v>130</v>
      </c>
      <c r="BH78" s="3">
        <v>124.6</v>
      </c>
      <c r="BI78" s="3">
        <v>113.4</v>
      </c>
      <c r="BJ78" s="3">
        <v>133.4</v>
      </c>
      <c r="BK78" s="3">
        <v>146.80000000000001</v>
      </c>
      <c r="BL78" s="3">
        <v>122.4</v>
      </c>
      <c r="BM78" s="3">
        <v>139.69999999999999</v>
      </c>
      <c r="BN78" s="3">
        <v>122.6</v>
      </c>
      <c r="BO78" s="3">
        <v>156.1</v>
      </c>
      <c r="BP78" s="3">
        <v>153.1</v>
      </c>
      <c r="BQ78" s="3">
        <v>121.9</v>
      </c>
      <c r="BR78" s="3">
        <v>110.1</v>
      </c>
      <c r="BS78" s="3">
        <v>118.6</v>
      </c>
      <c r="BT78" s="3">
        <v>138.6</v>
      </c>
      <c r="BU78" s="3">
        <v>126.5</v>
      </c>
      <c r="BV78" s="3">
        <v>116.2</v>
      </c>
      <c r="BW78" s="3">
        <v>152.80000000000001</v>
      </c>
      <c r="BX78" s="3">
        <v>178.5</v>
      </c>
      <c r="BY78" s="3">
        <v>127.9</v>
      </c>
      <c r="BZ78" s="3">
        <v>162.6</v>
      </c>
      <c r="CA78" s="3">
        <v>144.4</v>
      </c>
      <c r="CB78" s="3">
        <v>190.7</v>
      </c>
      <c r="CC78" s="3">
        <v>161.9</v>
      </c>
      <c r="CD78" s="3">
        <v>161.6</v>
      </c>
      <c r="CE78" s="3">
        <v>139.4</v>
      </c>
      <c r="CF78" s="3">
        <v>82.4</v>
      </c>
      <c r="CG78" s="3">
        <v>114.4</v>
      </c>
      <c r="CH78" s="3">
        <v>122</v>
      </c>
      <c r="CI78" s="3">
        <v>158.9</v>
      </c>
      <c r="CJ78" s="3">
        <v>141.4</v>
      </c>
      <c r="CK78" s="3">
        <v>120.2</v>
      </c>
      <c r="CL78" s="3">
        <v>179</v>
      </c>
      <c r="CM78" s="3">
        <v>100.8</v>
      </c>
    </row>
    <row r="79" spans="1:91" x14ac:dyDescent="0.25">
      <c r="A79" s="4">
        <v>34121</v>
      </c>
      <c r="B79" s="3">
        <v>139.4</v>
      </c>
      <c r="C79" s="3">
        <v>139</v>
      </c>
      <c r="D79" s="3">
        <v>140.69999999999999</v>
      </c>
      <c r="E79" s="3">
        <v>138.6</v>
      </c>
      <c r="F79" s="3">
        <v>136.30000000000001</v>
      </c>
      <c r="G79" s="3">
        <v>145</v>
      </c>
      <c r="H79" s="3">
        <v>124.7</v>
      </c>
      <c r="I79" s="3">
        <v>138.9</v>
      </c>
      <c r="J79" s="3">
        <v>111.2</v>
      </c>
      <c r="K79" s="3">
        <v>125.8</v>
      </c>
      <c r="L79" s="3">
        <v>123.2</v>
      </c>
      <c r="M79" s="3">
        <v>126.2</v>
      </c>
      <c r="N79" s="3">
        <v>119.9</v>
      </c>
      <c r="O79" s="3">
        <v>137.30000000000001</v>
      </c>
      <c r="P79" s="3">
        <v>129.1</v>
      </c>
      <c r="Q79" s="3">
        <v>144.30000000000001</v>
      </c>
      <c r="R79" s="3">
        <v>122.6</v>
      </c>
      <c r="S79" s="3">
        <v>141.9</v>
      </c>
      <c r="T79" s="3">
        <v>143.19999999999999</v>
      </c>
      <c r="U79" s="3">
        <v>149.30000000000001</v>
      </c>
      <c r="V79" s="3">
        <v>91.5</v>
      </c>
      <c r="W79" s="3">
        <v>157.4</v>
      </c>
      <c r="X79" s="3">
        <v>147.6</v>
      </c>
      <c r="Y79" s="3">
        <v>128.4</v>
      </c>
      <c r="Z79" s="3">
        <v>120.3</v>
      </c>
      <c r="AA79" s="3">
        <v>101.1</v>
      </c>
      <c r="AB79" s="3">
        <v>138.30000000000001</v>
      </c>
      <c r="AC79" s="3">
        <v>107.4</v>
      </c>
      <c r="AD79" s="3">
        <v>96.7</v>
      </c>
      <c r="AE79" s="3">
        <v>134.19999999999999</v>
      </c>
      <c r="AF79" s="3">
        <v>122.6</v>
      </c>
      <c r="AG79" s="3">
        <v>121.5</v>
      </c>
      <c r="AH79" s="3">
        <v>126.4</v>
      </c>
      <c r="AI79" s="3">
        <v>136.30000000000001</v>
      </c>
      <c r="AJ79" s="3">
        <v>154.80000000000001</v>
      </c>
      <c r="AK79" s="3">
        <v>160.5</v>
      </c>
      <c r="AL79" s="3">
        <v>155.30000000000001</v>
      </c>
      <c r="AM79" s="3">
        <v>160.30000000000001</v>
      </c>
      <c r="AN79" s="3">
        <v>162.5</v>
      </c>
      <c r="AO79" s="3">
        <v>144.19999999999999</v>
      </c>
      <c r="AP79" s="3">
        <v>147.80000000000001</v>
      </c>
      <c r="AQ79" s="3">
        <v>155.5</v>
      </c>
      <c r="AR79" s="3">
        <v>142.4</v>
      </c>
      <c r="AS79" s="3">
        <v>157.80000000000001</v>
      </c>
      <c r="AT79" s="3">
        <v>149.1</v>
      </c>
      <c r="AU79" s="3">
        <v>182</v>
      </c>
      <c r="AV79" s="3">
        <v>142.19999999999999</v>
      </c>
      <c r="AX79" s="3">
        <v>124.5</v>
      </c>
      <c r="AY79" s="3">
        <v>207.7</v>
      </c>
      <c r="AZ79" s="3">
        <v>147.1</v>
      </c>
      <c r="BA79" s="3">
        <v>142.80000000000001</v>
      </c>
      <c r="BB79" s="3">
        <v>198.3</v>
      </c>
      <c r="BC79" s="3">
        <v>112.9</v>
      </c>
      <c r="BD79" s="3">
        <v>140.4</v>
      </c>
      <c r="BE79" s="3">
        <v>113.3</v>
      </c>
      <c r="BF79" s="3">
        <v>111</v>
      </c>
      <c r="BG79" s="3">
        <v>128.6</v>
      </c>
      <c r="BH79" s="3">
        <v>123.6</v>
      </c>
      <c r="BI79" s="3">
        <v>112.2</v>
      </c>
      <c r="BJ79" s="3">
        <v>133.5</v>
      </c>
      <c r="BK79" s="3">
        <v>146.69999999999999</v>
      </c>
      <c r="BL79" s="3">
        <v>122.1</v>
      </c>
      <c r="BM79" s="3">
        <v>139.69999999999999</v>
      </c>
      <c r="BN79" s="3">
        <v>119.3</v>
      </c>
      <c r="BO79" s="3">
        <v>156.4</v>
      </c>
      <c r="BP79" s="3">
        <v>153.1</v>
      </c>
      <c r="BQ79" s="3">
        <v>120.4</v>
      </c>
      <c r="BR79" s="3">
        <v>108.8</v>
      </c>
      <c r="BS79" s="3">
        <v>117.1</v>
      </c>
      <c r="BT79" s="3">
        <v>137.9</v>
      </c>
      <c r="BU79" s="3">
        <v>126.1</v>
      </c>
      <c r="BV79" s="3">
        <v>114.7</v>
      </c>
      <c r="BW79" s="3">
        <v>152.30000000000001</v>
      </c>
      <c r="BX79" s="3">
        <v>179.2</v>
      </c>
      <c r="BY79" s="3">
        <v>130.19999999999999</v>
      </c>
      <c r="BZ79" s="3">
        <v>162.69999999999999</v>
      </c>
      <c r="CA79" s="3">
        <v>146.19999999999999</v>
      </c>
      <c r="CB79" s="3">
        <v>190.7</v>
      </c>
      <c r="CC79" s="3">
        <v>161.9</v>
      </c>
      <c r="CD79" s="3">
        <v>161.6</v>
      </c>
      <c r="CE79" s="3">
        <v>140</v>
      </c>
      <c r="CF79" s="3">
        <v>81.900000000000006</v>
      </c>
      <c r="CG79" s="3">
        <v>113.4</v>
      </c>
      <c r="CH79" s="3">
        <v>122</v>
      </c>
      <c r="CI79" s="3">
        <v>158.9</v>
      </c>
      <c r="CJ79" s="3">
        <v>140.9</v>
      </c>
      <c r="CK79" s="3">
        <v>120.2</v>
      </c>
      <c r="CL79" s="3">
        <v>179.6</v>
      </c>
      <c r="CM79" s="3">
        <v>101.1</v>
      </c>
    </row>
    <row r="80" spans="1:91" x14ac:dyDescent="0.25">
      <c r="A80" s="4">
        <v>34151</v>
      </c>
      <c r="B80" s="3">
        <v>140.1</v>
      </c>
      <c r="C80" s="3">
        <v>141.1</v>
      </c>
      <c r="D80" s="3">
        <v>141.69999999999999</v>
      </c>
      <c r="E80" s="3">
        <v>138.9</v>
      </c>
      <c r="F80" s="3">
        <v>128.19999999999999</v>
      </c>
      <c r="G80" s="3">
        <v>132.6</v>
      </c>
      <c r="H80" s="3">
        <v>125.7</v>
      </c>
      <c r="I80" s="3">
        <v>139.6</v>
      </c>
      <c r="J80" s="3">
        <v>110.6</v>
      </c>
      <c r="K80" s="3">
        <v>126.2</v>
      </c>
      <c r="L80" s="3">
        <v>124.2</v>
      </c>
      <c r="M80" s="3">
        <v>128.9</v>
      </c>
      <c r="N80" s="3">
        <v>120</v>
      </c>
      <c r="O80" s="3">
        <v>136.5</v>
      </c>
      <c r="P80" s="3">
        <v>129.1</v>
      </c>
      <c r="Q80" s="3">
        <v>144.1</v>
      </c>
      <c r="R80" s="3">
        <v>120.6</v>
      </c>
      <c r="S80" s="3">
        <v>143.80000000000001</v>
      </c>
      <c r="T80" s="3">
        <v>143.4</v>
      </c>
      <c r="U80" s="3">
        <v>149.5</v>
      </c>
      <c r="V80" s="3">
        <v>91.7</v>
      </c>
      <c r="W80" s="3">
        <v>156.80000000000001</v>
      </c>
      <c r="X80" s="3">
        <v>147.9</v>
      </c>
      <c r="Y80" s="3">
        <v>128.9</v>
      </c>
      <c r="Z80" s="3">
        <v>122</v>
      </c>
      <c r="AA80" s="3">
        <v>104.7</v>
      </c>
      <c r="AB80" s="3">
        <v>138.6</v>
      </c>
      <c r="AC80" s="3">
        <v>101.6</v>
      </c>
      <c r="AD80" s="3">
        <v>88.3</v>
      </c>
      <c r="AE80" s="3">
        <v>135.4</v>
      </c>
      <c r="AF80" s="3">
        <v>123.4</v>
      </c>
      <c r="AG80" s="3">
        <v>122.7</v>
      </c>
      <c r="AH80" s="3">
        <v>126</v>
      </c>
      <c r="AI80" s="3">
        <v>137.6</v>
      </c>
      <c r="AJ80" s="3">
        <v>155.30000000000001</v>
      </c>
      <c r="AK80" s="3">
        <v>161.30000000000001</v>
      </c>
      <c r="AL80" s="3">
        <v>155.9</v>
      </c>
      <c r="AM80" s="3">
        <v>161.4</v>
      </c>
      <c r="AN80" s="3">
        <v>163.9</v>
      </c>
      <c r="AO80" s="3">
        <v>143.9</v>
      </c>
      <c r="AP80" s="3">
        <v>147.69999999999999</v>
      </c>
      <c r="AQ80" s="3">
        <v>156</v>
      </c>
      <c r="AR80" s="3">
        <v>141.9</v>
      </c>
      <c r="AS80" s="3">
        <v>158</v>
      </c>
      <c r="AT80" s="3">
        <v>149.1</v>
      </c>
      <c r="AU80" s="3">
        <v>182</v>
      </c>
      <c r="AV80" s="3">
        <v>142.80000000000001</v>
      </c>
      <c r="AX80" s="3">
        <v>124.5</v>
      </c>
      <c r="AY80" s="3">
        <v>207.7</v>
      </c>
      <c r="AZ80" s="3">
        <v>147.19999999999999</v>
      </c>
      <c r="BA80" s="3">
        <v>142.30000000000001</v>
      </c>
      <c r="BB80" s="3">
        <v>199.5</v>
      </c>
      <c r="BC80" s="3">
        <v>112.8</v>
      </c>
      <c r="BD80" s="3">
        <v>140</v>
      </c>
      <c r="BE80" s="3">
        <v>113.3</v>
      </c>
      <c r="BF80" s="3">
        <v>110.1</v>
      </c>
      <c r="BG80" s="3">
        <v>125.3</v>
      </c>
      <c r="BH80" s="3">
        <v>121.2</v>
      </c>
      <c r="BI80" s="3">
        <v>109.6</v>
      </c>
      <c r="BJ80" s="3">
        <v>130.19999999999999</v>
      </c>
      <c r="BK80" s="3">
        <v>147</v>
      </c>
      <c r="BL80" s="3">
        <v>125.6</v>
      </c>
      <c r="BM80" s="3">
        <v>139.69999999999999</v>
      </c>
      <c r="BN80" s="3">
        <v>121.1</v>
      </c>
      <c r="BO80" s="3">
        <v>156.80000000000001</v>
      </c>
      <c r="BP80" s="3">
        <v>155</v>
      </c>
      <c r="BQ80" s="3">
        <v>114.8</v>
      </c>
      <c r="BR80" s="3">
        <v>104.2</v>
      </c>
      <c r="BS80" s="3">
        <v>113.9</v>
      </c>
      <c r="BT80" s="3">
        <v>135.30000000000001</v>
      </c>
      <c r="BU80" s="3">
        <v>122.7</v>
      </c>
      <c r="BV80" s="3">
        <v>114.1</v>
      </c>
      <c r="BW80" s="3">
        <v>153.4</v>
      </c>
      <c r="BX80" s="3">
        <v>180.3</v>
      </c>
      <c r="BY80" s="3">
        <v>131.30000000000001</v>
      </c>
      <c r="BZ80" s="3">
        <v>163.1</v>
      </c>
      <c r="CA80" s="3">
        <v>144.5</v>
      </c>
      <c r="CB80" s="3">
        <v>192.4</v>
      </c>
      <c r="CC80" s="3">
        <v>161.9</v>
      </c>
      <c r="CD80" s="3">
        <v>161.9</v>
      </c>
      <c r="CE80" s="3">
        <v>138.69999999999999</v>
      </c>
      <c r="CF80" s="3">
        <v>80.900000000000006</v>
      </c>
      <c r="CG80" s="3">
        <v>112.5</v>
      </c>
      <c r="CH80" s="3">
        <v>121.1</v>
      </c>
      <c r="CI80" s="3">
        <v>157.5</v>
      </c>
      <c r="CJ80" s="3">
        <v>140.30000000000001</v>
      </c>
      <c r="CK80" s="3">
        <v>119.4</v>
      </c>
      <c r="CL80" s="3">
        <v>180.5</v>
      </c>
      <c r="CM80" s="3">
        <v>101.2</v>
      </c>
    </row>
    <row r="81" spans="1:92" x14ac:dyDescent="0.25">
      <c r="A81" s="4">
        <v>34182</v>
      </c>
      <c r="B81" s="3">
        <v>139.5</v>
      </c>
      <c r="C81" s="3">
        <v>141.30000000000001</v>
      </c>
      <c r="D81" s="3">
        <v>142.1</v>
      </c>
      <c r="E81" s="3">
        <v>137.1</v>
      </c>
      <c r="F81" s="3">
        <v>124.8</v>
      </c>
      <c r="G81" s="3">
        <v>126.5</v>
      </c>
      <c r="H81" s="3">
        <v>123.8</v>
      </c>
      <c r="I81" s="3">
        <v>139.1</v>
      </c>
      <c r="J81" s="3">
        <v>110.5</v>
      </c>
      <c r="K81" s="3">
        <v>124.5</v>
      </c>
      <c r="L81" s="3">
        <v>123.4</v>
      </c>
      <c r="M81" s="3">
        <v>127.7</v>
      </c>
      <c r="N81" s="3">
        <v>119.5</v>
      </c>
      <c r="O81" s="3">
        <v>137.19999999999999</v>
      </c>
      <c r="P81" s="3">
        <v>129.19999999999999</v>
      </c>
      <c r="Q81" s="3">
        <v>144.9</v>
      </c>
      <c r="R81" s="3">
        <v>125.2</v>
      </c>
      <c r="S81" s="3">
        <v>143.80000000000001</v>
      </c>
      <c r="T81" s="3">
        <v>144.19999999999999</v>
      </c>
      <c r="U81" s="3">
        <v>149.19999999999999</v>
      </c>
      <c r="V81" s="3">
        <v>91.7</v>
      </c>
      <c r="W81" s="3">
        <v>157.6</v>
      </c>
      <c r="X81" s="3">
        <v>148.30000000000001</v>
      </c>
      <c r="Y81" s="3">
        <v>129.30000000000001</v>
      </c>
      <c r="Z81" s="3">
        <v>131.69999999999999</v>
      </c>
      <c r="AA81" s="3">
        <v>129</v>
      </c>
      <c r="AB81" s="3">
        <v>138</v>
      </c>
      <c r="AC81" s="3">
        <v>100.3</v>
      </c>
      <c r="AD81" s="3">
        <v>86.5</v>
      </c>
      <c r="AE81" s="3">
        <v>135.5</v>
      </c>
      <c r="AF81" s="3">
        <v>122.4</v>
      </c>
      <c r="AG81" s="3">
        <v>121.1</v>
      </c>
      <c r="AH81" s="3">
        <v>126.9</v>
      </c>
      <c r="AI81" s="3">
        <v>137.6</v>
      </c>
      <c r="AJ81" s="3">
        <v>155.69999999999999</v>
      </c>
      <c r="AK81" s="3">
        <v>161.5</v>
      </c>
      <c r="AL81" s="3">
        <v>156.19999999999999</v>
      </c>
      <c r="AM81" s="3">
        <v>162.1</v>
      </c>
      <c r="AN81" s="3">
        <v>164.6</v>
      </c>
      <c r="AO81" s="3">
        <v>144.6</v>
      </c>
      <c r="AP81" s="3">
        <v>147.69999999999999</v>
      </c>
      <c r="AQ81" s="3">
        <v>156.5</v>
      </c>
      <c r="AR81" s="3">
        <v>141.69999999999999</v>
      </c>
      <c r="AS81" s="3">
        <v>159.5</v>
      </c>
      <c r="AT81" s="3">
        <v>151.80000000000001</v>
      </c>
      <c r="AU81" s="3">
        <v>182.3</v>
      </c>
      <c r="AV81" s="3">
        <v>143.4</v>
      </c>
      <c r="AX81" s="3">
        <v>124.5</v>
      </c>
      <c r="AY81" s="3">
        <v>207.7</v>
      </c>
      <c r="AZ81" s="3">
        <v>147.5</v>
      </c>
      <c r="BA81" s="3">
        <v>143</v>
      </c>
      <c r="BB81" s="3">
        <v>200.2</v>
      </c>
      <c r="BC81" s="3">
        <v>112.6</v>
      </c>
      <c r="BD81" s="3">
        <v>140.1</v>
      </c>
      <c r="BE81" s="3">
        <v>113.3</v>
      </c>
      <c r="BF81" s="3">
        <v>108</v>
      </c>
      <c r="BG81" s="3">
        <v>128.19999999999999</v>
      </c>
      <c r="BH81" s="3">
        <v>123.3</v>
      </c>
      <c r="BI81" s="3">
        <v>110</v>
      </c>
      <c r="BJ81" s="3">
        <v>130.6</v>
      </c>
      <c r="BK81" s="3">
        <v>147</v>
      </c>
      <c r="BL81" s="3">
        <v>126.9</v>
      </c>
      <c r="BM81" s="3">
        <v>139.69999999999999</v>
      </c>
      <c r="BN81" s="3">
        <v>121.2</v>
      </c>
      <c r="BO81" s="3">
        <v>157.1</v>
      </c>
      <c r="BP81" s="3">
        <v>155.80000000000001</v>
      </c>
      <c r="BQ81" s="3">
        <v>117.6</v>
      </c>
      <c r="BR81" s="3">
        <v>104.9</v>
      </c>
      <c r="BS81" s="3">
        <v>117.7</v>
      </c>
      <c r="BT81" s="3">
        <v>137.30000000000001</v>
      </c>
      <c r="BU81" s="3">
        <v>123.7</v>
      </c>
      <c r="BV81" s="3">
        <v>115.9</v>
      </c>
      <c r="BW81" s="3">
        <v>153.80000000000001</v>
      </c>
      <c r="BX81" s="3">
        <v>180.9</v>
      </c>
      <c r="BY81" s="3">
        <v>132</v>
      </c>
      <c r="BZ81" s="3">
        <v>163.19999999999999</v>
      </c>
      <c r="CA81" s="3">
        <v>143.5</v>
      </c>
      <c r="CB81" s="3">
        <v>192.4</v>
      </c>
      <c r="CC81" s="3">
        <v>161.9</v>
      </c>
      <c r="CD81" s="3">
        <v>161.9</v>
      </c>
      <c r="CE81" s="3">
        <v>139.19999999999999</v>
      </c>
      <c r="CF81" s="3">
        <v>81.099999999999994</v>
      </c>
      <c r="CG81" s="3">
        <v>113.6</v>
      </c>
      <c r="CH81" s="3">
        <v>121.8</v>
      </c>
      <c r="CI81" s="3">
        <v>158.4</v>
      </c>
      <c r="CJ81" s="3">
        <v>140.30000000000001</v>
      </c>
      <c r="CK81" s="3">
        <v>119.3</v>
      </c>
      <c r="CL81" s="3">
        <v>181.1</v>
      </c>
      <c r="CM81" s="3">
        <v>101.6</v>
      </c>
    </row>
    <row r="82" spans="1:92" x14ac:dyDescent="0.25">
      <c r="A82" s="4">
        <v>34213</v>
      </c>
      <c r="B82" s="3">
        <v>139</v>
      </c>
      <c r="C82" s="3">
        <v>141.5</v>
      </c>
      <c r="D82" s="3">
        <v>142.30000000000001</v>
      </c>
      <c r="E82" s="3">
        <v>137.69999999999999</v>
      </c>
      <c r="F82" s="3">
        <v>120.2</v>
      </c>
      <c r="G82" s="3">
        <v>119.3</v>
      </c>
      <c r="H82" s="3">
        <v>121</v>
      </c>
      <c r="I82" s="3">
        <v>139.80000000000001</v>
      </c>
      <c r="J82" s="3">
        <v>111.9</v>
      </c>
      <c r="K82" s="3">
        <v>123.9</v>
      </c>
      <c r="L82" s="3">
        <v>125</v>
      </c>
      <c r="M82" s="3">
        <v>132.6</v>
      </c>
      <c r="N82" s="3">
        <v>119.1</v>
      </c>
      <c r="O82" s="3">
        <v>137.30000000000001</v>
      </c>
      <c r="P82" s="3">
        <v>125.8</v>
      </c>
      <c r="Q82" s="3">
        <v>144.9</v>
      </c>
      <c r="R82" s="3">
        <v>129.4</v>
      </c>
      <c r="S82" s="3">
        <v>142.19999999999999</v>
      </c>
      <c r="T82" s="3">
        <v>142.9</v>
      </c>
      <c r="U82" s="3">
        <v>148.30000000000001</v>
      </c>
      <c r="V82" s="3">
        <v>91.6</v>
      </c>
      <c r="W82" s="3">
        <v>157.6</v>
      </c>
      <c r="X82" s="3">
        <v>147.69999999999999</v>
      </c>
      <c r="Y82" s="3">
        <v>129.4</v>
      </c>
      <c r="Z82" s="3">
        <v>125.4</v>
      </c>
      <c r="AA82" s="3">
        <v>117.6</v>
      </c>
      <c r="AB82" s="3">
        <v>135.1</v>
      </c>
      <c r="AC82" s="3">
        <v>102</v>
      </c>
      <c r="AD82" s="3">
        <v>88.5</v>
      </c>
      <c r="AE82" s="3">
        <v>136.30000000000001</v>
      </c>
      <c r="AF82" s="3">
        <v>116.9</v>
      </c>
      <c r="AG82" s="3">
        <v>114.4</v>
      </c>
      <c r="AH82" s="3">
        <v>125.3</v>
      </c>
      <c r="AI82" s="3">
        <v>138.1</v>
      </c>
      <c r="AJ82" s="3">
        <v>156</v>
      </c>
      <c r="AK82" s="3">
        <v>163.4</v>
      </c>
      <c r="AL82" s="3">
        <v>156.6</v>
      </c>
      <c r="AM82" s="3">
        <v>162.4</v>
      </c>
      <c r="AN82" s="3">
        <v>164.9</v>
      </c>
      <c r="AO82" s="3">
        <v>144.6</v>
      </c>
      <c r="AP82" s="3">
        <v>148.30000000000001</v>
      </c>
      <c r="AQ82" s="3">
        <v>156.9</v>
      </c>
      <c r="AR82" s="3">
        <v>142.4</v>
      </c>
      <c r="AS82" s="3">
        <v>160.5</v>
      </c>
      <c r="AT82" s="3">
        <v>152.6</v>
      </c>
      <c r="AU82" s="3">
        <v>182.7</v>
      </c>
      <c r="AV82" s="3">
        <v>144</v>
      </c>
      <c r="AX82" s="3">
        <v>124.5</v>
      </c>
      <c r="AY82" s="3">
        <v>207.7</v>
      </c>
      <c r="AZ82" s="3">
        <v>147.80000000000001</v>
      </c>
      <c r="BA82" s="3">
        <v>143</v>
      </c>
      <c r="BB82" s="3">
        <v>200.8</v>
      </c>
      <c r="BC82" s="3">
        <v>117.9</v>
      </c>
      <c r="BD82" s="3">
        <v>140.19999999999999</v>
      </c>
      <c r="BE82" s="3">
        <v>113.3</v>
      </c>
      <c r="BF82" s="3">
        <v>108.4</v>
      </c>
      <c r="BG82" s="3">
        <v>128.5</v>
      </c>
      <c r="BH82" s="3">
        <v>123.8</v>
      </c>
      <c r="BI82" s="3">
        <v>111.3</v>
      </c>
      <c r="BJ82" s="3">
        <v>132.9</v>
      </c>
      <c r="BK82" s="3">
        <v>148.1</v>
      </c>
      <c r="BL82" s="3">
        <v>127</v>
      </c>
      <c r="BM82" s="3">
        <v>139.69999999999999</v>
      </c>
      <c r="BN82" s="3">
        <v>121.2</v>
      </c>
      <c r="BO82" s="3">
        <v>157.69999999999999</v>
      </c>
      <c r="BP82" s="3">
        <v>156.1</v>
      </c>
      <c r="BQ82" s="3">
        <v>121.5</v>
      </c>
      <c r="BR82" s="3">
        <v>112.2</v>
      </c>
      <c r="BS82" s="3">
        <v>120.4</v>
      </c>
      <c r="BT82" s="3">
        <v>139.4</v>
      </c>
      <c r="BU82" s="3">
        <v>125.8</v>
      </c>
      <c r="BV82" s="3">
        <v>116.3</v>
      </c>
      <c r="BW82" s="3">
        <v>154.19999999999999</v>
      </c>
      <c r="BX82" s="3">
        <v>180.9</v>
      </c>
      <c r="BY82" s="3">
        <v>132.5</v>
      </c>
      <c r="BZ82" s="3">
        <v>163.6</v>
      </c>
      <c r="CA82" s="3">
        <v>144.19999999999999</v>
      </c>
      <c r="CB82" s="3">
        <v>192.4</v>
      </c>
      <c r="CC82" s="3">
        <v>161.9</v>
      </c>
      <c r="CD82" s="3">
        <v>162.1</v>
      </c>
      <c r="CE82" s="3">
        <v>139.80000000000001</v>
      </c>
      <c r="CF82" s="3">
        <v>81.400000000000006</v>
      </c>
      <c r="CG82" s="3">
        <v>114.1</v>
      </c>
      <c r="CH82" s="3">
        <v>122.1</v>
      </c>
      <c r="CI82" s="3">
        <v>158.19999999999999</v>
      </c>
      <c r="CJ82" s="3">
        <v>139.4</v>
      </c>
      <c r="CK82" s="3">
        <v>119.4</v>
      </c>
      <c r="CL82" s="3">
        <v>185.4</v>
      </c>
      <c r="CM82" s="3">
        <v>101.7</v>
      </c>
    </row>
    <row r="83" spans="1:92" x14ac:dyDescent="0.25">
      <c r="A83" s="4">
        <v>34243</v>
      </c>
      <c r="B83" s="3">
        <v>138.9</v>
      </c>
      <c r="C83" s="3">
        <v>140.5</v>
      </c>
      <c r="D83" s="3">
        <v>142.4</v>
      </c>
      <c r="E83" s="3">
        <v>133.9</v>
      </c>
      <c r="F83" s="3">
        <v>117.4</v>
      </c>
      <c r="G83" s="3">
        <v>114</v>
      </c>
      <c r="H83" s="3">
        <v>120</v>
      </c>
      <c r="I83" s="3">
        <v>138.69999999999999</v>
      </c>
      <c r="J83" s="3">
        <v>110.3</v>
      </c>
      <c r="K83" s="3">
        <v>124.4</v>
      </c>
      <c r="L83" s="3">
        <v>125.3</v>
      </c>
      <c r="M83" s="3">
        <v>132.69999999999999</v>
      </c>
      <c r="N83" s="3">
        <v>119.6</v>
      </c>
      <c r="O83" s="3">
        <v>137</v>
      </c>
      <c r="P83" s="3">
        <v>125.8</v>
      </c>
      <c r="Q83" s="3">
        <v>144.5</v>
      </c>
      <c r="R83" s="3">
        <v>130.6</v>
      </c>
      <c r="S83" s="3">
        <v>140.5</v>
      </c>
      <c r="T83" s="3">
        <v>144.30000000000001</v>
      </c>
      <c r="U83" s="3">
        <v>148.80000000000001</v>
      </c>
      <c r="V83" s="3">
        <v>91.4</v>
      </c>
      <c r="W83" s="3">
        <v>157.80000000000001</v>
      </c>
      <c r="X83" s="3">
        <v>145.4</v>
      </c>
      <c r="Y83" s="3">
        <v>129.30000000000001</v>
      </c>
      <c r="Z83" s="3">
        <v>123.5</v>
      </c>
      <c r="AA83" s="3">
        <v>111.7</v>
      </c>
      <c r="AB83" s="3">
        <v>136.1</v>
      </c>
      <c r="AC83" s="3">
        <v>101.5</v>
      </c>
      <c r="AD83" s="3">
        <v>88.8</v>
      </c>
      <c r="AE83" s="3">
        <v>133.9</v>
      </c>
      <c r="AF83" s="3">
        <v>112.9</v>
      </c>
      <c r="AG83" s="3">
        <v>110.2</v>
      </c>
      <c r="AH83" s="3">
        <v>122.1</v>
      </c>
      <c r="AI83" s="3">
        <v>137</v>
      </c>
      <c r="AJ83" s="3">
        <v>156.80000000000001</v>
      </c>
      <c r="AK83" s="3">
        <v>163.80000000000001</v>
      </c>
      <c r="AL83" s="3">
        <v>157</v>
      </c>
      <c r="AM83" s="3">
        <v>162.69999999999999</v>
      </c>
      <c r="AN83" s="3">
        <v>165.4</v>
      </c>
      <c r="AO83" s="3">
        <v>143.69999999999999</v>
      </c>
      <c r="AP83" s="3">
        <v>148.80000000000001</v>
      </c>
      <c r="AQ83" s="3">
        <v>157.4</v>
      </c>
      <c r="AR83" s="3">
        <v>142.9</v>
      </c>
      <c r="AS83" s="3">
        <v>160.69999999999999</v>
      </c>
      <c r="AT83" s="3">
        <v>152.4</v>
      </c>
      <c r="AU83" s="3">
        <v>183.2</v>
      </c>
      <c r="AV83" s="3">
        <v>144.6</v>
      </c>
      <c r="AX83" s="3">
        <v>124.5</v>
      </c>
      <c r="AY83" s="3">
        <v>207.7</v>
      </c>
      <c r="AZ83" s="3">
        <v>148</v>
      </c>
      <c r="BA83" s="3">
        <v>142.69999999999999</v>
      </c>
      <c r="BB83" s="3">
        <v>198.9</v>
      </c>
      <c r="BC83" s="3">
        <v>119.2</v>
      </c>
      <c r="BD83" s="3">
        <v>140.19999999999999</v>
      </c>
      <c r="BE83" s="3">
        <v>113.3</v>
      </c>
      <c r="BF83" s="3">
        <v>112.5</v>
      </c>
      <c r="BG83" s="3">
        <v>127.7</v>
      </c>
      <c r="BH83" s="3">
        <v>122.4</v>
      </c>
      <c r="BI83" s="3">
        <v>111.3</v>
      </c>
      <c r="BJ83" s="3">
        <v>133.30000000000001</v>
      </c>
      <c r="BK83" s="3">
        <v>148.69999999999999</v>
      </c>
      <c r="BL83" s="3">
        <v>126.7</v>
      </c>
      <c r="BM83" s="3">
        <v>139.69999999999999</v>
      </c>
      <c r="BN83" s="3">
        <v>121.2</v>
      </c>
      <c r="BO83" s="3">
        <v>158.9</v>
      </c>
      <c r="BP83" s="3">
        <v>156</v>
      </c>
      <c r="BQ83" s="3">
        <v>122.6</v>
      </c>
      <c r="BR83" s="3">
        <v>112</v>
      </c>
      <c r="BS83" s="3">
        <v>120</v>
      </c>
      <c r="BT83" s="3">
        <v>140.19999999999999</v>
      </c>
      <c r="BU83" s="3">
        <v>127</v>
      </c>
      <c r="BV83" s="3">
        <v>116.6</v>
      </c>
      <c r="BW83" s="3">
        <v>154.1</v>
      </c>
      <c r="BX83" s="3">
        <v>181.5</v>
      </c>
      <c r="BY83" s="3">
        <v>131.4</v>
      </c>
      <c r="BZ83" s="3">
        <v>163.9</v>
      </c>
      <c r="CA83" s="3">
        <v>142.80000000000001</v>
      </c>
      <c r="CB83" s="3">
        <v>194.7</v>
      </c>
      <c r="CC83" s="3">
        <v>162.19999999999999</v>
      </c>
      <c r="CD83" s="3">
        <v>162.1</v>
      </c>
      <c r="CE83" s="3">
        <v>139.4</v>
      </c>
      <c r="CF83" s="3">
        <v>81.2</v>
      </c>
      <c r="CG83" s="3">
        <v>114.2</v>
      </c>
      <c r="CH83" s="3">
        <v>121.8</v>
      </c>
      <c r="CI83" s="3">
        <v>159.6</v>
      </c>
      <c r="CJ83" s="3">
        <v>139.19999999999999</v>
      </c>
      <c r="CK83" s="3">
        <v>119.5</v>
      </c>
      <c r="CL83" s="3">
        <v>186.2</v>
      </c>
      <c r="CM83" s="3">
        <v>101.6</v>
      </c>
    </row>
    <row r="84" spans="1:92" x14ac:dyDescent="0.25">
      <c r="A84" s="4">
        <v>34274</v>
      </c>
      <c r="B84" s="3">
        <v>136.69999999999999</v>
      </c>
      <c r="C84" s="3">
        <v>139.4</v>
      </c>
      <c r="D84" s="3">
        <v>142.80000000000001</v>
      </c>
      <c r="E84" s="3">
        <v>134.80000000000001</v>
      </c>
      <c r="F84" s="3">
        <v>116.3</v>
      </c>
      <c r="G84" s="3">
        <v>112.6</v>
      </c>
      <c r="H84" s="3">
        <v>117.4</v>
      </c>
      <c r="I84" s="3">
        <v>137.80000000000001</v>
      </c>
      <c r="J84" s="3">
        <v>109.5</v>
      </c>
      <c r="K84" s="3">
        <v>123.5</v>
      </c>
      <c r="L84" s="3">
        <v>123.9</v>
      </c>
      <c r="M84" s="3">
        <v>131.30000000000001</v>
      </c>
      <c r="N84" s="3">
        <v>118.2</v>
      </c>
      <c r="O84" s="3">
        <v>136.9</v>
      </c>
      <c r="P84" s="3">
        <v>125</v>
      </c>
      <c r="Q84" s="3">
        <v>144.30000000000001</v>
      </c>
      <c r="R84" s="3">
        <v>126.4</v>
      </c>
      <c r="S84" s="3">
        <v>139.80000000000001</v>
      </c>
      <c r="T84" s="3">
        <v>143.5</v>
      </c>
      <c r="U84" s="3">
        <v>147.9</v>
      </c>
      <c r="V84" s="3">
        <v>90.5</v>
      </c>
      <c r="W84" s="3">
        <v>153.30000000000001</v>
      </c>
      <c r="X84" s="3">
        <v>145.5</v>
      </c>
      <c r="Y84" s="3">
        <v>129.19999999999999</v>
      </c>
      <c r="Z84" s="3">
        <v>122</v>
      </c>
      <c r="AA84" s="3">
        <v>112.5</v>
      </c>
      <c r="AB84" s="3">
        <v>133</v>
      </c>
      <c r="AC84" s="3">
        <v>103.7</v>
      </c>
      <c r="AD84" s="3">
        <v>91.6</v>
      </c>
      <c r="AE84" s="3">
        <v>134.19999999999999</v>
      </c>
      <c r="AF84" s="3">
        <v>110.5</v>
      </c>
      <c r="AG84" s="3">
        <v>107.1</v>
      </c>
      <c r="AH84" s="3">
        <v>122.1</v>
      </c>
      <c r="AI84" s="3">
        <v>137</v>
      </c>
      <c r="AJ84" s="3">
        <v>157.19999999999999</v>
      </c>
      <c r="AK84" s="3">
        <v>164</v>
      </c>
      <c r="AL84" s="3">
        <v>157.5</v>
      </c>
      <c r="AM84" s="3">
        <v>162.19999999999999</v>
      </c>
      <c r="AN84" s="3">
        <v>165.6</v>
      </c>
      <c r="AO84" s="3">
        <v>140.30000000000001</v>
      </c>
      <c r="AP84" s="3">
        <v>147.69999999999999</v>
      </c>
      <c r="AQ84" s="3">
        <v>157.5</v>
      </c>
      <c r="AR84" s="3">
        <v>141</v>
      </c>
      <c r="AS84" s="3">
        <v>160.80000000000001</v>
      </c>
      <c r="AT84" s="3">
        <v>152.30000000000001</v>
      </c>
      <c r="AU84" s="3">
        <v>183.2</v>
      </c>
      <c r="AV84" s="3">
        <v>145.19999999999999</v>
      </c>
      <c r="AX84" s="3">
        <v>124.5</v>
      </c>
      <c r="AY84" s="3">
        <v>207.7</v>
      </c>
      <c r="AZ84" s="3">
        <v>148.30000000000001</v>
      </c>
      <c r="BA84" s="3">
        <v>142.69999999999999</v>
      </c>
      <c r="BB84" s="3">
        <v>199</v>
      </c>
      <c r="BC84" s="3">
        <v>118.3</v>
      </c>
      <c r="BD84" s="3">
        <v>140</v>
      </c>
      <c r="BE84" s="3">
        <v>113.3</v>
      </c>
      <c r="BF84" s="3">
        <v>112.1</v>
      </c>
      <c r="BG84" s="3">
        <v>128.5</v>
      </c>
      <c r="BH84" s="3">
        <v>124.4</v>
      </c>
      <c r="BI84" s="3">
        <v>111.4</v>
      </c>
      <c r="BJ84" s="3">
        <v>134.1</v>
      </c>
      <c r="BK84" s="3">
        <v>148.4</v>
      </c>
      <c r="BL84" s="3">
        <v>127.1</v>
      </c>
      <c r="BM84" s="3">
        <v>145.5</v>
      </c>
      <c r="BN84" s="3">
        <v>121.2</v>
      </c>
      <c r="BO84" s="3">
        <v>159.5</v>
      </c>
      <c r="BP84" s="3">
        <v>156.1</v>
      </c>
      <c r="BQ84" s="3">
        <v>122.8</v>
      </c>
      <c r="BR84" s="3">
        <v>111.8</v>
      </c>
      <c r="BS84" s="3">
        <v>120.4</v>
      </c>
      <c r="BT84" s="3">
        <v>140.6</v>
      </c>
      <c r="BU84" s="3">
        <v>127.6</v>
      </c>
      <c r="BV84" s="3">
        <v>119.9</v>
      </c>
      <c r="BW84" s="3">
        <v>154.19999999999999</v>
      </c>
      <c r="BX84" s="3">
        <v>181.9</v>
      </c>
      <c r="BY84" s="3">
        <v>127.6</v>
      </c>
      <c r="BZ84" s="3">
        <v>163.80000000000001</v>
      </c>
      <c r="CA84" s="3">
        <v>142.19999999999999</v>
      </c>
      <c r="CB84" s="3">
        <v>194.7</v>
      </c>
      <c r="CC84" s="3">
        <v>162.19999999999999</v>
      </c>
      <c r="CD84" s="3">
        <v>159</v>
      </c>
      <c r="CE84" s="3">
        <v>140.5</v>
      </c>
      <c r="CF84" s="3">
        <v>81.400000000000006</v>
      </c>
      <c r="CG84" s="3">
        <v>115</v>
      </c>
      <c r="CH84" s="3">
        <v>121.9</v>
      </c>
      <c r="CI84" s="3">
        <v>159.80000000000001</v>
      </c>
      <c r="CJ84" s="3">
        <v>140.30000000000001</v>
      </c>
      <c r="CK84" s="3">
        <v>119.5</v>
      </c>
      <c r="CL84" s="3">
        <v>187.4</v>
      </c>
      <c r="CM84" s="3">
        <v>101.6</v>
      </c>
    </row>
    <row r="85" spans="1:92" x14ac:dyDescent="0.25">
      <c r="A85" s="4">
        <v>34304</v>
      </c>
      <c r="B85" s="3">
        <v>137</v>
      </c>
      <c r="C85" s="3">
        <v>139.5</v>
      </c>
      <c r="D85" s="3">
        <v>142.5</v>
      </c>
      <c r="E85" s="3">
        <v>133.5</v>
      </c>
      <c r="F85" s="3">
        <v>120.1</v>
      </c>
      <c r="G85" s="3">
        <v>118.5</v>
      </c>
      <c r="H85" s="3">
        <v>117.1</v>
      </c>
      <c r="I85" s="3">
        <v>136.4</v>
      </c>
      <c r="J85" s="3">
        <v>109.2</v>
      </c>
      <c r="K85" s="3">
        <v>124.2</v>
      </c>
      <c r="L85" s="3">
        <v>123.5</v>
      </c>
      <c r="M85" s="3">
        <v>132.30000000000001</v>
      </c>
      <c r="N85" s="3">
        <v>117</v>
      </c>
      <c r="O85" s="3">
        <v>137.1</v>
      </c>
      <c r="P85" s="3">
        <v>125.5</v>
      </c>
      <c r="Q85" s="3">
        <v>142.4</v>
      </c>
      <c r="R85" s="3">
        <v>125</v>
      </c>
      <c r="S85" s="3">
        <v>139.5</v>
      </c>
      <c r="T85" s="3">
        <v>140</v>
      </c>
      <c r="U85" s="3">
        <v>148</v>
      </c>
      <c r="V85" s="3">
        <v>90.5</v>
      </c>
      <c r="W85" s="3">
        <v>151.1</v>
      </c>
      <c r="X85" s="3">
        <v>145.19999999999999</v>
      </c>
      <c r="Y85" s="3">
        <v>129</v>
      </c>
      <c r="Z85" s="3">
        <v>122.3</v>
      </c>
      <c r="AA85" s="3">
        <v>111.9</v>
      </c>
      <c r="AB85" s="3">
        <v>133.80000000000001</v>
      </c>
      <c r="AC85" s="3">
        <v>108.7</v>
      </c>
      <c r="AD85" s="3">
        <v>98.7</v>
      </c>
      <c r="AE85" s="3">
        <v>133.9</v>
      </c>
      <c r="AF85" s="3">
        <v>113.7</v>
      </c>
      <c r="AG85" s="3">
        <v>111.4</v>
      </c>
      <c r="AH85" s="3">
        <v>121.4</v>
      </c>
      <c r="AI85" s="3">
        <v>137.1</v>
      </c>
      <c r="AJ85" s="3">
        <v>157.80000000000001</v>
      </c>
      <c r="AK85" s="3">
        <v>164.2</v>
      </c>
      <c r="AL85" s="3">
        <v>158</v>
      </c>
      <c r="AM85" s="3">
        <v>162.1</v>
      </c>
      <c r="AN85" s="3">
        <v>165.8</v>
      </c>
      <c r="AO85" s="3">
        <v>138.19999999999999</v>
      </c>
      <c r="AP85" s="3">
        <v>146.6</v>
      </c>
      <c r="AQ85" s="3">
        <v>157.69999999999999</v>
      </c>
      <c r="AR85" s="3">
        <v>139.19999999999999</v>
      </c>
      <c r="AS85" s="3">
        <v>164.2</v>
      </c>
      <c r="AT85" s="3">
        <v>154.6</v>
      </c>
      <c r="AU85" s="3">
        <v>183.4</v>
      </c>
      <c r="AV85" s="3">
        <v>145.69999999999999</v>
      </c>
      <c r="AX85" s="3">
        <v>124.5</v>
      </c>
      <c r="AY85" s="3">
        <v>207.7</v>
      </c>
      <c r="AZ85" s="3">
        <v>148.4</v>
      </c>
      <c r="BA85" s="3">
        <v>142.80000000000001</v>
      </c>
      <c r="BB85" s="3">
        <v>198.5</v>
      </c>
      <c r="BC85" s="3">
        <v>119.8</v>
      </c>
      <c r="BD85" s="3">
        <v>139.6</v>
      </c>
      <c r="BE85" s="3">
        <v>113.3</v>
      </c>
      <c r="BF85" s="3">
        <v>111</v>
      </c>
      <c r="BG85" s="3">
        <v>129.69999999999999</v>
      </c>
      <c r="BH85" s="3">
        <v>125.2</v>
      </c>
      <c r="BI85" s="3">
        <v>113</v>
      </c>
      <c r="BJ85" s="3">
        <v>133.80000000000001</v>
      </c>
      <c r="BK85" s="3">
        <v>147.80000000000001</v>
      </c>
      <c r="BL85" s="3">
        <v>127.2</v>
      </c>
      <c r="BM85" s="3">
        <v>145.5</v>
      </c>
      <c r="BN85" s="3">
        <v>120.9</v>
      </c>
      <c r="BO85" s="3">
        <v>159.6</v>
      </c>
      <c r="BP85" s="3">
        <v>155.1</v>
      </c>
      <c r="BQ85" s="3">
        <v>122.7</v>
      </c>
      <c r="BR85" s="3">
        <v>111.1</v>
      </c>
      <c r="BS85" s="3">
        <v>120.4</v>
      </c>
      <c r="BT85" s="3">
        <v>140.19999999999999</v>
      </c>
      <c r="BU85" s="3">
        <v>127.5</v>
      </c>
      <c r="BV85" s="3">
        <v>119.8</v>
      </c>
      <c r="BW85" s="3">
        <v>152.5</v>
      </c>
      <c r="BX85" s="3">
        <v>182.1</v>
      </c>
      <c r="BY85" s="3">
        <v>126.8</v>
      </c>
      <c r="BZ85" s="3">
        <v>163.9</v>
      </c>
      <c r="CA85" s="3">
        <v>148</v>
      </c>
      <c r="CB85" s="3">
        <v>197.4</v>
      </c>
      <c r="CC85" s="3">
        <v>162.19999999999999</v>
      </c>
      <c r="CD85" s="3">
        <v>159.1</v>
      </c>
      <c r="CE85" s="3">
        <v>140.30000000000001</v>
      </c>
      <c r="CF85" s="3">
        <v>81.400000000000006</v>
      </c>
      <c r="CG85" s="3">
        <v>114.9</v>
      </c>
      <c r="CH85" s="3">
        <v>121.9</v>
      </c>
      <c r="CI85" s="3">
        <v>160</v>
      </c>
      <c r="CJ85" s="3">
        <v>140.6</v>
      </c>
      <c r="CK85" s="3">
        <v>119.5</v>
      </c>
      <c r="CL85" s="3">
        <v>187.5</v>
      </c>
      <c r="CM85" s="3">
        <v>101.8</v>
      </c>
    </row>
    <row r="86" spans="1:92" x14ac:dyDescent="0.25">
      <c r="A86" s="4">
        <v>34335</v>
      </c>
      <c r="B86" s="3">
        <v>137</v>
      </c>
      <c r="C86" s="3">
        <v>138.4</v>
      </c>
      <c r="D86" s="3">
        <v>143.5</v>
      </c>
      <c r="E86" s="3">
        <v>134.80000000000001</v>
      </c>
      <c r="F86" s="3">
        <v>122.9</v>
      </c>
      <c r="G86" s="3">
        <v>122.5</v>
      </c>
      <c r="H86" s="3">
        <v>119.4</v>
      </c>
      <c r="I86" s="3">
        <v>135.4</v>
      </c>
      <c r="J86" s="3">
        <v>109.7</v>
      </c>
      <c r="K86" s="3">
        <v>123.1</v>
      </c>
      <c r="L86" s="3">
        <v>124.2</v>
      </c>
      <c r="M86" s="3">
        <v>132.80000000000001</v>
      </c>
      <c r="N86" s="3">
        <v>117.9</v>
      </c>
      <c r="O86" s="3">
        <v>137</v>
      </c>
      <c r="P86" s="3">
        <v>127.2</v>
      </c>
      <c r="Q86" s="3">
        <v>144.9</v>
      </c>
      <c r="R86" s="3">
        <v>124.8</v>
      </c>
      <c r="S86" s="3">
        <v>140.30000000000001</v>
      </c>
      <c r="T86" s="3">
        <v>141.19999999999999</v>
      </c>
      <c r="U86" s="3">
        <v>147.69999999999999</v>
      </c>
      <c r="V86" s="3">
        <v>91</v>
      </c>
      <c r="W86" s="3">
        <v>152.9</v>
      </c>
      <c r="X86" s="3">
        <v>145.1</v>
      </c>
      <c r="Y86" s="3">
        <v>129.9</v>
      </c>
      <c r="Z86" s="3">
        <v>122.6</v>
      </c>
      <c r="AA86" s="3">
        <v>114.4</v>
      </c>
      <c r="AB86" s="3">
        <v>132.69999999999999</v>
      </c>
      <c r="AC86" s="3">
        <v>109.5</v>
      </c>
      <c r="AD86" s="3">
        <v>100.2</v>
      </c>
      <c r="AE86" s="3">
        <v>132.6</v>
      </c>
      <c r="AF86" s="3">
        <v>113.2</v>
      </c>
      <c r="AG86" s="3">
        <v>109.3</v>
      </c>
      <c r="AH86" s="3">
        <v>126.3</v>
      </c>
      <c r="AI86" s="3">
        <v>137.1</v>
      </c>
      <c r="AJ86" s="3">
        <v>157.9</v>
      </c>
      <c r="AK86" s="3">
        <v>164.5</v>
      </c>
      <c r="AL86" s="3">
        <v>158.69999999999999</v>
      </c>
      <c r="AM86" s="3">
        <v>162.9</v>
      </c>
      <c r="AN86" s="3">
        <v>165.9</v>
      </c>
      <c r="AO86" s="3">
        <v>142.69999999999999</v>
      </c>
      <c r="AP86" s="3">
        <v>148.5</v>
      </c>
      <c r="AQ86" s="3">
        <v>158.1</v>
      </c>
      <c r="AR86" s="3">
        <v>142</v>
      </c>
      <c r="AS86" s="3">
        <v>167.8</v>
      </c>
      <c r="AT86" s="3">
        <v>158</v>
      </c>
      <c r="AU86" s="3">
        <v>183.3</v>
      </c>
      <c r="AV86" s="3">
        <v>141.19999999999999</v>
      </c>
      <c r="AX86" s="3">
        <v>124.5</v>
      </c>
      <c r="AY86" s="3">
        <v>207.7</v>
      </c>
      <c r="AZ86" s="3">
        <v>148.80000000000001</v>
      </c>
      <c r="BA86" s="3">
        <v>142.30000000000001</v>
      </c>
      <c r="BB86" s="3">
        <v>193.1</v>
      </c>
      <c r="BC86" s="3">
        <v>119.9</v>
      </c>
      <c r="BD86" s="3">
        <v>139.19999999999999</v>
      </c>
      <c r="BE86" s="3">
        <v>113.3</v>
      </c>
      <c r="BF86" s="3">
        <v>108.9</v>
      </c>
      <c r="BG86" s="3">
        <v>124.1</v>
      </c>
      <c r="BH86" s="3">
        <v>120.2</v>
      </c>
      <c r="BI86" s="3">
        <v>109.4</v>
      </c>
      <c r="BJ86" s="3">
        <v>131.19999999999999</v>
      </c>
      <c r="BK86" s="3">
        <v>146.6</v>
      </c>
      <c r="BL86" s="3">
        <v>126.4</v>
      </c>
      <c r="BM86" s="3">
        <v>145.5</v>
      </c>
      <c r="BN86" s="3">
        <v>117.4</v>
      </c>
      <c r="BO86" s="3">
        <v>159.80000000000001</v>
      </c>
      <c r="BP86" s="3">
        <v>157</v>
      </c>
      <c r="BQ86" s="3">
        <v>116</v>
      </c>
      <c r="BR86" s="3">
        <v>102.8</v>
      </c>
      <c r="BS86" s="3">
        <v>115.2</v>
      </c>
      <c r="BT86" s="3">
        <v>137</v>
      </c>
      <c r="BU86" s="3">
        <v>123</v>
      </c>
      <c r="BV86" s="3">
        <v>115.3</v>
      </c>
      <c r="BW86" s="3">
        <v>154.4</v>
      </c>
      <c r="BX86" s="3">
        <v>184.1</v>
      </c>
      <c r="BY86" s="3">
        <v>128.5</v>
      </c>
      <c r="BZ86" s="3">
        <v>164.9</v>
      </c>
      <c r="CA86" s="3">
        <v>147.19999999999999</v>
      </c>
      <c r="CB86" s="3">
        <v>197.4</v>
      </c>
      <c r="CC86" s="3">
        <v>168.5</v>
      </c>
      <c r="CD86" s="3">
        <v>161.9</v>
      </c>
      <c r="CE86" s="3">
        <v>139.30000000000001</v>
      </c>
      <c r="CF86" s="3">
        <v>78.900000000000006</v>
      </c>
      <c r="CG86" s="3">
        <v>115.6</v>
      </c>
      <c r="CH86" s="3">
        <v>121.2</v>
      </c>
      <c r="CI86" s="3">
        <v>160.19999999999999</v>
      </c>
      <c r="CJ86" s="3">
        <v>140.19999999999999</v>
      </c>
      <c r="CK86" s="3">
        <v>119.1</v>
      </c>
      <c r="CL86" s="3">
        <v>188.6</v>
      </c>
      <c r="CM86" s="3">
        <v>102.2</v>
      </c>
      <c r="CN86" s="3">
        <v>100</v>
      </c>
    </row>
    <row r="87" spans="1:92" x14ac:dyDescent="0.25">
      <c r="A87" s="4">
        <v>34366</v>
      </c>
      <c r="B87" s="3">
        <v>136.9</v>
      </c>
      <c r="C87" s="3">
        <v>139.30000000000001</v>
      </c>
      <c r="D87" s="3">
        <v>144.19999999999999</v>
      </c>
      <c r="E87" s="3">
        <v>134.5</v>
      </c>
      <c r="F87" s="3">
        <v>126.2</v>
      </c>
      <c r="G87" s="3">
        <v>128.1</v>
      </c>
      <c r="H87" s="3">
        <v>116.5</v>
      </c>
      <c r="I87" s="3">
        <v>135</v>
      </c>
      <c r="J87" s="3">
        <v>109.9</v>
      </c>
      <c r="K87" s="3">
        <v>124.2</v>
      </c>
      <c r="L87" s="3">
        <v>123.2</v>
      </c>
      <c r="M87" s="3">
        <v>128.19999999999999</v>
      </c>
      <c r="N87" s="3">
        <v>119.1</v>
      </c>
      <c r="O87" s="3">
        <v>135</v>
      </c>
      <c r="P87" s="3">
        <v>129.30000000000001</v>
      </c>
      <c r="Q87" s="3">
        <v>144.30000000000001</v>
      </c>
      <c r="R87" s="3">
        <v>126.9</v>
      </c>
      <c r="S87" s="3">
        <v>140.19999999999999</v>
      </c>
      <c r="T87" s="3">
        <v>139.4</v>
      </c>
      <c r="U87" s="3">
        <v>146.80000000000001</v>
      </c>
      <c r="V87" s="3">
        <v>98.7</v>
      </c>
      <c r="W87" s="3">
        <v>154.9</v>
      </c>
      <c r="X87" s="3">
        <v>144.4</v>
      </c>
      <c r="Y87" s="3">
        <v>130.9</v>
      </c>
      <c r="Z87" s="3">
        <v>122.8</v>
      </c>
      <c r="AA87" s="3">
        <v>115.3</v>
      </c>
      <c r="AB87" s="3">
        <v>132.19999999999999</v>
      </c>
      <c r="AC87" s="3">
        <v>112.5</v>
      </c>
      <c r="AD87" s="3">
        <v>103.7</v>
      </c>
      <c r="AE87" s="3">
        <v>133.6</v>
      </c>
      <c r="AF87" s="3">
        <v>115.8</v>
      </c>
      <c r="AG87" s="3">
        <v>112</v>
      </c>
      <c r="AH87" s="3">
        <v>128.30000000000001</v>
      </c>
      <c r="AI87" s="3">
        <v>136.6</v>
      </c>
      <c r="AJ87" s="3">
        <v>158.19999999999999</v>
      </c>
      <c r="AK87" s="3">
        <v>164.7</v>
      </c>
      <c r="AL87" s="3">
        <v>159.1</v>
      </c>
      <c r="AM87" s="3">
        <v>163.4</v>
      </c>
      <c r="AN87" s="3">
        <v>166.2</v>
      </c>
      <c r="AO87" s="3">
        <v>144</v>
      </c>
      <c r="AP87" s="3">
        <v>149</v>
      </c>
      <c r="AQ87" s="3">
        <v>158.4</v>
      </c>
      <c r="AR87" s="3">
        <v>142.6</v>
      </c>
      <c r="AS87" s="3">
        <v>168.3</v>
      </c>
      <c r="AT87" s="3">
        <v>158.5</v>
      </c>
      <c r="AU87" s="3">
        <v>183.3</v>
      </c>
      <c r="AV87" s="3">
        <v>141.30000000000001</v>
      </c>
      <c r="AX87" s="3">
        <v>124.5</v>
      </c>
      <c r="AY87" s="3">
        <v>207.7</v>
      </c>
      <c r="AZ87" s="3">
        <v>148.9</v>
      </c>
      <c r="BA87" s="3">
        <v>143.1</v>
      </c>
      <c r="BB87" s="3">
        <v>194.2</v>
      </c>
      <c r="BC87" s="3">
        <v>119.6</v>
      </c>
      <c r="BD87" s="3">
        <v>138.4</v>
      </c>
      <c r="BE87" s="3">
        <v>113.3</v>
      </c>
      <c r="BF87" s="3">
        <v>107</v>
      </c>
      <c r="BG87" s="3">
        <v>125.7</v>
      </c>
      <c r="BH87" s="3">
        <v>122.7</v>
      </c>
      <c r="BI87" s="3">
        <v>108.6</v>
      </c>
      <c r="BJ87" s="3">
        <v>132.1</v>
      </c>
      <c r="BK87" s="3">
        <v>146.69999999999999</v>
      </c>
      <c r="BL87" s="3">
        <v>127.5</v>
      </c>
      <c r="BM87" s="3">
        <v>145.5</v>
      </c>
      <c r="BN87" s="3">
        <v>117.1</v>
      </c>
      <c r="BO87" s="3">
        <v>160.5</v>
      </c>
      <c r="BP87" s="3">
        <v>158</v>
      </c>
      <c r="BQ87" s="3">
        <v>120.6</v>
      </c>
      <c r="BR87" s="3">
        <v>106.2</v>
      </c>
      <c r="BS87" s="3">
        <v>117.5</v>
      </c>
      <c r="BT87" s="3">
        <v>138.4</v>
      </c>
      <c r="BU87" s="3">
        <v>125.7</v>
      </c>
      <c r="BV87" s="3">
        <v>123.4</v>
      </c>
      <c r="BW87" s="3">
        <v>155.5</v>
      </c>
      <c r="BX87" s="3">
        <v>184.4</v>
      </c>
      <c r="BY87" s="3">
        <v>130.6</v>
      </c>
      <c r="BZ87" s="3">
        <v>164.7</v>
      </c>
      <c r="CA87" s="3">
        <v>146.9</v>
      </c>
      <c r="CB87" s="3">
        <v>197.4</v>
      </c>
      <c r="CC87" s="3">
        <v>168.5</v>
      </c>
      <c r="CD87" s="3">
        <v>162.19999999999999</v>
      </c>
      <c r="CE87" s="3">
        <v>139.69999999999999</v>
      </c>
      <c r="CF87" s="3">
        <v>78.599999999999994</v>
      </c>
      <c r="CG87" s="3">
        <v>115.5</v>
      </c>
      <c r="CH87" s="3">
        <v>122.3</v>
      </c>
      <c r="CI87" s="3">
        <v>160.4</v>
      </c>
      <c r="CJ87" s="3">
        <v>141</v>
      </c>
      <c r="CK87" s="3">
        <v>119.2</v>
      </c>
      <c r="CL87" s="3">
        <v>188.9</v>
      </c>
      <c r="CM87" s="3">
        <v>102.3</v>
      </c>
      <c r="CN87" s="3">
        <v>100</v>
      </c>
    </row>
    <row r="88" spans="1:92" x14ac:dyDescent="0.25">
      <c r="A88" s="4">
        <v>34394</v>
      </c>
      <c r="B88" s="3">
        <v>137.30000000000001</v>
      </c>
      <c r="C88" s="3">
        <v>137.6</v>
      </c>
      <c r="D88" s="3">
        <v>144.6</v>
      </c>
      <c r="E88" s="3">
        <v>135.30000000000001</v>
      </c>
      <c r="F88" s="3">
        <v>128.6</v>
      </c>
      <c r="G88" s="3">
        <v>135.4</v>
      </c>
      <c r="H88" s="3">
        <v>116.8</v>
      </c>
      <c r="I88" s="3">
        <v>134.5</v>
      </c>
      <c r="J88" s="3">
        <v>109.1</v>
      </c>
      <c r="K88" s="3">
        <v>124.2</v>
      </c>
      <c r="L88" s="3">
        <v>123.3</v>
      </c>
      <c r="M88" s="3">
        <v>129.9</v>
      </c>
      <c r="N88" s="3">
        <v>118.1</v>
      </c>
      <c r="O88" s="3">
        <v>135.30000000000001</v>
      </c>
      <c r="P88" s="3">
        <v>129.9</v>
      </c>
      <c r="Q88" s="3">
        <v>144.19999999999999</v>
      </c>
      <c r="R88" s="3">
        <v>127</v>
      </c>
      <c r="S88" s="3">
        <v>142</v>
      </c>
      <c r="T88" s="3">
        <v>140.19999999999999</v>
      </c>
      <c r="U88" s="3">
        <v>147</v>
      </c>
      <c r="V88" s="3">
        <v>99.2</v>
      </c>
      <c r="W88" s="3">
        <v>156.9</v>
      </c>
      <c r="X88" s="3">
        <v>144.1</v>
      </c>
      <c r="Y88" s="3">
        <v>131.69999999999999</v>
      </c>
      <c r="Z88" s="3">
        <v>123.5</v>
      </c>
      <c r="AA88" s="3">
        <v>116.3</v>
      </c>
      <c r="AB88" s="3">
        <v>132.80000000000001</v>
      </c>
      <c r="AC88" s="3">
        <v>115.8</v>
      </c>
      <c r="AD88" s="3">
        <v>108.8</v>
      </c>
      <c r="AE88" s="3">
        <v>131.4</v>
      </c>
      <c r="AF88" s="3">
        <v>115.7</v>
      </c>
      <c r="AG88" s="3">
        <v>112</v>
      </c>
      <c r="AH88" s="3">
        <v>127.5</v>
      </c>
      <c r="AI88" s="3">
        <v>137.6</v>
      </c>
      <c r="AJ88" s="3">
        <v>158.69999999999999</v>
      </c>
      <c r="AK88" s="3">
        <v>166</v>
      </c>
      <c r="AL88" s="3">
        <v>159.30000000000001</v>
      </c>
      <c r="AM88" s="3">
        <v>163.30000000000001</v>
      </c>
      <c r="AN88" s="3">
        <v>166.4</v>
      </c>
      <c r="AO88" s="3">
        <v>142.5</v>
      </c>
      <c r="AP88" s="3">
        <v>148.80000000000001</v>
      </c>
      <c r="AQ88" s="3">
        <v>158.69999999999999</v>
      </c>
      <c r="AR88" s="3">
        <v>142.19999999999999</v>
      </c>
      <c r="AS88" s="3">
        <v>168.4</v>
      </c>
      <c r="AT88" s="3">
        <v>158.5</v>
      </c>
      <c r="AU88" s="3">
        <v>183.2</v>
      </c>
      <c r="AV88" s="3">
        <v>141.80000000000001</v>
      </c>
      <c r="AX88" s="3">
        <v>124.5</v>
      </c>
      <c r="AY88" s="3">
        <v>207.7</v>
      </c>
      <c r="AZ88" s="3">
        <v>149.30000000000001</v>
      </c>
      <c r="BA88" s="3">
        <v>143.19999999999999</v>
      </c>
      <c r="BB88" s="3">
        <v>195.3</v>
      </c>
      <c r="BC88" s="3">
        <v>119.4</v>
      </c>
      <c r="BD88" s="3">
        <v>137.69999999999999</v>
      </c>
      <c r="BE88" s="3">
        <v>113.3</v>
      </c>
      <c r="BF88" s="3">
        <v>106.4</v>
      </c>
      <c r="BG88" s="3">
        <v>128.4</v>
      </c>
      <c r="BH88" s="3">
        <v>124.7</v>
      </c>
      <c r="BI88" s="3">
        <v>110.4</v>
      </c>
      <c r="BJ88" s="3">
        <v>133.9</v>
      </c>
      <c r="BK88" s="3">
        <v>146.30000000000001</v>
      </c>
      <c r="BL88" s="3">
        <v>127.3</v>
      </c>
      <c r="BM88" s="3">
        <v>145.5</v>
      </c>
      <c r="BN88" s="3">
        <v>114.2</v>
      </c>
      <c r="BO88" s="3">
        <v>160.80000000000001</v>
      </c>
      <c r="BP88" s="3">
        <v>158.4</v>
      </c>
      <c r="BQ88" s="3">
        <v>122.5</v>
      </c>
      <c r="BR88" s="3">
        <v>107.7</v>
      </c>
      <c r="BS88" s="3">
        <v>117.6</v>
      </c>
      <c r="BT88" s="3">
        <v>141.1</v>
      </c>
      <c r="BU88" s="3">
        <v>127.6</v>
      </c>
      <c r="BV88" s="3">
        <v>117</v>
      </c>
      <c r="BW88" s="3">
        <v>155.80000000000001</v>
      </c>
      <c r="BX88" s="3">
        <v>184.9</v>
      </c>
      <c r="BY88" s="3">
        <v>132.5</v>
      </c>
      <c r="BZ88" s="3">
        <v>165.1</v>
      </c>
      <c r="CA88" s="3">
        <v>146.19999999999999</v>
      </c>
      <c r="CB88" s="3">
        <v>197.4</v>
      </c>
      <c r="CC88" s="3">
        <v>168.5</v>
      </c>
      <c r="CD88" s="3">
        <v>162.30000000000001</v>
      </c>
      <c r="CE88" s="3">
        <v>140.4</v>
      </c>
      <c r="CF88" s="3">
        <v>78.599999999999994</v>
      </c>
      <c r="CG88" s="3">
        <v>115.7</v>
      </c>
      <c r="CH88" s="3">
        <v>122.5</v>
      </c>
      <c r="CI88" s="3">
        <v>160.5</v>
      </c>
      <c r="CJ88" s="3">
        <v>141.69999999999999</v>
      </c>
      <c r="CK88" s="3">
        <v>119.2</v>
      </c>
      <c r="CL88" s="3">
        <v>188.9</v>
      </c>
      <c r="CM88" s="3">
        <v>102.5</v>
      </c>
      <c r="CN88" s="3">
        <v>100.1</v>
      </c>
    </row>
    <row r="89" spans="1:92" x14ac:dyDescent="0.25">
      <c r="A89" s="4">
        <v>34425</v>
      </c>
      <c r="B89" s="3">
        <v>137.1</v>
      </c>
      <c r="C89" s="3">
        <v>136.30000000000001</v>
      </c>
      <c r="D89" s="3">
        <v>145.19999999999999</v>
      </c>
      <c r="E89" s="3">
        <v>134.19999999999999</v>
      </c>
      <c r="F89" s="3">
        <v>134.30000000000001</v>
      </c>
      <c r="G89" s="3">
        <v>147.80000000000001</v>
      </c>
      <c r="H89" s="3">
        <v>119.7</v>
      </c>
      <c r="I89" s="3">
        <v>134.19999999999999</v>
      </c>
      <c r="J89" s="3">
        <v>111</v>
      </c>
      <c r="K89" s="3">
        <v>124.3</v>
      </c>
      <c r="L89" s="3">
        <v>123.4</v>
      </c>
      <c r="M89" s="3">
        <v>130.30000000000001</v>
      </c>
      <c r="N89" s="3">
        <v>118.1</v>
      </c>
      <c r="O89" s="3">
        <v>135.19999999999999</v>
      </c>
      <c r="P89" s="3">
        <v>129.5</v>
      </c>
      <c r="Q89" s="3">
        <v>144.30000000000001</v>
      </c>
      <c r="R89" s="3">
        <v>128.6</v>
      </c>
      <c r="S89" s="3">
        <v>145.69999999999999</v>
      </c>
      <c r="T89" s="3">
        <v>141</v>
      </c>
      <c r="U89" s="3">
        <v>147.4</v>
      </c>
      <c r="V89" s="3">
        <v>99.6</v>
      </c>
      <c r="W89" s="3">
        <v>156.5</v>
      </c>
      <c r="X89" s="3">
        <v>144.4</v>
      </c>
      <c r="Y89" s="3">
        <v>133.19999999999999</v>
      </c>
      <c r="Z89" s="3">
        <v>126.7</v>
      </c>
      <c r="AA89" s="3">
        <v>124.6</v>
      </c>
      <c r="AB89" s="3">
        <v>132</v>
      </c>
      <c r="AC89" s="3">
        <v>113.7</v>
      </c>
      <c r="AD89" s="3">
        <v>106.1</v>
      </c>
      <c r="AE89" s="3">
        <v>131.19999999999999</v>
      </c>
      <c r="AF89" s="3">
        <v>114.6</v>
      </c>
      <c r="AG89" s="3">
        <v>110.8</v>
      </c>
      <c r="AH89" s="3">
        <v>127</v>
      </c>
      <c r="AI89" s="3">
        <v>136.80000000000001</v>
      </c>
      <c r="AJ89" s="3">
        <v>159.4</v>
      </c>
      <c r="AK89" s="3">
        <v>168</v>
      </c>
      <c r="AL89" s="3">
        <v>159.9</v>
      </c>
      <c r="AM89" s="3">
        <v>163.5</v>
      </c>
      <c r="AN89" s="3">
        <v>166.7</v>
      </c>
      <c r="AO89" s="3">
        <v>142</v>
      </c>
      <c r="AP89" s="3">
        <v>149.6</v>
      </c>
      <c r="AQ89" s="3">
        <v>159.30000000000001</v>
      </c>
      <c r="AR89" s="3">
        <v>143</v>
      </c>
      <c r="AS89" s="3">
        <v>168.9</v>
      </c>
      <c r="AT89" s="3">
        <v>159.30000000000001</v>
      </c>
      <c r="AU89" s="3">
        <v>191.2</v>
      </c>
      <c r="AV89" s="3">
        <v>149.5</v>
      </c>
      <c r="AX89" s="3">
        <v>127.8</v>
      </c>
      <c r="AY89" s="3">
        <v>222.6</v>
      </c>
      <c r="AZ89" s="3">
        <v>150.9</v>
      </c>
      <c r="BA89" s="3">
        <v>143.4</v>
      </c>
      <c r="BB89" s="3">
        <v>195.2</v>
      </c>
      <c r="BC89" s="3">
        <v>128.4</v>
      </c>
      <c r="BD89" s="3">
        <v>148.4</v>
      </c>
      <c r="BE89" s="3">
        <v>122.4</v>
      </c>
      <c r="BF89" s="3">
        <v>116</v>
      </c>
      <c r="BG89" s="3">
        <v>128</v>
      </c>
      <c r="BH89" s="3">
        <v>123.5</v>
      </c>
      <c r="BI89" s="3">
        <v>110</v>
      </c>
      <c r="BJ89" s="3">
        <v>134</v>
      </c>
      <c r="BK89" s="3">
        <v>146.4</v>
      </c>
      <c r="BL89" s="3">
        <v>126.6</v>
      </c>
      <c r="BM89" s="3">
        <v>145.5</v>
      </c>
      <c r="BN89" s="3">
        <v>114.7</v>
      </c>
      <c r="BO89" s="3">
        <v>161.4</v>
      </c>
      <c r="BP89" s="3">
        <v>158.4</v>
      </c>
      <c r="BQ89" s="3">
        <v>121.2</v>
      </c>
      <c r="BR89" s="3">
        <v>109</v>
      </c>
      <c r="BS89" s="3">
        <v>118.3</v>
      </c>
      <c r="BT89" s="3">
        <v>140.9</v>
      </c>
      <c r="BU89" s="3">
        <v>127.7</v>
      </c>
      <c r="BV89" s="3">
        <v>116.9</v>
      </c>
      <c r="BW89" s="3">
        <v>156.6</v>
      </c>
      <c r="BX89" s="3">
        <v>185.9</v>
      </c>
      <c r="BY89" s="3">
        <v>132.9</v>
      </c>
      <c r="BZ89" s="3">
        <v>165.7</v>
      </c>
      <c r="CA89" s="3">
        <v>147.4</v>
      </c>
      <c r="CB89" s="3">
        <v>197.8</v>
      </c>
      <c r="CC89" s="3">
        <v>168.5</v>
      </c>
      <c r="CD89" s="3">
        <v>162.9</v>
      </c>
      <c r="CE89" s="3">
        <v>140.19999999999999</v>
      </c>
      <c r="CF89" s="3">
        <v>78</v>
      </c>
      <c r="CG89" s="3">
        <v>115.3</v>
      </c>
      <c r="CH89" s="3">
        <v>122.4</v>
      </c>
      <c r="CI89" s="3">
        <v>160.69999999999999</v>
      </c>
      <c r="CJ89" s="3">
        <v>142.6</v>
      </c>
      <c r="CK89" s="3">
        <v>119.1</v>
      </c>
      <c r="CL89" s="3">
        <v>192</v>
      </c>
      <c r="CM89" s="3">
        <v>103</v>
      </c>
      <c r="CN89" s="3">
        <v>100.4</v>
      </c>
    </row>
    <row r="90" spans="1:92" x14ac:dyDescent="0.25">
      <c r="A90" s="4">
        <v>34455</v>
      </c>
      <c r="B90" s="3">
        <v>135.4</v>
      </c>
      <c r="C90" s="3">
        <v>137.80000000000001</v>
      </c>
      <c r="D90" s="3">
        <v>144</v>
      </c>
      <c r="E90" s="3">
        <v>134.30000000000001</v>
      </c>
      <c r="F90" s="3">
        <v>141</v>
      </c>
      <c r="G90" s="3">
        <v>159.1</v>
      </c>
      <c r="H90" s="3">
        <v>120.2</v>
      </c>
      <c r="I90" s="3">
        <v>134.19999999999999</v>
      </c>
      <c r="J90" s="3">
        <v>109</v>
      </c>
      <c r="K90" s="3">
        <v>124.1</v>
      </c>
      <c r="L90" s="3">
        <v>122.5</v>
      </c>
      <c r="M90" s="3">
        <v>128.4</v>
      </c>
      <c r="N90" s="3">
        <v>117.7</v>
      </c>
      <c r="O90" s="3">
        <v>135.4</v>
      </c>
      <c r="P90" s="3">
        <v>131.19999999999999</v>
      </c>
      <c r="Q90" s="3">
        <v>144.80000000000001</v>
      </c>
      <c r="R90" s="3">
        <v>127.9</v>
      </c>
      <c r="S90" s="3">
        <v>145.30000000000001</v>
      </c>
      <c r="T90" s="3">
        <v>139.69999999999999</v>
      </c>
      <c r="U90" s="3">
        <v>146.80000000000001</v>
      </c>
      <c r="V90" s="3">
        <v>100.5</v>
      </c>
      <c r="W90" s="3">
        <v>157.69999999999999</v>
      </c>
      <c r="X90" s="3">
        <v>144.19999999999999</v>
      </c>
      <c r="Y90" s="3">
        <v>133.80000000000001</v>
      </c>
      <c r="Z90" s="3">
        <v>137.80000000000001</v>
      </c>
      <c r="AA90" s="3">
        <v>145.4</v>
      </c>
      <c r="AB90" s="3">
        <v>136</v>
      </c>
      <c r="AC90" s="3">
        <v>119.3</v>
      </c>
      <c r="AD90" s="3">
        <v>113.5</v>
      </c>
      <c r="AE90" s="3">
        <v>130.80000000000001</v>
      </c>
      <c r="AF90" s="3">
        <v>122.8</v>
      </c>
      <c r="AG90" s="3">
        <v>119.8</v>
      </c>
      <c r="AH90" s="3">
        <v>128.80000000000001</v>
      </c>
      <c r="AI90" s="3">
        <v>136.5</v>
      </c>
      <c r="AJ90" s="3">
        <v>159.80000000000001</v>
      </c>
      <c r="AK90" s="3">
        <v>168.6</v>
      </c>
      <c r="AL90" s="3">
        <v>160.5</v>
      </c>
      <c r="AM90" s="3">
        <v>163.69999999999999</v>
      </c>
      <c r="AN90" s="3">
        <v>166.9</v>
      </c>
      <c r="AO90" s="3">
        <v>142</v>
      </c>
      <c r="AP90" s="3">
        <v>149.69999999999999</v>
      </c>
      <c r="AQ90" s="3">
        <v>159.5</v>
      </c>
      <c r="AR90" s="3">
        <v>143</v>
      </c>
      <c r="AS90" s="3">
        <v>169.6</v>
      </c>
      <c r="AT90" s="3">
        <v>160.4</v>
      </c>
      <c r="AU90" s="3">
        <v>191.3</v>
      </c>
      <c r="AV90" s="3">
        <v>150</v>
      </c>
      <c r="AX90" s="3">
        <v>127.8</v>
      </c>
      <c r="AY90" s="3">
        <v>222.6</v>
      </c>
      <c r="AZ90" s="3">
        <v>151.19999999999999</v>
      </c>
      <c r="BA90" s="3">
        <v>143.5</v>
      </c>
      <c r="BB90" s="3">
        <v>195.4</v>
      </c>
      <c r="BC90" s="3">
        <v>123.9</v>
      </c>
      <c r="BD90" s="3">
        <v>147.69999999999999</v>
      </c>
      <c r="BE90" s="3">
        <v>122.4</v>
      </c>
      <c r="BF90" s="3">
        <v>116</v>
      </c>
      <c r="BG90" s="3">
        <v>127.8</v>
      </c>
      <c r="BH90" s="3">
        <v>125.4</v>
      </c>
      <c r="BI90" s="3">
        <v>110.3</v>
      </c>
      <c r="BJ90" s="3">
        <v>133.9</v>
      </c>
      <c r="BK90" s="3">
        <v>146.5</v>
      </c>
      <c r="BL90" s="3">
        <v>127.8</v>
      </c>
      <c r="BM90" s="3">
        <v>145.5</v>
      </c>
      <c r="BN90" s="3">
        <v>114.7</v>
      </c>
      <c r="BO90" s="3">
        <v>161.9</v>
      </c>
      <c r="BP90" s="3">
        <v>158.4</v>
      </c>
      <c r="BQ90" s="3">
        <v>121.3</v>
      </c>
      <c r="BR90" s="3">
        <v>108.7</v>
      </c>
      <c r="BS90" s="3">
        <v>119.6</v>
      </c>
      <c r="BT90" s="3">
        <v>141.19999999999999</v>
      </c>
      <c r="BU90" s="3">
        <v>127.4</v>
      </c>
      <c r="BV90" s="3">
        <v>125.1</v>
      </c>
      <c r="BW90" s="3">
        <v>156.9</v>
      </c>
      <c r="BX90" s="3">
        <v>186.5</v>
      </c>
      <c r="BY90" s="3">
        <v>133.5</v>
      </c>
      <c r="BZ90" s="3">
        <v>166</v>
      </c>
      <c r="CA90" s="3">
        <v>148.30000000000001</v>
      </c>
      <c r="CB90" s="3">
        <v>197.8</v>
      </c>
      <c r="CC90" s="3">
        <v>168.5</v>
      </c>
      <c r="CD90" s="3">
        <v>164.6</v>
      </c>
      <c r="CE90" s="3">
        <v>140.4</v>
      </c>
      <c r="CF90" s="3">
        <v>77.8</v>
      </c>
      <c r="CG90" s="3">
        <v>115.2</v>
      </c>
      <c r="CH90" s="3">
        <v>122.4</v>
      </c>
      <c r="CI90" s="3">
        <v>161.5</v>
      </c>
      <c r="CJ90" s="3">
        <v>142.1</v>
      </c>
      <c r="CK90" s="3">
        <v>119.1</v>
      </c>
      <c r="CL90" s="3">
        <v>192.8</v>
      </c>
      <c r="CM90" s="3">
        <v>103.2</v>
      </c>
      <c r="CN90" s="3">
        <v>100.5</v>
      </c>
    </row>
    <row r="91" spans="1:92" x14ac:dyDescent="0.25">
      <c r="A91" s="4">
        <v>34486</v>
      </c>
      <c r="B91" s="3">
        <v>135.6</v>
      </c>
      <c r="C91" s="3">
        <v>137.30000000000001</v>
      </c>
      <c r="D91" s="3">
        <v>144</v>
      </c>
      <c r="E91" s="3">
        <v>135.4</v>
      </c>
      <c r="F91" s="3">
        <v>136</v>
      </c>
      <c r="G91" s="3">
        <v>151.1</v>
      </c>
      <c r="H91" s="3">
        <v>120.6</v>
      </c>
      <c r="I91" s="3">
        <v>133.4</v>
      </c>
      <c r="J91" s="3">
        <v>110</v>
      </c>
      <c r="K91" s="3">
        <v>124</v>
      </c>
      <c r="L91" s="3">
        <v>122.4</v>
      </c>
      <c r="M91" s="3">
        <v>128.5</v>
      </c>
      <c r="N91" s="3">
        <v>117.5</v>
      </c>
      <c r="O91" s="3">
        <v>135.69999999999999</v>
      </c>
      <c r="P91" s="3">
        <v>130.69999999999999</v>
      </c>
      <c r="Q91" s="3">
        <v>144.69999999999999</v>
      </c>
      <c r="R91" s="3">
        <v>128.6</v>
      </c>
      <c r="S91" s="3">
        <v>145</v>
      </c>
      <c r="T91" s="3">
        <v>138.9</v>
      </c>
      <c r="U91" s="3">
        <v>147.69999999999999</v>
      </c>
      <c r="V91" s="3">
        <v>100.6</v>
      </c>
      <c r="W91" s="3">
        <v>157.80000000000001</v>
      </c>
      <c r="X91" s="3">
        <v>144</v>
      </c>
      <c r="Y91" s="3">
        <v>134.30000000000001</v>
      </c>
      <c r="Z91" s="3">
        <v>128.5</v>
      </c>
      <c r="AA91" s="3">
        <v>121.9</v>
      </c>
      <c r="AB91" s="3">
        <v>137.5</v>
      </c>
      <c r="AC91" s="3">
        <v>118.3</v>
      </c>
      <c r="AD91" s="3">
        <v>112.6</v>
      </c>
      <c r="AE91" s="3">
        <v>129.5</v>
      </c>
      <c r="AF91" s="3">
        <v>129.5</v>
      </c>
      <c r="AG91" s="3">
        <v>127.4</v>
      </c>
      <c r="AH91" s="3">
        <v>128.19999999999999</v>
      </c>
      <c r="AI91" s="3">
        <v>135.6</v>
      </c>
      <c r="AJ91" s="3">
        <v>160.19999999999999</v>
      </c>
      <c r="AK91" s="3">
        <v>168.7</v>
      </c>
      <c r="AL91" s="3">
        <v>160.9</v>
      </c>
      <c r="AM91" s="3">
        <v>164.8</v>
      </c>
      <c r="AN91" s="3">
        <v>168.6</v>
      </c>
      <c r="AO91" s="3">
        <v>140.30000000000001</v>
      </c>
      <c r="AP91" s="3">
        <v>149.9</v>
      </c>
      <c r="AQ91" s="3">
        <v>160.19999999999999</v>
      </c>
      <c r="AR91" s="3">
        <v>143</v>
      </c>
      <c r="AS91" s="3">
        <v>169.7</v>
      </c>
      <c r="AT91" s="3">
        <v>160.5</v>
      </c>
      <c r="AU91" s="3">
        <v>191.3</v>
      </c>
      <c r="AV91" s="3">
        <v>150.5</v>
      </c>
      <c r="AX91" s="3">
        <v>127.8</v>
      </c>
      <c r="AY91" s="3">
        <v>222.6</v>
      </c>
      <c r="AZ91" s="3">
        <v>151.4</v>
      </c>
      <c r="BA91" s="3">
        <v>143.80000000000001</v>
      </c>
      <c r="BB91" s="3">
        <v>197</v>
      </c>
      <c r="BC91" s="3">
        <v>123.4</v>
      </c>
      <c r="BD91" s="3">
        <v>147.6</v>
      </c>
      <c r="BE91" s="3">
        <v>122.4</v>
      </c>
      <c r="BF91" s="3">
        <v>114.4</v>
      </c>
      <c r="BG91" s="3">
        <v>127.8</v>
      </c>
      <c r="BH91" s="3">
        <v>125.2</v>
      </c>
      <c r="BI91" s="3">
        <v>109.3</v>
      </c>
      <c r="BJ91" s="3">
        <v>134.9</v>
      </c>
      <c r="BK91" s="3">
        <v>146.69999999999999</v>
      </c>
      <c r="BL91" s="3">
        <v>128.1</v>
      </c>
      <c r="BM91" s="3">
        <v>145.5</v>
      </c>
      <c r="BN91" s="3">
        <v>114.7</v>
      </c>
      <c r="BO91" s="3">
        <v>162.30000000000001</v>
      </c>
      <c r="BP91" s="3">
        <v>158.6</v>
      </c>
      <c r="BQ91" s="3">
        <v>121</v>
      </c>
      <c r="BR91" s="3">
        <v>108.3</v>
      </c>
      <c r="BS91" s="3">
        <v>119.2</v>
      </c>
      <c r="BT91" s="3">
        <v>141.1</v>
      </c>
      <c r="BU91" s="3">
        <v>127.7</v>
      </c>
      <c r="BV91" s="3">
        <v>118.4</v>
      </c>
      <c r="BW91" s="3">
        <v>157.1</v>
      </c>
      <c r="BX91" s="3">
        <v>186.9</v>
      </c>
      <c r="BY91" s="3">
        <v>132.9</v>
      </c>
      <c r="BZ91" s="3">
        <v>166.3</v>
      </c>
      <c r="CA91" s="3">
        <v>149.4</v>
      </c>
      <c r="CB91" s="3">
        <v>197.8</v>
      </c>
      <c r="CC91" s="3">
        <v>169.3</v>
      </c>
      <c r="CD91" s="3">
        <v>164.9</v>
      </c>
      <c r="CE91" s="3">
        <v>140.9</v>
      </c>
      <c r="CF91" s="3">
        <v>77.099999999999994</v>
      </c>
      <c r="CG91" s="3">
        <v>115.6</v>
      </c>
      <c r="CH91" s="3">
        <v>121.8</v>
      </c>
      <c r="CI91" s="3">
        <v>161.6</v>
      </c>
      <c r="CJ91" s="3">
        <v>142.1</v>
      </c>
      <c r="CK91" s="3">
        <v>119.1</v>
      </c>
      <c r="CL91" s="3">
        <v>193.1</v>
      </c>
      <c r="CM91" s="3">
        <v>103.5</v>
      </c>
      <c r="CN91" s="3">
        <v>100.7</v>
      </c>
    </row>
    <row r="92" spans="1:92" x14ac:dyDescent="0.25">
      <c r="A92" s="4">
        <v>34516</v>
      </c>
      <c r="B92" s="3">
        <v>135.69999999999999</v>
      </c>
      <c r="C92" s="3">
        <v>137.4</v>
      </c>
      <c r="D92" s="3">
        <v>145.1</v>
      </c>
      <c r="E92" s="3">
        <v>131.9</v>
      </c>
      <c r="F92" s="3">
        <v>126.5</v>
      </c>
      <c r="G92" s="3">
        <v>130.5</v>
      </c>
      <c r="H92" s="3">
        <v>117.5</v>
      </c>
      <c r="I92" s="3">
        <v>135.1</v>
      </c>
      <c r="J92" s="3">
        <v>110</v>
      </c>
      <c r="K92" s="3">
        <v>124.2</v>
      </c>
      <c r="L92" s="3">
        <v>122.7</v>
      </c>
      <c r="M92" s="3">
        <v>129.30000000000001</v>
      </c>
      <c r="N92" s="3">
        <v>117.7</v>
      </c>
      <c r="O92" s="3">
        <v>135.30000000000001</v>
      </c>
      <c r="P92" s="3">
        <v>130.69999999999999</v>
      </c>
      <c r="Q92" s="3">
        <v>143.69999999999999</v>
      </c>
      <c r="R92" s="3">
        <v>129.5</v>
      </c>
      <c r="S92" s="3">
        <v>144.80000000000001</v>
      </c>
      <c r="T92" s="3">
        <v>138.19999999999999</v>
      </c>
      <c r="U92" s="3">
        <v>148.19999999999999</v>
      </c>
      <c r="V92" s="3">
        <v>100.6</v>
      </c>
      <c r="W92" s="3">
        <v>155.6</v>
      </c>
      <c r="X92" s="3">
        <v>143.69999999999999</v>
      </c>
      <c r="Y92" s="3">
        <v>134.5</v>
      </c>
      <c r="Z92" s="3">
        <v>132.6</v>
      </c>
      <c r="AA92" s="3">
        <v>131.69999999999999</v>
      </c>
      <c r="AB92" s="3">
        <v>137.19999999999999</v>
      </c>
      <c r="AC92" s="3">
        <v>114</v>
      </c>
      <c r="AD92" s="3">
        <v>107</v>
      </c>
      <c r="AE92" s="3">
        <v>129.9</v>
      </c>
      <c r="AF92" s="3">
        <v>126.4</v>
      </c>
      <c r="AG92" s="3">
        <v>123.9</v>
      </c>
      <c r="AH92" s="3">
        <v>128.69999999999999</v>
      </c>
      <c r="AI92" s="3">
        <v>134.9</v>
      </c>
      <c r="AJ92" s="3">
        <v>160.69999999999999</v>
      </c>
      <c r="AK92" s="3">
        <v>169</v>
      </c>
      <c r="AL92" s="3">
        <v>161.4</v>
      </c>
      <c r="AM92" s="3">
        <v>165.6</v>
      </c>
      <c r="AN92" s="3">
        <v>169.7</v>
      </c>
      <c r="AO92" s="3">
        <v>139.4</v>
      </c>
      <c r="AP92" s="3">
        <v>150.30000000000001</v>
      </c>
      <c r="AQ92" s="3">
        <v>160.69999999999999</v>
      </c>
      <c r="AR92" s="3">
        <v>143.30000000000001</v>
      </c>
      <c r="AS92" s="3">
        <v>169.7</v>
      </c>
      <c r="AT92" s="3">
        <v>160.5</v>
      </c>
      <c r="AU92" s="3">
        <v>191.5</v>
      </c>
      <c r="AV92" s="3">
        <v>151</v>
      </c>
      <c r="AX92" s="3">
        <v>127.8</v>
      </c>
      <c r="AY92" s="3">
        <v>222.6</v>
      </c>
      <c r="AZ92" s="3">
        <v>151.6</v>
      </c>
      <c r="BA92" s="3">
        <v>143.80000000000001</v>
      </c>
      <c r="BB92" s="3">
        <v>196.3</v>
      </c>
      <c r="BC92" s="3">
        <v>123.2</v>
      </c>
      <c r="BD92" s="3">
        <v>148.30000000000001</v>
      </c>
      <c r="BE92" s="3">
        <v>122.4</v>
      </c>
      <c r="BF92" s="3">
        <v>113.8</v>
      </c>
      <c r="BG92" s="3">
        <v>124.5</v>
      </c>
      <c r="BH92" s="3">
        <v>122</v>
      </c>
      <c r="BI92" s="3">
        <v>107.3</v>
      </c>
      <c r="BJ92" s="3">
        <v>131.5</v>
      </c>
      <c r="BK92" s="3">
        <v>145.30000000000001</v>
      </c>
      <c r="BL92" s="3">
        <v>130.30000000000001</v>
      </c>
      <c r="BM92" s="3">
        <v>145.6</v>
      </c>
      <c r="BN92" s="3">
        <v>114.2</v>
      </c>
      <c r="BO92" s="3">
        <v>163.1</v>
      </c>
      <c r="BP92" s="3">
        <v>158.5</v>
      </c>
      <c r="BQ92" s="3">
        <v>115.7</v>
      </c>
      <c r="BR92" s="3">
        <v>101.7</v>
      </c>
      <c r="BS92" s="3">
        <v>115.4</v>
      </c>
      <c r="BT92" s="3">
        <v>138.6</v>
      </c>
      <c r="BU92" s="3">
        <v>123.4</v>
      </c>
      <c r="BV92" s="3">
        <v>117.3</v>
      </c>
      <c r="BW92" s="3">
        <v>156.9</v>
      </c>
      <c r="BX92" s="3">
        <v>189.2</v>
      </c>
      <c r="BY92" s="3">
        <v>132.5</v>
      </c>
      <c r="BZ92" s="3">
        <v>166.6</v>
      </c>
      <c r="CA92" s="3">
        <v>148.80000000000001</v>
      </c>
      <c r="CB92" s="3">
        <v>196.6</v>
      </c>
      <c r="CC92" s="3">
        <v>169.5</v>
      </c>
      <c r="CD92" s="3">
        <v>165.7</v>
      </c>
      <c r="CE92" s="3">
        <v>140.1</v>
      </c>
      <c r="CF92" s="3">
        <v>75.400000000000006</v>
      </c>
      <c r="CG92" s="3">
        <v>113.4</v>
      </c>
      <c r="CH92" s="3">
        <v>120.9</v>
      </c>
      <c r="CI92" s="3">
        <v>159.19999999999999</v>
      </c>
      <c r="CJ92" s="3">
        <v>141.19999999999999</v>
      </c>
      <c r="CK92" s="3">
        <v>118.3</v>
      </c>
      <c r="CL92" s="3">
        <v>193.8</v>
      </c>
      <c r="CM92" s="3">
        <v>103.5</v>
      </c>
      <c r="CN92" s="3">
        <v>100.8</v>
      </c>
    </row>
    <row r="93" spans="1:92" x14ac:dyDescent="0.25">
      <c r="A93" s="4">
        <v>34547</v>
      </c>
      <c r="B93" s="3">
        <v>135.9</v>
      </c>
      <c r="C93" s="3">
        <v>137.69999999999999</v>
      </c>
      <c r="D93" s="3">
        <v>144.80000000000001</v>
      </c>
      <c r="E93" s="3">
        <v>131.9</v>
      </c>
      <c r="F93" s="3">
        <v>123.8</v>
      </c>
      <c r="G93" s="3">
        <v>126.2</v>
      </c>
      <c r="H93" s="3">
        <v>118.8</v>
      </c>
      <c r="I93" s="3">
        <v>132.30000000000001</v>
      </c>
      <c r="J93" s="3">
        <v>109.2</v>
      </c>
      <c r="K93" s="3">
        <v>123</v>
      </c>
      <c r="L93" s="3">
        <v>122.3</v>
      </c>
      <c r="M93" s="3">
        <v>128.6</v>
      </c>
      <c r="N93" s="3">
        <v>117.4</v>
      </c>
      <c r="O93" s="3">
        <v>134.69999999999999</v>
      </c>
      <c r="P93" s="3">
        <v>131.4</v>
      </c>
      <c r="Q93" s="3">
        <v>142.80000000000001</v>
      </c>
      <c r="R93" s="3">
        <v>126.9</v>
      </c>
      <c r="S93" s="3">
        <v>144.80000000000001</v>
      </c>
      <c r="T93" s="3">
        <v>138.5</v>
      </c>
      <c r="U93" s="3">
        <v>147.4</v>
      </c>
      <c r="V93" s="3">
        <v>113</v>
      </c>
      <c r="W93" s="3">
        <v>155.80000000000001</v>
      </c>
      <c r="X93" s="3">
        <v>143.5</v>
      </c>
      <c r="Y93" s="3">
        <v>134.69999999999999</v>
      </c>
      <c r="Z93" s="3">
        <v>161.4</v>
      </c>
      <c r="AA93" s="3">
        <v>197.8</v>
      </c>
      <c r="AB93" s="3">
        <v>138.1</v>
      </c>
      <c r="AC93" s="3">
        <v>107.5</v>
      </c>
      <c r="AD93" s="3">
        <v>98</v>
      </c>
      <c r="AE93" s="3">
        <v>131</v>
      </c>
      <c r="AF93" s="3">
        <v>123.1</v>
      </c>
      <c r="AG93" s="3">
        <v>120.3</v>
      </c>
      <c r="AH93" s="3">
        <v>127.6</v>
      </c>
      <c r="AI93" s="3">
        <v>135.9</v>
      </c>
      <c r="AJ93" s="3">
        <v>161.19999999999999</v>
      </c>
      <c r="AK93" s="3">
        <v>169.5</v>
      </c>
      <c r="AL93" s="3">
        <v>162.30000000000001</v>
      </c>
      <c r="AM93" s="3">
        <v>166.2</v>
      </c>
      <c r="AN93" s="3">
        <v>170.3</v>
      </c>
      <c r="AO93" s="3">
        <v>139.69999999999999</v>
      </c>
      <c r="AP93" s="3">
        <v>150</v>
      </c>
      <c r="AQ93" s="3">
        <v>161.4</v>
      </c>
      <c r="AR93" s="3">
        <v>142.69999999999999</v>
      </c>
      <c r="AS93" s="3">
        <v>169.7</v>
      </c>
      <c r="AT93" s="3">
        <v>160.6</v>
      </c>
      <c r="AU93" s="3">
        <v>191.7</v>
      </c>
      <c r="AV93" s="3">
        <v>151.6</v>
      </c>
      <c r="AX93" s="3">
        <v>127.8</v>
      </c>
      <c r="AY93" s="3">
        <v>222.6</v>
      </c>
      <c r="AZ93" s="3">
        <v>151.9</v>
      </c>
      <c r="BA93" s="3">
        <v>143.80000000000001</v>
      </c>
      <c r="BB93" s="3">
        <v>196.6</v>
      </c>
      <c r="BC93" s="3">
        <v>123</v>
      </c>
      <c r="BD93" s="3">
        <v>148.9</v>
      </c>
      <c r="BE93" s="3">
        <v>122.4</v>
      </c>
      <c r="BF93" s="3">
        <v>113.9</v>
      </c>
      <c r="BG93" s="3">
        <v>128.1</v>
      </c>
      <c r="BH93" s="3">
        <v>124.8</v>
      </c>
      <c r="BI93" s="3">
        <v>107.3</v>
      </c>
      <c r="BJ93" s="3">
        <v>134</v>
      </c>
      <c r="BK93" s="3">
        <v>145.9</v>
      </c>
      <c r="BL93" s="3">
        <v>131.4</v>
      </c>
      <c r="BM93" s="3">
        <v>145.6</v>
      </c>
      <c r="BN93" s="3">
        <v>114.2</v>
      </c>
      <c r="BO93" s="3">
        <v>163.4</v>
      </c>
      <c r="BP93" s="3">
        <v>158.30000000000001</v>
      </c>
      <c r="BQ93" s="3">
        <v>118.2</v>
      </c>
      <c r="BR93" s="3">
        <v>104.3</v>
      </c>
      <c r="BS93" s="3">
        <v>119</v>
      </c>
      <c r="BT93" s="3">
        <v>140.30000000000001</v>
      </c>
      <c r="BU93" s="3">
        <v>125.5</v>
      </c>
      <c r="BV93" s="3">
        <v>123</v>
      </c>
      <c r="BW93" s="3">
        <v>158.19999999999999</v>
      </c>
      <c r="BX93" s="3">
        <v>189.6</v>
      </c>
      <c r="BY93" s="3">
        <v>131.6</v>
      </c>
      <c r="BZ93" s="3">
        <v>167.3</v>
      </c>
      <c r="CA93" s="3">
        <v>152.69999999999999</v>
      </c>
      <c r="CB93" s="3">
        <v>196.6</v>
      </c>
      <c r="CC93" s="3">
        <v>169.5</v>
      </c>
      <c r="CD93" s="3">
        <v>166</v>
      </c>
      <c r="CE93" s="3">
        <v>141.19999999999999</v>
      </c>
      <c r="CF93" s="3">
        <v>75.5</v>
      </c>
      <c r="CG93" s="3">
        <v>115.1</v>
      </c>
      <c r="CH93" s="3">
        <v>121.3</v>
      </c>
      <c r="CI93" s="3">
        <v>158.80000000000001</v>
      </c>
      <c r="CJ93" s="3">
        <v>141.1</v>
      </c>
      <c r="CK93" s="3">
        <v>118.3</v>
      </c>
      <c r="CL93" s="3">
        <v>194.3</v>
      </c>
      <c r="CM93" s="3">
        <v>103.5</v>
      </c>
      <c r="CN93" s="3">
        <v>101.3</v>
      </c>
    </row>
    <row r="94" spans="1:92" x14ac:dyDescent="0.25">
      <c r="A94" s="4">
        <v>34578</v>
      </c>
      <c r="B94" s="3">
        <v>136.19999999999999</v>
      </c>
      <c r="C94" s="3">
        <v>137.6</v>
      </c>
      <c r="D94" s="3">
        <v>144</v>
      </c>
      <c r="E94" s="3">
        <v>129.69999999999999</v>
      </c>
      <c r="F94" s="3">
        <v>122.5</v>
      </c>
      <c r="G94" s="3">
        <v>121.7</v>
      </c>
      <c r="H94" s="3">
        <v>120.4</v>
      </c>
      <c r="I94" s="3">
        <v>134.80000000000001</v>
      </c>
      <c r="J94" s="3">
        <v>106.5</v>
      </c>
      <c r="K94" s="3">
        <v>122.3</v>
      </c>
      <c r="L94" s="3">
        <v>121.7</v>
      </c>
      <c r="M94" s="3">
        <v>129.9</v>
      </c>
      <c r="N94" s="3">
        <v>115.6</v>
      </c>
      <c r="O94" s="3">
        <v>134.80000000000001</v>
      </c>
      <c r="P94" s="3">
        <v>130.30000000000001</v>
      </c>
      <c r="Q94" s="3">
        <v>143.6</v>
      </c>
      <c r="R94" s="3">
        <v>128.6</v>
      </c>
      <c r="S94" s="3">
        <v>145.1</v>
      </c>
      <c r="T94" s="3">
        <v>137.1</v>
      </c>
      <c r="U94" s="3">
        <v>147.5</v>
      </c>
      <c r="V94" s="3">
        <v>116</v>
      </c>
      <c r="W94" s="3">
        <v>155.30000000000001</v>
      </c>
      <c r="X94" s="3">
        <v>141.1</v>
      </c>
      <c r="Y94" s="3">
        <v>134.5</v>
      </c>
      <c r="Z94" s="3">
        <v>150</v>
      </c>
      <c r="AA94" s="3">
        <v>171.8</v>
      </c>
      <c r="AB94" s="3">
        <v>137.69999999999999</v>
      </c>
      <c r="AC94" s="3">
        <v>107.3</v>
      </c>
      <c r="AD94" s="3">
        <v>98.3</v>
      </c>
      <c r="AE94" s="3">
        <v>129.5</v>
      </c>
      <c r="AF94" s="3">
        <v>116.8</v>
      </c>
      <c r="AG94" s="3">
        <v>113.6</v>
      </c>
      <c r="AH94" s="3">
        <v>125.6</v>
      </c>
      <c r="AI94" s="3">
        <v>135.30000000000001</v>
      </c>
      <c r="AJ94" s="3">
        <v>161.5</v>
      </c>
      <c r="AK94" s="3">
        <v>171.3</v>
      </c>
      <c r="AL94" s="3">
        <v>162.9</v>
      </c>
      <c r="AM94" s="3">
        <v>166.4</v>
      </c>
      <c r="AN94" s="3">
        <v>170.5</v>
      </c>
      <c r="AO94" s="3">
        <v>140.1</v>
      </c>
      <c r="AP94" s="3">
        <v>150.5</v>
      </c>
      <c r="AQ94" s="3">
        <v>161.69999999999999</v>
      </c>
      <c r="AR94" s="3">
        <v>143.19999999999999</v>
      </c>
      <c r="AS94" s="3">
        <v>169.7</v>
      </c>
      <c r="AT94" s="3">
        <v>160.6</v>
      </c>
      <c r="AU94" s="3">
        <v>191.7</v>
      </c>
      <c r="AV94" s="3">
        <v>152.1</v>
      </c>
      <c r="AX94" s="3">
        <v>127.8</v>
      </c>
      <c r="AY94" s="3">
        <v>222.6</v>
      </c>
      <c r="AZ94" s="3">
        <v>152</v>
      </c>
      <c r="BA94" s="3">
        <v>144</v>
      </c>
      <c r="BB94" s="3">
        <v>197.9</v>
      </c>
      <c r="BC94" s="3">
        <v>126.2</v>
      </c>
      <c r="BD94" s="3">
        <v>148.6</v>
      </c>
      <c r="BE94" s="3">
        <v>122.4</v>
      </c>
      <c r="BF94" s="3">
        <v>113.2</v>
      </c>
      <c r="BG94" s="3">
        <v>129.30000000000001</v>
      </c>
      <c r="BH94" s="3">
        <v>126.6</v>
      </c>
      <c r="BI94" s="3">
        <v>107.6</v>
      </c>
      <c r="BJ94" s="3">
        <v>134.80000000000001</v>
      </c>
      <c r="BK94" s="3">
        <v>145.69999999999999</v>
      </c>
      <c r="BL94" s="3">
        <v>131.6</v>
      </c>
      <c r="BM94" s="3">
        <v>145.6</v>
      </c>
      <c r="BN94" s="3">
        <v>113.5</v>
      </c>
      <c r="BO94" s="3">
        <v>163.69999999999999</v>
      </c>
      <c r="BP94" s="3">
        <v>159.30000000000001</v>
      </c>
      <c r="BQ94" s="3">
        <v>121.9</v>
      </c>
      <c r="BR94" s="3">
        <v>110.2</v>
      </c>
      <c r="BS94" s="3">
        <v>121</v>
      </c>
      <c r="BT94" s="3">
        <v>141.80000000000001</v>
      </c>
      <c r="BU94" s="3">
        <v>126.7</v>
      </c>
      <c r="BV94" s="3">
        <v>123.2</v>
      </c>
      <c r="BW94" s="3">
        <v>158.19999999999999</v>
      </c>
      <c r="BX94" s="3">
        <v>190.1</v>
      </c>
      <c r="BY94" s="3">
        <v>131.6</v>
      </c>
      <c r="BZ94" s="3">
        <v>167</v>
      </c>
      <c r="CA94" s="3">
        <v>151.80000000000001</v>
      </c>
      <c r="CB94" s="3">
        <v>196.6</v>
      </c>
      <c r="CC94" s="3">
        <v>169.5</v>
      </c>
      <c r="CD94" s="3">
        <v>166</v>
      </c>
      <c r="CE94" s="3">
        <v>140.6</v>
      </c>
      <c r="CF94" s="3">
        <v>75.5</v>
      </c>
      <c r="CG94" s="3">
        <v>115.6</v>
      </c>
      <c r="CH94" s="3">
        <v>121.2</v>
      </c>
      <c r="CI94" s="3">
        <v>159.9</v>
      </c>
      <c r="CJ94" s="3">
        <v>140.4</v>
      </c>
      <c r="CK94" s="3">
        <v>118.5</v>
      </c>
      <c r="CL94" s="3">
        <v>197.3</v>
      </c>
      <c r="CM94" s="3">
        <v>103.8</v>
      </c>
      <c r="CN94" s="3">
        <v>101.4</v>
      </c>
    </row>
    <row r="95" spans="1:92" x14ac:dyDescent="0.25">
      <c r="A95" s="4">
        <v>34608</v>
      </c>
      <c r="B95" s="3">
        <v>134.19999999999999</v>
      </c>
      <c r="C95" s="3">
        <v>137</v>
      </c>
      <c r="D95" s="3">
        <v>143.5</v>
      </c>
      <c r="E95" s="3">
        <v>127.8</v>
      </c>
      <c r="F95" s="3">
        <v>121.6</v>
      </c>
      <c r="G95" s="3">
        <v>120.5</v>
      </c>
      <c r="H95" s="3">
        <v>118.3</v>
      </c>
      <c r="I95" s="3">
        <v>135</v>
      </c>
      <c r="J95" s="3">
        <v>106.1</v>
      </c>
      <c r="K95" s="3">
        <v>123.8</v>
      </c>
      <c r="L95" s="3">
        <v>122.8</v>
      </c>
      <c r="M95" s="3">
        <v>129.19999999999999</v>
      </c>
      <c r="N95" s="3">
        <v>117.7</v>
      </c>
      <c r="O95" s="3">
        <v>133.6</v>
      </c>
      <c r="P95" s="3">
        <v>128.5</v>
      </c>
      <c r="Q95" s="3">
        <v>143.69999999999999</v>
      </c>
      <c r="R95" s="3">
        <v>131.4</v>
      </c>
      <c r="S95" s="3">
        <v>145</v>
      </c>
      <c r="T95" s="3">
        <v>139.30000000000001</v>
      </c>
      <c r="U95" s="3">
        <v>146.19999999999999</v>
      </c>
      <c r="V95" s="3">
        <v>116.4</v>
      </c>
      <c r="W95" s="3">
        <v>154.6</v>
      </c>
      <c r="X95" s="3">
        <v>136.4</v>
      </c>
      <c r="Y95" s="3">
        <v>133.9</v>
      </c>
      <c r="Z95" s="3">
        <v>149.19999999999999</v>
      </c>
      <c r="AA95" s="3">
        <v>169.4</v>
      </c>
      <c r="AB95" s="3">
        <v>138.1</v>
      </c>
      <c r="AC95" s="3">
        <v>108</v>
      </c>
      <c r="AD95" s="3">
        <v>99</v>
      </c>
      <c r="AE95" s="3">
        <v>130.19999999999999</v>
      </c>
      <c r="AF95" s="3">
        <v>118.7</v>
      </c>
      <c r="AG95" s="3">
        <v>116</v>
      </c>
      <c r="AH95" s="3">
        <v>123</v>
      </c>
      <c r="AI95" s="3">
        <v>134.6</v>
      </c>
      <c r="AJ95" s="3">
        <v>162.30000000000001</v>
      </c>
      <c r="AK95" s="3">
        <v>172.2</v>
      </c>
      <c r="AL95" s="3">
        <v>163.6</v>
      </c>
      <c r="AM95" s="3">
        <v>166.7</v>
      </c>
      <c r="AN95" s="3">
        <v>170.9</v>
      </c>
      <c r="AO95" s="3">
        <v>140</v>
      </c>
      <c r="AP95" s="3">
        <v>150.4</v>
      </c>
      <c r="AQ95" s="3">
        <v>162.1</v>
      </c>
      <c r="AR95" s="3">
        <v>142.80000000000001</v>
      </c>
      <c r="AS95" s="3">
        <v>169.6</v>
      </c>
      <c r="AT95" s="3">
        <v>160.69999999999999</v>
      </c>
      <c r="AU95" s="3">
        <v>191.9</v>
      </c>
      <c r="AV95" s="3">
        <v>160.19999999999999</v>
      </c>
      <c r="AX95" s="3">
        <v>127.8</v>
      </c>
      <c r="AY95" s="3">
        <v>222.6</v>
      </c>
      <c r="AZ95" s="3">
        <v>152.69999999999999</v>
      </c>
      <c r="BA95" s="3">
        <v>144</v>
      </c>
      <c r="BB95" s="3">
        <v>198.6</v>
      </c>
      <c r="BC95" s="3">
        <v>127.8</v>
      </c>
      <c r="BD95" s="3">
        <v>148</v>
      </c>
      <c r="BE95" s="3">
        <v>122.4</v>
      </c>
      <c r="BF95" s="3">
        <v>113.3</v>
      </c>
      <c r="BG95" s="3">
        <v>130</v>
      </c>
      <c r="BH95" s="3">
        <v>125.2</v>
      </c>
      <c r="BI95" s="3">
        <v>106.6</v>
      </c>
      <c r="BJ95" s="3">
        <v>134.5</v>
      </c>
      <c r="BK95" s="3">
        <v>146.4</v>
      </c>
      <c r="BL95" s="3">
        <v>132.6</v>
      </c>
      <c r="BM95" s="3">
        <v>146.19999999999999</v>
      </c>
      <c r="BN95" s="3">
        <v>110.6</v>
      </c>
      <c r="BO95" s="3">
        <v>164.5</v>
      </c>
      <c r="BP95" s="3">
        <v>158</v>
      </c>
      <c r="BQ95" s="3">
        <v>121.4</v>
      </c>
      <c r="BR95" s="3">
        <v>110.2</v>
      </c>
      <c r="BS95" s="3">
        <v>120.9</v>
      </c>
      <c r="BT95" s="3">
        <v>141.80000000000001</v>
      </c>
      <c r="BU95" s="3">
        <v>126.6</v>
      </c>
      <c r="BV95" s="3">
        <v>118</v>
      </c>
      <c r="BW95" s="3">
        <v>159.19999999999999</v>
      </c>
      <c r="BX95" s="3">
        <v>191.9</v>
      </c>
      <c r="BY95" s="3">
        <v>130.6</v>
      </c>
      <c r="BZ95" s="3">
        <v>168.1</v>
      </c>
      <c r="CA95" s="3">
        <v>149.6</v>
      </c>
      <c r="CB95" s="3">
        <v>198.2</v>
      </c>
      <c r="CC95" s="3">
        <v>169.7</v>
      </c>
      <c r="CD95" s="3">
        <v>166.2</v>
      </c>
      <c r="CE95" s="3">
        <v>140.4</v>
      </c>
      <c r="CF95" s="3">
        <v>75.400000000000006</v>
      </c>
      <c r="CG95" s="3">
        <v>115.1</v>
      </c>
      <c r="CH95" s="3">
        <v>121.5</v>
      </c>
      <c r="CI95" s="3">
        <v>160.1</v>
      </c>
      <c r="CJ95" s="3">
        <v>139.6</v>
      </c>
      <c r="CK95" s="3">
        <v>119.6</v>
      </c>
      <c r="CL95" s="3">
        <v>197.4</v>
      </c>
      <c r="CM95" s="3">
        <v>104.1</v>
      </c>
      <c r="CN95" s="3">
        <v>101.4</v>
      </c>
    </row>
    <row r="96" spans="1:92" x14ac:dyDescent="0.25">
      <c r="A96" s="4">
        <v>34639</v>
      </c>
      <c r="B96" s="3">
        <v>134.69999999999999</v>
      </c>
      <c r="C96" s="3">
        <v>137.1</v>
      </c>
      <c r="D96" s="3">
        <v>144.6</v>
      </c>
      <c r="E96" s="3">
        <v>130.1</v>
      </c>
      <c r="F96" s="3">
        <v>122</v>
      </c>
      <c r="G96" s="3">
        <v>122.9</v>
      </c>
      <c r="H96" s="3">
        <v>116</v>
      </c>
      <c r="I96" s="3">
        <v>135.30000000000001</v>
      </c>
      <c r="J96" s="3">
        <v>100.8</v>
      </c>
      <c r="K96" s="3">
        <v>124.1</v>
      </c>
      <c r="L96" s="3">
        <v>123.4</v>
      </c>
      <c r="M96" s="3">
        <v>129.5</v>
      </c>
      <c r="N96" s="3">
        <v>118.6</v>
      </c>
      <c r="O96" s="3">
        <v>135.5</v>
      </c>
      <c r="P96" s="3">
        <v>127.7</v>
      </c>
      <c r="Q96" s="3">
        <v>144.69999999999999</v>
      </c>
      <c r="R96" s="3">
        <v>130.69999999999999</v>
      </c>
      <c r="S96" s="3">
        <v>150.19999999999999</v>
      </c>
      <c r="T96" s="3">
        <v>145.4</v>
      </c>
      <c r="U96" s="3">
        <v>145.30000000000001</v>
      </c>
      <c r="V96" s="3">
        <v>117.1</v>
      </c>
      <c r="W96" s="3">
        <v>152.6</v>
      </c>
      <c r="X96" s="3">
        <v>136.30000000000001</v>
      </c>
      <c r="Y96" s="3">
        <v>133.5</v>
      </c>
      <c r="Z96" s="3">
        <v>151.4</v>
      </c>
      <c r="AA96" s="3">
        <v>169.9</v>
      </c>
      <c r="AB96" s="3">
        <v>141.6</v>
      </c>
      <c r="AC96" s="3">
        <v>110.6</v>
      </c>
      <c r="AD96" s="3">
        <v>102.2</v>
      </c>
      <c r="AE96" s="3">
        <v>130.80000000000001</v>
      </c>
      <c r="AF96" s="3">
        <v>115.5</v>
      </c>
      <c r="AG96" s="3">
        <v>112.5</v>
      </c>
      <c r="AH96" s="3">
        <v>122.8</v>
      </c>
      <c r="AI96" s="3">
        <v>135.4</v>
      </c>
      <c r="AJ96" s="3">
        <v>162.69999999999999</v>
      </c>
      <c r="AK96" s="3">
        <v>172.8</v>
      </c>
      <c r="AL96" s="3">
        <v>164</v>
      </c>
      <c r="AM96" s="3">
        <v>166.5</v>
      </c>
      <c r="AN96" s="3">
        <v>171.1</v>
      </c>
      <c r="AO96" s="3">
        <v>137.19999999999999</v>
      </c>
      <c r="AP96" s="3">
        <v>149.69999999999999</v>
      </c>
      <c r="AQ96" s="3">
        <v>162.6</v>
      </c>
      <c r="AR96" s="3">
        <v>141.6</v>
      </c>
      <c r="AS96" s="3">
        <v>169.1</v>
      </c>
      <c r="AT96" s="3">
        <v>160.80000000000001</v>
      </c>
      <c r="AU96" s="3">
        <v>192</v>
      </c>
      <c r="AV96" s="3">
        <v>160.80000000000001</v>
      </c>
      <c r="AX96" s="3">
        <v>127.8</v>
      </c>
      <c r="AY96" s="3">
        <v>222.6</v>
      </c>
      <c r="AZ96" s="3">
        <v>152.80000000000001</v>
      </c>
      <c r="BA96" s="3">
        <v>144.30000000000001</v>
      </c>
      <c r="BB96" s="3">
        <v>200.1</v>
      </c>
      <c r="BC96" s="3">
        <v>128</v>
      </c>
      <c r="BD96" s="3">
        <v>147.69999999999999</v>
      </c>
      <c r="BE96" s="3">
        <v>122.4</v>
      </c>
      <c r="BF96" s="3">
        <v>112.9</v>
      </c>
      <c r="BG96" s="3">
        <v>131.6</v>
      </c>
      <c r="BH96" s="3">
        <v>127.8</v>
      </c>
      <c r="BI96" s="3">
        <v>107.3</v>
      </c>
      <c r="BJ96" s="3">
        <v>134.1</v>
      </c>
      <c r="BK96" s="3">
        <v>148.30000000000001</v>
      </c>
      <c r="BL96" s="3">
        <v>132.69999999999999</v>
      </c>
      <c r="BM96" s="3">
        <v>146.19999999999999</v>
      </c>
      <c r="BN96" s="3">
        <v>110.6</v>
      </c>
      <c r="BO96" s="3">
        <v>164.8</v>
      </c>
      <c r="BP96" s="3">
        <v>157.5</v>
      </c>
      <c r="BQ96" s="3">
        <v>122.6</v>
      </c>
      <c r="BR96" s="3">
        <v>110.5</v>
      </c>
      <c r="BS96" s="3">
        <v>121.4</v>
      </c>
      <c r="BT96" s="3">
        <v>142.5</v>
      </c>
      <c r="BU96" s="3">
        <v>127.4</v>
      </c>
      <c r="BV96" s="3">
        <v>117.9</v>
      </c>
      <c r="BW96" s="3">
        <v>159.5</v>
      </c>
      <c r="BX96" s="3">
        <v>191.9</v>
      </c>
      <c r="BY96" s="3">
        <v>130.4</v>
      </c>
      <c r="BZ96" s="3">
        <v>168</v>
      </c>
      <c r="CA96" s="3">
        <v>147.69999999999999</v>
      </c>
      <c r="CB96" s="3">
        <v>198.2</v>
      </c>
      <c r="CC96" s="3">
        <v>169.7</v>
      </c>
      <c r="CD96" s="3">
        <v>166.5</v>
      </c>
      <c r="CE96" s="3">
        <v>140.5</v>
      </c>
      <c r="CF96" s="3">
        <v>75.599999999999994</v>
      </c>
      <c r="CG96" s="3">
        <v>115.3</v>
      </c>
      <c r="CH96" s="3">
        <v>121.2</v>
      </c>
      <c r="CI96" s="3">
        <v>160.30000000000001</v>
      </c>
      <c r="CJ96" s="3">
        <v>140.5</v>
      </c>
      <c r="CK96" s="3">
        <v>119.8</v>
      </c>
      <c r="CL96" s="3">
        <v>198</v>
      </c>
      <c r="CM96" s="3">
        <v>104</v>
      </c>
      <c r="CN96" s="3">
        <v>101.5</v>
      </c>
    </row>
    <row r="97" spans="1:92" x14ac:dyDescent="0.25">
      <c r="A97" s="4">
        <v>34669</v>
      </c>
      <c r="B97" s="3">
        <v>135.30000000000001</v>
      </c>
      <c r="C97" s="3">
        <v>137.9</v>
      </c>
      <c r="D97" s="3">
        <v>144.69999999999999</v>
      </c>
      <c r="E97" s="3">
        <v>129.6</v>
      </c>
      <c r="F97" s="3">
        <v>128.5</v>
      </c>
      <c r="G97" s="3">
        <v>135.80000000000001</v>
      </c>
      <c r="H97" s="3">
        <v>117.7</v>
      </c>
      <c r="I97" s="3">
        <v>134.5</v>
      </c>
      <c r="J97" s="3">
        <v>102.4</v>
      </c>
      <c r="K97" s="3">
        <v>124.2</v>
      </c>
      <c r="L97" s="3">
        <v>121.8</v>
      </c>
      <c r="M97" s="3">
        <v>126.6</v>
      </c>
      <c r="N97" s="3">
        <v>117.8</v>
      </c>
      <c r="O97" s="3">
        <v>135.6</v>
      </c>
      <c r="P97" s="3">
        <v>128</v>
      </c>
      <c r="Q97" s="3">
        <v>145.5</v>
      </c>
      <c r="R97" s="3">
        <v>132.69999999999999</v>
      </c>
      <c r="S97" s="3">
        <v>150.6</v>
      </c>
      <c r="T97" s="3">
        <v>146.4</v>
      </c>
      <c r="U97" s="3">
        <v>145.80000000000001</v>
      </c>
      <c r="V97" s="3">
        <v>116.7</v>
      </c>
      <c r="W97" s="3">
        <v>151.19999999999999</v>
      </c>
      <c r="X97" s="3">
        <v>136.4</v>
      </c>
      <c r="Y97" s="3">
        <v>133.6</v>
      </c>
      <c r="Z97" s="3">
        <v>154.6</v>
      </c>
      <c r="AA97" s="3">
        <v>177.6</v>
      </c>
      <c r="AB97" s="3">
        <v>141.4</v>
      </c>
      <c r="AC97" s="3">
        <v>110.7</v>
      </c>
      <c r="AD97" s="3">
        <v>102.7</v>
      </c>
      <c r="AE97" s="3">
        <v>129.9</v>
      </c>
      <c r="AF97" s="3">
        <v>124.2</v>
      </c>
      <c r="AG97" s="3">
        <v>122.3</v>
      </c>
      <c r="AH97" s="3">
        <v>122.5</v>
      </c>
      <c r="AI97" s="3">
        <v>136.1</v>
      </c>
      <c r="AJ97" s="3">
        <v>163.19999999999999</v>
      </c>
      <c r="AK97" s="3">
        <v>173.1</v>
      </c>
      <c r="AL97" s="3">
        <v>164.4</v>
      </c>
      <c r="AM97" s="3">
        <v>166.5</v>
      </c>
      <c r="AN97" s="3">
        <v>171.5</v>
      </c>
      <c r="AO97" s="3">
        <v>135.30000000000001</v>
      </c>
      <c r="AP97" s="3">
        <v>148.5</v>
      </c>
      <c r="AQ97" s="3">
        <v>163.5</v>
      </c>
      <c r="AR97" s="3">
        <v>139.5</v>
      </c>
      <c r="AS97" s="3">
        <v>172.1</v>
      </c>
      <c r="AT97" s="3">
        <v>162.19999999999999</v>
      </c>
      <c r="AU97" s="3">
        <v>192.2</v>
      </c>
      <c r="AV97" s="3">
        <v>161.30000000000001</v>
      </c>
      <c r="AX97" s="3">
        <v>127.8</v>
      </c>
      <c r="AY97" s="3">
        <v>222.6</v>
      </c>
      <c r="AZ97" s="3">
        <v>153.19999999999999</v>
      </c>
      <c r="BA97" s="3">
        <v>144.5</v>
      </c>
      <c r="BB97" s="3">
        <v>202</v>
      </c>
      <c r="BC97" s="3">
        <v>128.30000000000001</v>
      </c>
      <c r="BD97" s="3">
        <v>147.80000000000001</v>
      </c>
      <c r="BE97" s="3">
        <v>122.4</v>
      </c>
      <c r="BF97" s="3">
        <v>111.8</v>
      </c>
      <c r="BG97" s="3">
        <v>133.80000000000001</v>
      </c>
      <c r="BH97" s="3">
        <v>129</v>
      </c>
      <c r="BI97" s="3">
        <v>107.4</v>
      </c>
      <c r="BJ97" s="3">
        <v>134.19999999999999</v>
      </c>
      <c r="BK97" s="3">
        <v>148.30000000000001</v>
      </c>
      <c r="BL97" s="3">
        <v>132.30000000000001</v>
      </c>
      <c r="BM97" s="3">
        <v>146.19999999999999</v>
      </c>
      <c r="BN97" s="3">
        <v>110.6</v>
      </c>
      <c r="BO97" s="3">
        <v>165.5</v>
      </c>
      <c r="BP97" s="3">
        <v>158</v>
      </c>
      <c r="BQ97" s="3">
        <v>123</v>
      </c>
      <c r="BR97" s="3">
        <v>110.5</v>
      </c>
      <c r="BS97" s="3">
        <v>121.3</v>
      </c>
      <c r="BT97" s="3">
        <v>142.69999999999999</v>
      </c>
      <c r="BU97" s="3">
        <v>127.5</v>
      </c>
      <c r="BV97" s="3">
        <v>123.7</v>
      </c>
      <c r="BW97" s="3">
        <v>159.5</v>
      </c>
      <c r="BX97" s="3">
        <v>193</v>
      </c>
      <c r="BY97" s="3">
        <v>129.9</v>
      </c>
      <c r="BZ97" s="3">
        <v>167.7</v>
      </c>
      <c r="CA97" s="3">
        <v>153.19999999999999</v>
      </c>
      <c r="CB97" s="3">
        <v>200.9</v>
      </c>
      <c r="CC97" s="3">
        <v>169.7</v>
      </c>
      <c r="CD97" s="3">
        <v>166.5</v>
      </c>
      <c r="CE97" s="3">
        <v>140.69999999999999</v>
      </c>
      <c r="CF97" s="3">
        <v>75.400000000000006</v>
      </c>
      <c r="CG97" s="3">
        <v>115.4</v>
      </c>
      <c r="CH97" s="3">
        <v>121.4</v>
      </c>
      <c r="CI97" s="3">
        <v>160.69999999999999</v>
      </c>
      <c r="CJ97" s="3">
        <v>141.19999999999999</v>
      </c>
      <c r="CK97" s="3">
        <v>119.8</v>
      </c>
      <c r="CL97" s="3">
        <v>198.4</v>
      </c>
      <c r="CM97" s="3">
        <v>103.9</v>
      </c>
      <c r="CN97" s="3">
        <v>101.7</v>
      </c>
    </row>
    <row r="98" spans="1:92" x14ac:dyDescent="0.25">
      <c r="A98" s="4">
        <v>34700</v>
      </c>
      <c r="B98" s="3">
        <v>134.6</v>
      </c>
      <c r="C98" s="3">
        <v>138.30000000000001</v>
      </c>
      <c r="D98" s="3">
        <v>144</v>
      </c>
      <c r="E98" s="3">
        <v>131.80000000000001</v>
      </c>
      <c r="F98" s="3">
        <v>130</v>
      </c>
      <c r="G98" s="3">
        <v>140.19999999999999</v>
      </c>
      <c r="H98" s="3">
        <v>119.4</v>
      </c>
      <c r="I98" s="3">
        <v>134.30000000000001</v>
      </c>
      <c r="J98" s="3">
        <v>105.2</v>
      </c>
      <c r="K98" s="3">
        <v>123.1</v>
      </c>
      <c r="L98" s="3">
        <v>121.3</v>
      </c>
      <c r="M98" s="3">
        <v>122.6</v>
      </c>
      <c r="N98" s="3">
        <v>119.2</v>
      </c>
      <c r="O98" s="3">
        <v>137.19999999999999</v>
      </c>
      <c r="P98" s="3">
        <v>128.4</v>
      </c>
      <c r="Q98" s="3">
        <v>147.9</v>
      </c>
      <c r="R98" s="3">
        <v>133.6</v>
      </c>
      <c r="S98" s="3">
        <v>150.5</v>
      </c>
      <c r="T98" s="3">
        <v>146.4</v>
      </c>
      <c r="U98" s="3">
        <v>144.1</v>
      </c>
      <c r="V98" s="3">
        <v>122.1</v>
      </c>
      <c r="W98" s="3">
        <v>156.1</v>
      </c>
      <c r="X98" s="3">
        <v>138.1</v>
      </c>
      <c r="Y98" s="3">
        <v>134.30000000000001</v>
      </c>
      <c r="Z98" s="3">
        <v>159</v>
      </c>
      <c r="AA98" s="3">
        <v>183.8</v>
      </c>
      <c r="AB98" s="3">
        <v>144.4</v>
      </c>
      <c r="AC98" s="3">
        <v>120.5</v>
      </c>
      <c r="AD98" s="3">
        <v>115.2</v>
      </c>
      <c r="AE98" s="3">
        <v>130.6</v>
      </c>
      <c r="AF98" s="3">
        <v>121.4</v>
      </c>
      <c r="AG98" s="3">
        <v>118.6</v>
      </c>
      <c r="AH98" s="3">
        <v>126.3</v>
      </c>
      <c r="AI98" s="3">
        <v>134.9</v>
      </c>
      <c r="AJ98" s="3">
        <v>163.80000000000001</v>
      </c>
      <c r="AK98" s="3">
        <v>174.1</v>
      </c>
      <c r="AL98" s="3">
        <v>164.9</v>
      </c>
      <c r="AM98" s="3">
        <v>168.3</v>
      </c>
      <c r="AN98" s="3">
        <v>172.9</v>
      </c>
      <c r="AO98" s="3">
        <v>139.5</v>
      </c>
      <c r="AP98" s="3">
        <v>151.69999999999999</v>
      </c>
      <c r="AQ98" s="3">
        <v>165.9</v>
      </c>
      <c r="AR98" s="3">
        <v>143</v>
      </c>
      <c r="AS98" s="3">
        <v>177</v>
      </c>
      <c r="AT98" s="3">
        <v>166</v>
      </c>
      <c r="AU98" s="3">
        <v>192.5</v>
      </c>
      <c r="AV98" s="3">
        <v>162.1</v>
      </c>
      <c r="AW98" s="3">
        <v>100</v>
      </c>
      <c r="AX98" s="3">
        <v>127.8</v>
      </c>
      <c r="AY98" s="3">
        <v>222.6</v>
      </c>
      <c r="AZ98" s="3">
        <v>153.6</v>
      </c>
      <c r="BA98" s="3">
        <v>144</v>
      </c>
      <c r="BB98" s="3">
        <v>201.2</v>
      </c>
      <c r="BC98" s="3">
        <v>128.30000000000001</v>
      </c>
      <c r="BD98" s="3">
        <v>148</v>
      </c>
      <c r="BE98" s="3">
        <v>122.8</v>
      </c>
      <c r="BF98" s="3">
        <v>111.8</v>
      </c>
      <c r="BG98" s="3">
        <v>128.1</v>
      </c>
      <c r="BH98" s="3">
        <v>123.7</v>
      </c>
      <c r="BI98" s="3">
        <v>105.6</v>
      </c>
      <c r="BJ98" s="3">
        <v>131.4</v>
      </c>
      <c r="BK98" s="3">
        <v>149</v>
      </c>
      <c r="BL98" s="3">
        <v>132.69999999999999</v>
      </c>
      <c r="BM98" s="3">
        <v>146.19999999999999</v>
      </c>
      <c r="BN98" s="3">
        <v>110.6</v>
      </c>
      <c r="BO98" s="3">
        <v>166</v>
      </c>
      <c r="BP98" s="3">
        <v>159.69999999999999</v>
      </c>
      <c r="BQ98" s="3">
        <v>116.8</v>
      </c>
      <c r="BR98" s="3">
        <v>102.5</v>
      </c>
      <c r="BS98" s="3">
        <v>117</v>
      </c>
      <c r="BT98" s="3">
        <v>140.69999999999999</v>
      </c>
      <c r="BU98" s="3">
        <v>123.3</v>
      </c>
      <c r="BV98" s="3">
        <v>117.4</v>
      </c>
      <c r="BW98" s="3">
        <v>159.80000000000001</v>
      </c>
      <c r="BX98" s="3">
        <v>194.9</v>
      </c>
      <c r="BY98" s="3">
        <v>130.6</v>
      </c>
      <c r="BZ98" s="3">
        <v>166.9</v>
      </c>
      <c r="CA98" s="3">
        <v>155.6</v>
      </c>
      <c r="CB98" s="3">
        <v>197.1</v>
      </c>
      <c r="CC98" s="3">
        <v>171.8</v>
      </c>
      <c r="CD98" s="3">
        <v>169</v>
      </c>
      <c r="CE98" s="3">
        <v>140.9</v>
      </c>
      <c r="CF98" s="3">
        <v>74.7</v>
      </c>
      <c r="CG98" s="3">
        <v>115.5</v>
      </c>
      <c r="CH98" s="3">
        <v>120.9</v>
      </c>
      <c r="CI98" s="3">
        <v>161</v>
      </c>
      <c r="CJ98" s="3">
        <v>142.1</v>
      </c>
      <c r="CK98" s="3">
        <v>120.3</v>
      </c>
      <c r="CL98" s="3">
        <v>198.8</v>
      </c>
      <c r="CM98" s="3">
        <v>104.1</v>
      </c>
      <c r="CN98" s="3">
        <v>101.8</v>
      </c>
    </row>
    <row r="99" spans="1:92" x14ac:dyDescent="0.25">
      <c r="A99" s="4">
        <v>34731</v>
      </c>
      <c r="B99" s="3">
        <v>133.69999999999999</v>
      </c>
      <c r="C99" s="3">
        <v>138.80000000000001</v>
      </c>
      <c r="D99" s="3">
        <v>143.4</v>
      </c>
      <c r="E99" s="3">
        <v>132.5</v>
      </c>
      <c r="F99" s="3">
        <v>129.80000000000001</v>
      </c>
      <c r="G99" s="3">
        <v>140.80000000000001</v>
      </c>
      <c r="H99" s="3">
        <v>122.2</v>
      </c>
      <c r="I99" s="3">
        <v>132.6</v>
      </c>
      <c r="J99" s="3">
        <v>105.5</v>
      </c>
      <c r="K99" s="3">
        <v>124.6</v>
      </c>
      <c r="L99" s="3">
        <v>122.6</v>
      </c>
      <c r="M99" s="3">
        <v>125.9</v>
      </c>
      <c r="N99" s="3">
        <v>118.7</v>
      </c>
      <c r="O99" s="3">
        <v>138.69999999999999</v>
      </c>
      <c r="P99" s="3">
        <v>128.19999999999999</v>
      </c>
      <c r="Q99" s="3">
        <v>149.69999999999999</v>
      </c>
      <c r="R99" s="3">
        <v>132.9</v>
      </c>
      <c r="S99" s="3">
        <v>150.6</v>
      </c>
      <c r="T99" s="3">
        <v>146.6</v>
      </c>
      <c r="U99" s="3">
        <v>143.19999999999999</v>
      </c>
      <c r="V99" s="3">
        <v>123.1</v>
      </c>
      <c r="W99" s="3">
        <v>158.69999999999999</v>
      </c>
      <c r="X99" s="3">
        <v>141.9</v>
      </c>
      <c r="Y99" s="3">
        <v>135.30000000000001</v>
      </c>
      <c r="Z99" s="3">
        <v>165</v>
      </c>
      <c r="AA99" s="3">
        <v>196.1</v>
      </c>
      <c r="AB99" s="3">
        <v>146.9</v>
      </c>
      <c r="AC99" s="3">
        <v>123.1</v>
      </c>
      <c r="AD99" s="3">
        <v>118.1</v>
      </c>
      <c r="AE99" s="3">
        <v>132.4</v>
      </c>
      <c r="AF99" s="3">
        <v>120.5</v>
      </c>
      <c r="AG99" s="3">
        <v>117.4</v>
      </c>
      <c r="AH99" s="3">
        <v>127.4</v>
      </c>
      <c r="AI99" s="3">
        <v>134.30000000000001</v>
      </c>
      <c r="AJ99" s="3">
        <v>164.4</v>
      </c>
      <c r="AK99" s="3">
        <v>174.9</v>
      </c>
      <c r="AL99" s="3">
        <v>165.7</v>
      </c>
      <c r="AM99" s="3">
        <v>169.5</v>
      </c>
      <c r="AN99" s="3">
        <v>173.4</v>
      </c>
      <c r="AO99" s="3">
        <v>143.69999999999999</v>
      </c>
      <c r="AP99" s="3">
        <v>152.69999999999999</v>
      </c>
      <c r="AQ99" s="3">
        <v>166.5</v>
      </c>
      <c r="AR99" s="3">
        <v>144.19999999999999</v>
      </c>
      <c r="AS99" s="3">
        <v>178.6</v>
      </c>
      <c r="AT99" s="3">
        <v>166.7</v>
      </c>
      <c r="AU99" s="3">
        <v>192.5</v>
      </c>
      <c r="AV99" s="3">
        <v>167.1</v>
      </c>
      <c r="AW99" s="3">
        <v>100.5</v>
      </c>
      <c r="AX99" s="3">
        <v>127.8</v>
      </c>
      <c r="AY99" s="3">
        <v>222.6</v>
      </c>
      <c r="AZ99" s="3">
        <v>153.6</v>
      </c>
      <c r="BA99" s="3">
        <v>145.19999999999999</v>
      </c>
      <c r="BB99" s="3">
        <v>201.4</v>
      </c>
      <c r="BC99" s="3">
        <v>128.30000000000001</v>
      </c>
      <c r="BD99" s="3">
        <v>147.9</v>
      </c>
      <c r="BE99" s="3">
        <v>123.4</v>
      </c>
      <c r="BF99" s="3">
        <v>111.5</v>
      </c>
      <c r="BG99" s="3">
        <v>130.6</v>
      </c>
      <c r="BH99" s="3">
        <v>126.5</v>
      </c>
      <c r="BI99" s="3">
        <v>107.9</v>
      </c>
      <c r="BJ99" s="3">
        <v>133.80000000000001</v>
      </c>
      <c r="BK99" s="3">
        <v>149.69999999999999</v>
      </c>
      <c r="BL99" s="3">
        <v>132.4</v>
      </c>
      <c r="BM99" s="3">
        <v>146.19999999999999</v>
      </c>
      <c r="BN99" s="3">
        <v>110.8</v>
      </c>
      <c r="BO99" s="3">
        <v>166.1</v>
      </c>
      <c r="BP99" s="3">
        <v>159.69999999999999</v>
      </c>
      <c r="BQ99" s="3">
        <v>119.2</v>
      </c>
      <c r="BR99" s="3">
        <v>103.9</v>
      </c>
      <c r="BS99" s="3">
        <v>117.2</v>
      </c>
      <c r="BT99" s="3">
        <v>141.80000000000001</v>
      </c>
      <c r="BU99" s="3">
        <v>125</v>
      </c>
      <c r="BV99" s="3">
        <v>116.8</v>
      </c>
      <c r="BW99" s="3">
        <v>160</v>
      </c>
      <c r="BX99" s="3">
        <v>195.4</v>
      </c>
      <c r="BY99" s="3">
        <v>132.4</v>
      </c>
      <c r="BZ99" s="3">
        <v>167.7</v>
      </c>
      <c r="CA99" s="3">
        <v>154.19999999999999</v>
      </c>
      <c r="CB99" s="3">
        <v>197.1</v>
      </c>
      <c r="CC99" s="3">
        <v>177</v>
      </c>
      <c r="CD99" s="3">
        <v>169</v>
      </c>
      <c r="CE99" s="3">
        <v>140.9</v>
      </c>
      <c r="CF99" s="3">
        <v>74.8</v>
      </c>
      <c r="CG99" s="3">
        <v>115.6</v>
      </c>
      <c r="CH99" s="3">
        <v>121.3</v>
      </c>
      <c r="CI99" s="3">
        <v>161.6</v>
      </c>
      <c r="CJ99" s="3">
        <v>142.30000000000001</v>
      </c>
      <c r="CK99" s="3">
        <v>120.4</v>
      </c>
      <c r="CL99" s="3">
        <v>199</v>
      </c>
      <c r="CM99" s="3">
        <v>104</v>
      </c>
      <c r="CN99" s="3">
        <v>101.8</v>
      </c>
    </row>
    <row r="100" spans="1:92" x14ac:dyDescent="0.25">
      <c r="A100" s="4">
        <v>34759</v>
      </c>
      <c r="B100" s="3">
        <v>133</v>
      </c>
      <c r="C100" s="3">
        <v>139.19999999999999</v>
      </c>
      <c r="D100" s="3">
        <v>145.4</v>
      </c>
      <c r="E100" s="3">
        <v>131.80000000000001</v>
      </c>
      <c r="F100" s="3">
        <v>129</v>
      </c>
      <c r="G100" s="3">
        <v>139.5</v>
      </c>
      <c r="H100" s="3">
        <v>121.6</v>
      </c>
      <c r="I100" s="3">
        <v>134.69999999999999</v>
      </c>
      <c r="J100" s="3">
        <v>106.1</v>
      </c>
      <c r="K100" s="3">
        <v>124.4</v>
      </c>
      <c r="L100" s="3">
        <v>122.1</v>
      </c>
      <c r="M100" s="3">
        <v>124.8</v>
      </c>
      <c r="N100" s="3">
        <v>118.7</v>
      </c>
      <c r="O100" s="3">
        <v>141.69999999999999</v>
      </c>
      <c r="P100" s="3">
        <v>128.19999999999999</v>
      </c>
      <c r="Q100" s="3">
        <v>152.6</v>
      </c>
      <c r="R100" s="3">
        <v>129.1</v>
      </c>
      <c r="S100" s="3">
        <v>150.6</v>
      </c>
      <c r="T100" s="3">
        <v>144.69999999999999</v>
      </c>
      <c r="U100" s="3">
        <v>143.4</v>
      </c>
      <c r="V100" s="3">
        <v>124</v>
      </c>
      <c r="W100" s="3">
        <v>160.69999999999999</v>
      </c>
      <c r="X100" s="3">
        <v>142.30000000000001</v>
      </c>
      <c r="Y100" s="3">
        <v>135.19999999999999</v>
      </c>
      <c r="Z100" s="3">
        <v>168.6</v>
      </c>
      <c r="AA100" s="3">
        <v>202.5</v>
      </c>
      <c r="AB100" s="3">
        <v>148.80000000000001</v>
      </c>
      <c r="AC100" s="3">
        <v>127.5</v>
      </c>
      <c r="AD100" s="3">
        <v>123.3</v>
      </c>
      <c r="AE100" s="3">
        <v>133.9</v>
      </c>
      <c r="AF100" s="3">
        <v>118.3</v>
      </c>
      <c r="AG100" s="3">
        <v>114.9</v>
      </c>
      <c r="AH100" s="3">
        <v>127.1</v>
      </c>
      <c r="AI100" s="3">
        <v>137.30000000000001</v>
      </c>
      <c r="AJ100" s="3">
        <v>165</v>
      </c>
      <c r="AK100" s="3">
        <v>175.7</v>
      </c>
      <c r="AL100" s="3">
        <v>166.5</v>
      </c>
      <c r="AM100" s="3">
        <v>170.2</v>
      </c>
      <c r="AN100" s="3">
        <v>173.7</v>
      </c>
      <c r="AO100" s="3">
        <v>145.6</v>
      </c>
      <c r="AP100" s="3">
        <v>153.4</v>
      </c>
      <c r="AQ100" s="3">
        <v>166.9</v>
      </c>
      <c r="AR100" s="3">
        <v>144.9</v>
      </c>
      <c r="AS100" s="3">
        <v>178.9</v>
      </c>
      <c r="AT100" s="3">
        <v>166.8</v>
      </c>
      <c r="AU100" s="3">
        <v>192.6</v>
      </c>
      <c r="AV100" s="3">
        <v>168.4</v>
      </c>
      <c r="AW100" s="3">
        <v>98</v>
      </c>
      <c r="AX100" s="3">
        <v>127.8</v>
      </c>
      <c r="AY100" s="3">
        <v>222.6</v>
      </c>
      <c r="AZ100" s="3">
        <v>153.69999999999999</v>
      </c>
      <c r="BA100" s="3">
        <v>146.1</v>
      </c>
      <c r="BB100" s="3">
        <v>200.6</v>
      </c>
      <c r="BC100" s="3">
        <v>128.19999999999999</v>
      </c>
      <c r="BD100" s="3">
        <v>147.69999999999999</v>
      </c>
      <c r="BE100" s="3">
        <v>124</v>
      </c>
      <c r="BF100" s="3">
        <v>111.2</v>
      </c>
      <c r="BG100" s="3">
        <v>133.5</v>
      </c>
      <c r="BH100" s="3">
        <v>128.69999999999999</v>
      </c>
      <c r="BI100" s="3">
        <v>108.2</v>
      </c>
      <c r="BJ100" s="3">
        <v>135.9</v>
      </c>
      <c r="BK100" s="3">
        <v>151.80000000000001</v>
      </c>
      <c r="BL100" s="3">
        <v>133.30000000000001</v>
      </c>
      <c r="BM100" s="3">
        <v>146.19999999999999</v>
      </c>
      <c r="BN100" s="3">
        <v>111.2</v>
      </c>
      <c r="BO100" s="3">
        <v>166.3</v>
      </c>
      <c r="BP100" s="3">
        <v>159.69999999999999</v>
      </c>
      <c r="BQ100" s="3">
        <v>121.4</v>
      </c>
      <c r="BR100" s="3">
        <v>105.4</v>
      </c>
      <c r="BS100" s="3">
        <v>118.1</v>
      </c>
      <c r="BT100" s="3">
        <v>143.30000000000001</v>
      </c>
      <c r="BU100" s="3">
        <v>127.1</v>
      </c>
      <c r="BV100" s="3">
        <v>118.3</v>
      </c>
      <c r="BW100" s="3">
        <v>160.69999999999999</v>
      </c>
      <c r="BX100" s="3">
        <v>195.9</v>
      </c>
      <c r="BY100" s="3">
        <v>134.1</v>
      </c>
      <c r="BZ100" s="3">
        <v>167.7</v>
      </c>
      <c r="CA100" s="3">
        <v>155.69999999999999</v>
      </c>
      <c r="CB100" s="3">
        <v>197.1</v>
      </c>
      <c r="CC100" s="3">
        <v>177</v>
      </c>
      <c r="CD100" s="3">
        <v>169.1</v>
      </c>
      <c r="CE100" s="3">
        <v>140</v>
      </c>
      <c r="CF100" s="3">
        <v>74.599999999999994</v>
      </c>
      <c r="CG100" s="3">
        <v>115.7</v>
      </c>
      <c r="CH100" s="3">
        <v>121.5</v>
      </c>
      <c r="CI100" s="3">
        <v>161.9</v>
      </c>
      <c r="CJ100" s="3">
        <v>142.5</v>
      </c>
      <c r="CK100" s="3">
        <v>120.4</v>
      </c>
      <c r="CL100" s="3">
        <v>199</v>
      </c>
      <c r="CM100" s="3">
        <v>104</v>
      </c>
      <c r="CN100" s="3">
        <v>101.8</v>
      </c>
    </row>
    <row r="101" spans="1:92" x14ac:dyDescent="0.25">
      <c r="A101" s="4">
        <v>34790</v>
      </c>
      <c r="B101" s="3">
        <v>134.9</v>
      </c>
      <c r="C101" s="3">
        <v>138</v>
      </c>
      <c r="D101" s="3">
        <v>142.80000000000001</v>
      </c>
      <c r="E101" s="3">
        <v>131.5</v>
      </c>
      <c r="F101" s="3">
        <v>131.1</v>
      </c>
      <c r="G101" s="3">
        <v>143.5</v>
      </c>
      <c r="H101" s="3">
        <v>125.3</v>
      </c>
      <c r="I101" s="3">
        <v>134.4</v>
      </c>
      <c r="J101" s="3">
        <v>101.8</v>
      </c>
      <c r="K101" s="3">
        <v>124.7</v>
      </c>
      <c r="L101" s="3">
        <v>123.9</v>
      </c>
      <c r="M101" s="3">
        <v>128.1</v>
      </c>
      <c r="N101" s="3">
        <v>119.2</v>
      </c>
      <c r="O101" s="3">
        <v>145.69999999999999</v>
      </c>
      <c r="P101" s="3">
        <v>127.8</v>
      </c>
      <c r="Q101" s="3">
        <v>148.1</v>
      </c>
      <c r="R101" s="3">
        <v>133.4</v>
      </c>
      <c r="S101" s="3">
        <v>151</v>
      </c>
      <c r="T101" s="3">
        <v>146.30000000000001</v>
      </c>
      <c r="U101" s="3">
        <v>145.30000000000001</v>
      </c>
      <c r="V101" s="3">
        <v>124</v>
      </c>
      <c r="W101" s="3">
        <v>161.5</v>
      </c>
      <c r="X101" s="3">
        <v>146.6</v>
      </c>
      <c r="Y101" s="3">
        <v>135.30000000000001</v>
      </c>
      <c r="Z101" s="3">
        <v>169.9</v>
      </c>
      <c r="AA101" s="3">
        <v>204.7</v>
      </c>
      <c r="AB101" s="3">
        <v>149.5</v>
      </c>
      <c r="AC101" s="3">
        <v>122.8</v>
      </c>
      <c r="AD101" s="3">
        <v>116.7</v>
      </c>
      <c r="AE101" s="3">
        <v>135</v>
      </c>
      <c r="AF101" s="3">
        <v>123.5</v>
      </c>
      <c r="AG101" s="3">
        <v>121.4</v>
      </c>
      <c r="AH101" s="3">
        <v>124</v>
      </c>
      <c r="AI101" s="3">
        <v>136.5</v>
      </c>
      <c r="AJ101" s="3">
        <v>165.4</v>
      </c>
      <c r="AK101" s="3">
        <v>177.4</v>
      </c>
      <c r="AL101" s="3">
        <v>167.2</v>
      </c>
      <c r="AM101" s="3">
        <v>170.3</v>
      </c>
      <c r="AN101" s="3">
        <v>174.1</v>
      </c>
      <c r="AO101" s="3">
        <v>144.5</v>
      </c>
      <c r="AP101" s="3">
        <v>153.5</v>
      </c>
      <c r="AQ101" s="3">
        <v>167.4</v>
      </c>
      <c r="AR101" s="3">
        <v>144.80000000000001</v>
      </c>
      <c r="AS101" s="3">
        <v>180.5</v>
      </c>
      <c r="AT101" s="3">
        <v>168.9</v>
      </c>
      <c r="AU101" s="3">
        <v>201.7</v>
      </c>
      <c r="AV101" s="3">
        <v>178.3</v>
      </c>
      <c r="AW101" s="3">
        <v>99.8</v>
      </c>
      <c r="AX101" s="3">
        <v>135</v>
      </c>
      <c r="AY101" s="3">
        <v>236.3</v>
      </c>
      <c r="AZ101" s="3">
        <v>154</v>
      </c>
      <c r="BA101" s="3">
        <v>145.80000000000001</v>
      </c>
      <c r="BB101" s="3">
        <v>200.2</v>
      </c>
      <c r="BC101" s="3">
        <v>128.1</v>
      </c>
      <c r="BD101" s="3">
        <v>147.80000000000001</v>
      </c>
      <c r="BE101" s="3">
        <v>124.4</v>
      </c>
      <c r="BF101" s="3">
        <v>112.3</v>
      </c>
      <c r="BG101" s="3">
        <v>133.6</v>
      </c>
      <c r="BH101" s="3">
        <v>128.30000000000001</v>
      </c>
      <c r="BI101" s="3">
        <v>107.9</v>
      </c>
      <c r="BJ101" s="3">
        <v>135.4</v>
      </c>
      <c r="BK101" s="3">
        <v>153.30000000000001</v>
      </c>
      <c r="BL101" s="3">
        <v>133.19999999999999</v>
      </c>
      <c r="BM101" s="3">
        <v>146.30000000000001</v>
      </c>
      <c r="BN101" s="3">
        <v>111.7</v>
      </c>
      <c r="BO101" s="3">
        <v>167</v>
      </c>
      <c r="BP101" s="3">
        <v>160.6</v>
      </c>
      <c r="BQ101" s="3">
        <v>121.3</v>
      </c>
      <c r="BR101" s="3">
        <v>107.8</v>
      </c>
      <c r="BS101" s="3">
        <v>120.5</v>
      </c>
      <c r="BT101" s="3">
        <v>145.4</v>
      </c>
      <c r="BU101" s="3">
        <v>127.6</v>
      </c>
      <c r="BV101" s="3">
        <v>117.9</v>
      </c>
      <c r="BW101" s="3">
        <v>162.4</v>
      </c>
      <c r="BX101" s="3">
        <v>197.7</v>
      </c>
      <c r="BY101" s="3">
        <v>134.69999999999999</v>
      </c>
      <c r="BZ101" s="3">
        <v>168</v>
      </c>
      <c r="CA101" s="3">
        <v>157.69999999999999</v>
      </c>
      <c r="CB101" s="3">
        <v>193.2</v>
      </c>
      <c r="CC101" s="3">
        <v>177</v>
      </c>
      <c r="CD101" s="3">
        <v>170.3</v>
      </c>
      <c r="CE101" s="3">
        <v>140.69999999999999</v>
      </c>
      <c r="CF101" s="3">
        <v>73.900000000000006</v>
      </c>
      <c r="CG101" s="3">
        <v>115.9</v>
      </c>
      <c r="CH101" s="3">
        <v>121.2</v>
      </c>
      <c r="CI101" s="3">
        <v>162.1</v>
      </c>
      <c r="CJ101" s="3">
        <v>142.5</v>
      </c>
      <c r="CK101" s="3">
        <v>121.8</v>
      </c>
      <c r="CL101" s="3">
        <v>201.6</v>
      </c>
      <c r="CM101" s="3">
        <v>103.8</v>
      </c>
      <c r="CN101" s="3">
        <v>101.8</v>
      </c>
    </row>
    <row r="102" spans="1:92" x14ac:dyDescent="0.25">
      <c r="A102" s="4">
        <v>34820</v>
      </c>
      <c r="B102" s="3">
        <v>136.6</v>
      </c>
      <c r="C102" s="3">
        <v>140</v>
      </c>
      <c r="D102" s="3">
        <v>145</v>
      </c>
      <c r="E102" s="3">
        <v>132.9</v>
      </c>
      <c r="F102" s="3">
        <v>133.80000000000001</v>
      </c>
      <c r="G102" s="3">
        <v>149.80000000000001</v>
      </c>
      <c r="H102" s="3">
        <v>123.4</v>
      </c>
      <c r="I102" s="3">
        <v>136.5</v>
      </c>
      <c r="J102" s="3">
        <v>107.4</v>
      </c>
      <c r="K102" s="3">
        <v>126.6</v>
      </c>
      <c r="L102" s="3">
        <v>122</v>
      </c>
      <c r="M102" s="3">
        <v>124.5</v>
      </c>
      <c r="N102" s="3">
        <v>118.9</v>
      </c>
      <c r="O102" s="3">
        <v>156.5</v>
      </c>
      <c r="P102" s="3">
        <v>129.19999999999999</v>
      </c>
      <c r="Q102" s="3">
        <v>153</v>
      </c>
      <c r="R102" s="3">
        <v>127.3</v>
      </c>
      <c r="S102" s="3">
        <v>150.80000000000001</v>
      </c>
      <c r="T102" s="3">
        <v>146.30000000000001</v>
      </c>
      <c r="U102" s="3">
        <v>144.80000000000001</v>
      </c>
      <c r="V102" s="3">
        <v>123.7</v>
      </c>
      <c r="W102" s="3">
        <v>161.69999999999999</v>
      </c>
      <c r="X102" s="3">
        <v>151.9</v>
      </c>
      <c r="Y102" s="3">
        <v>136.69999999999999</v>
      </c>
      <c r="Z102" s="3">
        <v>174.7</v>
      </c>
      <c r="AA102" s="3">
        <v>204.5</v>
      </c>
      <c r="AB102" s="3">
        <v>157.4</v>
      </c>
      <c r="AC102" s="3">
        <v>131.6</v>
      </c>
      <c r="AD102" s="3">
        <v>128</v>
      </c>
      <c r="AE102" s="3">
        <v>136.19999999999999</v>
      </c>
      <c r="AF102" s="3">
        <v>128.19999999999999</v>
      </c>
      <c r="AG102" s="3">
        <v>126.5</v>
      </c>
      <c r="AH102" s="3">
        <v>125.3</v>
      </c>
      <c r="AI102" s="3">
        <v>137.19999999999999</v>
      </c>
      <c r="AJ102" s="3">
        <v>166</v>
      </c>
      <c r="AK102" s="3">
        <v>178.9</v>
      </c>
      <c r="AL102" s="3">
        <v>167.7</v>
      </c>
      <c r="AM102" s="3">
        <v>170.9</v>
      </c>
      <c r="AN102" s="3">
        <v>174.7</v>
      </c>
      <c r="AO102" s="3">
        <v>144.9</v>
      </c>
      <c r="AP102" s="3">
        <v>154.9</v>
      </c>
      <c r="AQ102" s="3">
        <v>167.9</v>
      </c>
      <c r="AR102" s="3">
        <v>146.5</v>
      </c>
      <c r="AS102" s="3">
        <v>181.4</v>
      </c>
      <c r="AT102" s="3">
        <v>169.9</v>
      </c>
      <c r="AU102" s="3">
        <v>202.3</v>
      </c>
      <c r="AV102" s="3">
        <v>178.8</v>
      </c>
      <c r="AW102" s="3">
        <v>98</v>
      </c>
      <c r="AX102" s="3">
        <v>135</v>
      </c>
      <c r="AY102" s="3">
        <v>235.7</v>
      </c>
      <c r="AZ102" s="3">
        <v>154.30000000000001</v>
      </c>
      <c r="BA102" s="3">
        <v>146.19999999999999</v>
      </c>
      <c r="BB102" s="3">
        <v>199.7</v>
      </c>
      <c r="BC102" s="3">
        <v>123.7</v>
      </c>
      <c r="BD102" s="3">
        <v>147.5</v>
      </c>
      <c r="BE102" s="3">
        <v>124.4</v>
      </c>
      <c r="BF102" s="3">
        <v>111.9</v>
      </c>
      <c r="BG102" s="3">
        <v>134.30000000000001</v>
      </c>
      <c r="BH102" s="3">
        <v>130.4</v>
      </c>
      <c r="BI102" s="3">
        <v>110.3</v>
      </c>
      <c r="BJ102" s="3">
        <v>137.1</v>
      </c>
      <c r="BK102" s="3">
        <v>154.6</v>
      </c>
      <c r="BL102" s="3">
        <v>133.80000000000001</v>
      </c>
      <c r="BM102" s="3">
        <v>146.30000000000001</v>
      </c>
      <c r="BN102" s="3">
        <v>111.7</v>
      </c>
      <c r="BO102" s="3">
        <v>167.5</v>
      </c>
      <c r="BP102" s="3">
        <v>160.30000000000001</v>
      </c>
      <c r="BQ102" s="3">
        <v>121.6</v>
      </c>
      <c r="BR102" s="3">
        <v>108.1</v>
      </c>
      <c r="BS102" s="3">
        <v>121.5</v>
      </c>
      <c r="BT102" s="3">
        <v>145.69999999999999</v>
      </c>
      <c r="BU102" s="3">
        <v>127.9</v>
      </c>
      <c r="BV102" s="3">
        <v>118.8</v>
      </c>
      <c r="BW102" s="3">
        <v>164</v>
      </c>
      <c r="BX102" s="3">
        <v>198.4</v>
      </c>
      <c r="BY102" s="3">
        <v>134.4</v>
      </c>
      <c r="BZ102" s="3">
        <v>168.6</v>
      </c>
      <c r="CA102" s="3">
        <v>158.30000000000001</v>
      </c>
      <c r="CB102" s="3">
        <v>193.2</v>
      </c>
      <c r="CC102" s="3">
        <v>177</v>
      </c>
      <c r="CD102" s="3">
        <v>170.3</v>
      </c>
      <c r="CE102" s="3">
        <v>141.30000000000001</v>
      </c>
      <c r="CF102" s="3">
        <v>73.7</v>
      </c>
      <c r="CG102" s="3">
        <v>114.9</v>
      </c>
      <c r="CH102" s="3">
        <v>121</v>
      </c>
      <c r="CI102" s="3">
        <v>162.9</v>
      </c>
      <c r="CJ102" s="3">
        <v>141.80000000000001</v>
      </c>
      <c r="CK102" s="3">
        <v>121.9</v>
      </c>
      <c r="CL102" s="3">
        <v>202.7</v>
      </c>
      <c r="CM102" s="3">
        <v>104.1</v>
      </c>
      <c r="CN102" s="3">
        <v>102</v>
      </c>
    </row>
    <row r="103" spans="1:92" x14ac:dyDescent="0.25">
      <c r="A103" s="4">
        <v>34851</v>
      </c>
      <c r="B103" s="3">
        <v>136.30000000000001</v>
      </c>
      <c r="C103" s="3">
        <v>139.19999999999999</v>
      </c>
      <c r="D103" s="3">
        <v>146.19999999999999</v>
      </c>
      <c r="E103" s="3">
        <v>133.30000000000001</v>
      </c>
      <c r="F103" s="3">
        <v>131.30000000000001</v>
      </c>
      <c r="G103" s="3">
        <v>144.30000000000001</v>
      </c>
      <c r="H103" s="3">
        <v>127.3</v>
      </c>
      <c r="I103" s="3">
        <v>135.1</v>
      </c>
      <c r="J103" s="3">
        <v>109.9</v>
      </c>
      <c r="K103" s="3">
        <v>126</v>
      </c>
      <c r="L103" s="3">
        <v>121.9</v>
      </c>
      <c r="M103" s="3">
        <v>123.7</v>
      </c>
      <c r="N103" s="3">
        <v>119.5</v>
      </c>
      <c r="O103" s="3">
        <v>156.80000000000001</v>
      </c>
      <c r="P103" s="3">
        <v>129.80000000000001</v>
      </c>
      <c r="Q103" s="3">
        <v>154.5</v>
      </c>
      <c r="R103" s="3">
        <v>131.9</v>
      </c>
      <c r="S103" s="3">
        <v>150.69999999999999</v>
      </c>
      <c r="T103" s="3">
        <v>146.9</v>
      </c>
      <c r="U103" s="3">
        <v>145.30000000000001</v>
      </c>
      <c r="V103" s="3">
        <v>123.8</v>
      </c>
      <c r="W103" s="3">
        <v>161.9</v>
      </c>
      <c r="X103" s="3">
        <v>153.6</v>
      </c>
      <c r="Y103" s="3">
        <v>137.5</v>
      </c>
      <c r="Z103" s="3">
        <v>167.2</v>
      </c>
      <c r="AA103" s="3">
        <v>182.2</v>
      </c>
      <c r="AB103" s="3">
        <v>158.5</v>
      </c>
      <c r="AC103" s="3">
        <v>115.2</v>
      </c>
      <c r="AD103" s="3">
        <v>106</v>
      </c>
      <c r="AE103" s="3">
        <v>137.4</v>
      </c>
      <c r="AF103" s="3">
        <v>129</v>
      </c>
      <c r="AG103" s="3">
        <v>127.5</v>
      </c>
      <c r="AH103" s="3">
        <v>125</v>
      </c>
      <c r="AI103" s="3">
        <v>139.4</v>
      </c>
      <c r="AJ103" s="3">
        <v>166.6</v>
      </c>
      <c r="AK103" s="3">
        <v>179.7</v>
      </c>
      <c r="AL103" s="3">
        <v>167.2</v>
      </c>
      <c r="AM103" s="3">
        <v>172</v>
      </c>
      <c r="AN103" s="3">
        <v>176.2</v>
      </c>
      <c r="AO103" s="3">
        <v>144.4</v>
      </c>
      <c r="AP103" s="3">
        <v>155</v>
      </c>
      <c r="AQ103" s="3">
        <v>168.5</v>
      </c>
      <c r="AR103" s="3">
        <v>146.5</v>
      </c>
      <c r="AS103" s="3">
        <v>181.5</v>
      </c>
      <c r="AT103" s="3">
        <v>170.4</v>
      </c>
      <c r="AU103" s="3">
        <v>202.4</v>
      </c>
      <c r="AV103" s="3">
        <v>179.4</v>
      </c>
      <c r="AW103" s="3">
        <v>100.9</v>
      </c>
      <c r="AX103" s="3">
        <v>135</v>
      </c>
      <c r="AY103" s="3">
        <v>235.7</v>
      </c>
      <c r="AZ103" s="3">
        <v>154.80000000000001</v>
      </c>
      <c r="BA103" s="3">
        <v>146.5</v>
      </c>
      <c r="BB103" s="3">
        <v>200</v>
      </c>
      <c r="BC103" s="3">
        <v>123.4</v>
      </c>
      <c r="BD103" s="3">
        <v>147.4</v>
      </c>
      <c r="BE103" s="3">
        <v>124.4</v>
      </c>
      <c r="BF103" s="3">
        <v>111.6</v>
      </c>
      <c r="BG103" s="3">
        <v>134.30000000000001</v>
      </c>
      <c r="BH103" s="3">
        <v>131</v>
      </c>
      <c r="BI103" s="3">
        <v>106.9</v>
      </c>
      <c r="BJ103" s="3">
        <v>137.9</v>
      </c>
      <c r="BK103" s="3">
        <v>155.1</v>
      </c>
      <c r="BL103" s="3">
        <v>134.80000000000001</v>
      </c>
      <c r="BM103" s="3">
        <v>146.30000000000001</v>
      </c>
      <c r="BN103" s="3">
        <v>111.7</v>
      </c>
      <c r="BO103" s="3">
        <v>167.9</v>
      </c>
      <c r="BP103" s="3">
        <v>159.6</v>
      </c>
      <c r="BQ103" s="3">
        <v>121.1</v>
      </c>
      <c r="BR103" s="3">
        <v>107.3</v>
      </c>
      <c r="BS103" s="3">
        <v>121.5</v>
      </c>
      <c r="BT103" s="3">
        <v>145.6</v>
      </c>
      <c r="BU103" s="3">
        <v>128</v>
      </c>
      <c r="BV103" s="3">
        <v>117.7</v>
      </c>
      <c r="BW103" s="3">
        <v>164.3</v>
      </c>
      <c r="BX103" s="3">
        <v>198.7</v>
      </c>
      <c r="BY103" s="3">
        <v>136</v>
      </c>
      <c r="BZ103" s="3">
        <v>169.2</v>
      </c>
      <c r="CA103" s="3">
        <v>158.4</v>
      </c>
      <c r="CB103" s="3">
        <v>193.2</v>
      </c>
      <c r="CC103" s="3">
        <v>177</v>
      </c>
      <c r="CD103" s="3">
        <v>170.3</v>
      </c>
      <c r="CE103" s="3">
        <v>141.5</v>
      </c>
      <c r="CF103" s="3">
        <v>72.7</v>
      </c>
      <c r="CG103" s="3">
        <v>116.1</v>
      </c>
      <c r="CH103" s="3">
        <v>121.1</v>
      </c>
      <c r="CI103" s="3">
        <v>164.1</v>
      </c>
      <c r="CJ103" s="3">
        <v>142.6</v>
      </c>
      <c r="CK103" s="3">
        <v>121.9</v>
      </c>
      <c r="CL103" s="3">
        <v>203.3</v>
      </c>
      <c r="CM103" s="3">
        <v>104.8</v>
      </c>
      <c r="CN103" s="3">
        <v>102.3</v>
      </c>
    </row>
    <row r="104" spans="1:92" x14ac:dyDescent="0.25">
      <c r="A104" s="4">
        <v>34881</v>
      </c>
      <c r="B104" s="3">
        <v>137.5</v>
      </c>
      <c r="C104" s="3">
        <v>141.80000000000001</v>
      </c>
      <c r="D104" s="3">
        <v>146.4</v>
      </c>
      <c r="E104" s="3">
        <v>133.5</v>
      </c>
      <c r="F104" s="3">
        <v>126.9</v>
      </c>
      <c r="G104" s="3">
        <v>134.69999999999999</v>
      </c>
      <c r="H104" s="3">
        <v>127.7</v>
      </c>
      <c r="I104" s="3">
        <v>135</v>
      </c>
      <c r="J104" s="3">
        <v>109.5</v>
      </c>
      <c r="K104" s="3">
        <v>125.9</v>
      </c>
      <c r="L104" s="3">
        <v>123.1</v>
      </c>
      <c r="M104" s="3">
        <v>124.1</v>
      </c>
      <c r="N104" s="3">
        <v>121.5</v>
      </c>
      <c r="O104" s="3">
        <v>158.30000000000001</v>
      </c>
      <c r="P104" s="3">
        <v>133.5</v>
      </c>
      <c r="Q104" s="3">
        <v>155.5</v>
      </c>
      <c r="R104" s="3">
        <v>131.4</v>
      </c>
      <c r="S104" s="3">
        <v>150.80000000000001</v>
      </c>
      <c r="T104" s="3">
        <v>148</v>
      </c>
      <c r="U104" s="3">
        <v>145.5</v>
      </c>
      <c r="V104" s="3">
        <v>123.8</v>
      </c>
      <c r="W104" s="3">
        <v>162.4</v>
      </c>
      <c r="X104" s="3">
        <v>152.80000000000001</v>
      </c>
      <c r="Y104" s="3">
        <v>137.9</v>
      </c>
      <c r="Z104" s="3">
        <v>136.5</v>
      </c>
      <c r="AA104" s="3">
        <v>99.3</v>
      </c>
      <c r="AB104" s="3">
        <v>158.5</v>
      </c>
      <c r="AC104" s="3">
        <v>116.2</v>
      </c>
      <c r="AD104" s="3">
        <v>107</v>
      </c>
      <c r="AE104" s="3">
        <v>138.19999999999999</v>
      </c>
      <c r="AF104" s="3">
        <v>127.6</v>
      </c>
      <c r="AG104" s="3">
        <v>125.6</v>
      </c>
      <c r="AH104" s="3">
        <v>126.4</v>
      </c>
      <c r="AI104" s="3">
        <v>138.80000000000001</v>
      </c>
      <c r="AJ104" s="3">
        <v>167.1</v>
      </c>
      <c r="AK104" s="3">
        <v>180</v>
      </c>
      <c r="AL104" s="3">
        <v>167.8</v>
      </c>
      <c r="AM104" s="3">
        <v>173.1</v>
      </c>
      <c r="AN104" s="3">
        <v>177.3</v>
      </c>
      <c r="AO104" s="3">
        <v>145.30000000000001</v>
      </c>
      <c r="AP104" s="3">
        <v>155.4</v>
      </c>
      <c r="AQ104" s="3">
        <v>169.2</v>
      </c>
      <c r="AR104" s="3">
        <v>146.80000000000001</v>
      </c>
      <c r="AS104" s="3">
        <v>181.6</v>
      </c>
      <c r="AT104" s="3">
        <v>170.4</v>
      </c>
      <c r="AU104" s="3">
        <v>202.5</v>
      </c>
      <c r="AV104" s="3">
        <v>180</v>
      </c>
      <c r="AW104" s="3">
        <v>99.6</v>
      </c>
      <c r="AX104" s="3">
        <v>134.6</v>
      </c>
      <c r="AY104" s="3">
        <v>234.8</v>
      </c>
      <c r="AZ104" s="3">
        <v>155.19999999999999</v>
      </c>
      <c r="BA104" s="3">
        <v>145.5</v>
      </c>
      <c r="BB104" s="3">
        <v>197</v>
      </c>
      <c r="BC104" s="3">
        <v>123.2</v>
      </c>
      <c r="BD104" s="3">
        <v>147.69999999999999</v>
      </c>
      <c r="BE104" s="3">
        <v>124.4</v>
      </c>
      <c r="BF104" s="3">
        <v>111.4</v>
      </c>
      <c r="BG104" s="3">
        <v>130.69999999999999</v>
      </c>
      <c r="BH104" s="3">
        <v>127.8</v>
      </c>
      <c r="BI104" s="3">
        <v>105.4</v>
      </c>
      <c r="BJ104" s="3">
        <v>137.30000000000001</v>
      </c>
      <c r="BK104" s="3">
        <v>155.69999999999999</v>
      </c>
      <c r="BL104" s="3">
        <v>136.4</v>
      </c>
      <c r="BM104" s="3">
        <v>146.30000000000001</v>
      </c>
      <c r="BN104" s="3">
        <v>108</v>
      </c>
      <c r="BO104" s="3">
        <v>168.5</v>
      </c>
      <c r="BP104" s="3">
        <v>158.1</v>
      </c>
      <c r="BQ104" s="3">
        <v>114.8</v>
      </c>
      <c r="BR104" s="3">
        <v>100.4</v>
      </c>
      <c r="BS104" s="3">
        <v>115.6</v>
      </c>
      <c r="BT104" s="3">
        <v>142.9</v>
      </c>
      <c r="BU104" s="3">
        <v>124.6</v>
      </c>
      <c r="BV104" s="3">
        <v>117.4</v>
      </c>
      <c r="BW104" s="3">
        <v>164.8</v>
      </c>
      <c r="BX104" s="3">
        <v>200.3</v>
      </c>
      <c r="BY104" s="3">
        <v>135.69999999999999</v>
      </c>
      <c r="BZ104" s="3">
        <v>169.8</v>
      </c>
      <c r="CA104" s="3">
        <v>158.69999999999999</v>
      </c>
      <c r="CB104" s="3">
        <v>192.6</v>
      </c>
      <c r="CC104" s="3">
        <v>177</v>
      </c>
      <c r="CD104" s="3">
        <v>171.1</v>
      </c>
      <c r="CE104" s="3">
        <v>142.19999999999999</v>
      </c>
      <c r="CF104" s="3">
        <v>71.599999999999994</v>
      </c>
      <c r="CG104" s="3">
        <v>115.3</v>
      </c>
      <c r="CH104" s="3">
        <v>119.9</v>
      </c>
      <c r="CI104" s="3">
        <v>166.4</v>
      </c>
      <c r="CJ104" s="3">
        <v>142</v>
      </c>
      <c r="CK104" s="3">
        <v>121.6</v>
      </c>
      <c r="CL104" s="3">
        <v>203.5</v>
      </c>
      <c r="CM104" s="3">
        <v>105.7</v>
      </c>
      <c r="CN104" s="3">
        <v>102.8</v>
      </c>
    </row>
    <row r="105" spans="1:92" x14ac:dyDescent="0.25">
      <c r="A105" s="4">
        <v>34912</v>
      </c>
      <c r="B105" s="3">
        <v>138</v>
      </c>
      <c r="C105" s="3">
        <v>141.5</v>
      </c>
      <c r="D105" s="3">
        <v>145.19999999999999</v>
      </c>
      <c r="E105" s="3">
        <v>134.1</v>
      </c>
      <c r="F105" s="3">
        <v>123.8</v>
      </c>
      <c r="G105" s="3">
        <v>129.5</v>
      </c>
      <c r="H105" s="3">
        <v>127.1</v>
      </c>
      <c r="I105" s="3">
        <v>135</v>
      </c>
      <c r="J105" s="3">
        <v>109.6</v>
      </c>
      <c r="K105" s="3">
        <v>127.2</v>
      </c>
      <c r="L105" s="3">
        <v>123.7</v>
      </c>
      <c r="M105" s="3">
        <v>124.7</v>
      </c>
      <c r="N105" s="3">
        <v>122.1</v>
      </c>
      <c r="O105" s="3">
        <v>157.69999999999999</v>
      </c>
      <c r="P105" s="3">
        <v>133.9</v>
      </c>
      <c r="Q105" s="3">
        <v>156.4</v>
      </c>
      <c r="R105" s="3">
        <v>133.69999999999999</v>
      </c>
      <c r="S105" s="3">
        <v>150.69999999999999</v>
      </c>
      <c r="T105" s="3">
        <v>147.5</v>
      </c>
      <c r="U105" s="3">
        <v>145.9</v>
      </c>
      <c r="V105" s="3">
        <v>124.4</v>
      </c>
      <c r="W105" s="3">
        <v>163.30000000000001</v>
      </c>
      <c r="X105" s="3">
        <v>152.6</v>
      </c>
      <c r="Y105" s="3">
        <v>137.9</v>
      </c>
      <c r="Z105" s="3">
        <v>177.3</v>
      </c>
      <c r="AA105" s="3">
        <v>210.7</v>
      </c>
      <c r="AB105" s="3">
        <v>157.69999999999999</v>
      </c>
      <c r="AC105" s="3">
        <v>120.8</v>
      </c>
      <c r="AD105" s="3">
        <v>113.5</v>
      </c>
      <c r="AE105" s="3">
        <v>137.30000000000001</v>
      </c>
      <c r="AF105" s="3">
        <v>134.5</v>
      </c>
      <c r="AG105" s="3">
        <v>133.4</v>
      </c>
      <c r="AH105" s="3">
        <v>126.7</v>
      </c>
      <c r="AI105" s="3">
        <v>140</v>
      </c>
      <c r="AJ105" s="3">
        <v>167.7</v>
      </c>
      <c r="AK105" s="3">
        <v>181</v>
      </c>
      <c r="AL105" s="3">
        <v>168</v>
      </c>
      <c r="AM105" s="3">
        <v>173.2</v>
      </c>
      <c r="AN105" s="3">
        <v>177.7</v>
      </c>
      <c r="AO105" s="3">
        <v>144.19999999999999</v>
      </c>
      <c r="AP105" s="3">
        <v>155.1</v>
      </c>
      <c r="AQ105" s="3">
        <v>169.5</v>
      </c>
      <c r="AR105" s="3">
        <v>146.30000000000001</v>
      </c>
      <c r="AS105" s="3">
        <v>181.5</v>
      </c>
      <c r="AT105" s="3">
        <v>170.2</v>
      </c>
      <c r="AU105" s="3">
        <v>202.9</v>
      </c>
      <c r="AV105" s="3">
        <v>180.6</v>
      </c>
      <c r="AW105" s="3">
        <v>100</v>
      </c>
      <c r="AX105" s="3">
        <v>134.6</v>
      </c>
      <c r="AY105" s="3">
        <v>234.8</v>
      </c>
      <c r="AZ105" s="3">
        <v>155.6</v>
      </c>
      <c r="BA105" s="3">
        <v>146.80000000000001</v>
      </c>
      <c r="BB105" s="3">
        <v>197.1</v>
      </c>
      <c r="BC105" s="3">
        <v>122.9</v>
      </c>
      <c r="BD105" s="3">
        <v>147.69999999999999</v>
      </c>
      <c r="BE105" s="3">
        <v>124.4</v>
      </c>
      <c r="BF105" s="3">
        <v>111.4</v>
      </c>
      <c r="BG105" s="3">
        <v>133.69999999999999</v>
      </c>
      <c r="BH105" s="3">
        <v>130.19999999999999</v>
      </c>
      <c r="BI105" s="3">
        <v>106.3</v>
      </c>
      <c r="BJ105" s="3">
        <v>137.9</v>
      </c>
      <c r="BK105" s="3">
        <v>156.5</v>
      </c>
      <c r="BL105" s="3">
        <v>136.30000000000001</v>
      </c>
      <c r="BM105" s="3">
        <v>146.30000000000001</v>
      </c>
      <c r="BN105" s="3">
        <v>108</v>
      </c>
      <c r="BO105" s="3">
        <v>169.3</v>
      </c>
      <c r="BP105" s="3">
        <v>158.19999999999999</v>
      </c>
      <c r="BQ105" s="3">
        <v>117.1</v>
      </c>
      <c r="BR105" s="3">
        <v>102.3</v>
      </c>
      <c r="BS105" s="3">
        <v>117.8</v>
      </c>
      <c r="BT105" s="3">
        <v>144.80000000000001</v>
      </c>
      <c r="BU105" s="3">
        <v>125.1</v>
      </c>
      <c r="BV105" s="3">
        <v>118.3</v>
      </c>
      <c r="BW105" s="3">
        <v>165.5</v>
      </c>
      <c r="BX105" s="3">
        <v>201.1</v>
      </c>
      <c r="BY105" s="3">
        <v>134.9</v>
      </c>
      <c r="BZ105" s="3">
        <v>170.5</v>
      </c>
      <c r="CA105" s="3">
        <v>158</v>
      </c>
      <c r="CB105" s="3">
        <v>192.6</v>
      </c>
      <c r="CC105" s="3">
        <v>177</v>
      </c>
      <c r="CD105" s="3">
        <v>171.2</v>
      </c>
      <c r="CE105" s="3">
        <v>142.69999999999999</v>
      </c>
      <c r="CF105" s="3">
        <v>72.2</v>
      </c>
      <c r="CG105" s="3">
        <v>114.2</v>
      </c>
      <c r="CH105" s="3">
        <v>120.2</v>
      </c>
      <c r="CI105" s="3">
        <v>167.5</v>
      </c>
      <c r="CJ105" s="3">
        <v>141.9</v>
      </c>
      <c r="CK105" s="3">
        <v>121.6</v>
      </c>
      <c r="CL105" s="3">
        <v>204</v>
      </c>
      <c r="CM105" s="3">
        <v>106.8</v>
      </c>
      <c r="CN105" s="3">
        <v>103.2</v>
      </c>
    </row>
    <row r="106" spans="1:92" x14ac:dyDescent="0.25">
      <c r="A106" s="4">
        <v>34943</v>
      </c>
      <c r="B106" s="3">
        <v>137.4</v>
      </c>
      <c r="C106" s="3">
        <v>141.9</v>
      </c>
      <c r="D106" s="3">
        <v>146.1</v>
      </c>
      <c r="E106" s="3">
        <v>134</v>
      </c>
      <c r="F106" s="3">
        <v>123.5</v>
      </c>
      <c r="G106" s="3">
        <v>132.6</v>
      </c>
      <c r="H106" s="3">
        <v>130.1</v>
      </c>
      <c r="I106" s="3">
        <v>139.80000000000001</v>
      </c>
      <c r="J106" s="3">
        <v>109.6</v>
      </c>
      <c r="K106" s="3">
        <v>127.4</v>
      </c>
      <c r="L106" s="3">
        <v>123.8</v>
      </c>
      <c r="M106" s="3">
        <v>124.7</v>
      </c>
      <c r="N106" s="3">
        <v>122.3</v>
      </c>
      <c r="O106" s="3">
        <v>158.6</v>
      </c>
      <c r="P106" s="3">
        <v>133.80000000000001</v>
      </c>
      <c r="Q106" s="3">
        <v>155.19999999999999</v>
      </c>
      <c r="R106" s="3">
        <v>135.6</v>
      </c>
      <c r="S106" s="3">
        <v>150.6</v>
      </c>
      <c r="T106" s="3">
        <v>148.1</v>
      </c>
      <c r="U106" s="3">
        <v>145.30000000000001</v>
      </c>
      <c r="V106" s="3">
        <v>124.5</v>
      </c>
      <c r="W106" s="3">
        <v>165.9</v>
      </c>
      <c r="X106" s="3">
        <v>152.6</v>
      </c>
      <c r="Y106" s="3">
        <v>138.19999999999999</v>
      </c>
      <c r="Z106" s="3">
        <v>175.3</v>
      </c>
      <c r="AA106" s="3">
        <v>203.8</v>
      </c>
      <c r="AB106" s="3">
        <v>158.6</v>
      </c>
      <c r="AC106" s="3">
        <v>124.9</v>
      </c>
      <c r="AD106" s="3">
        <v>118.1</v>
      </c>
      <c r="AE106" s="3">
        <v>139.6</v>
      </c>
      <c r="AF106" s="3">
        <v>129.30000000000001</v>
      </c>
      <c r="AG106" s="3">
        <v>127.6</v>
      </c>
      <c r="AH106" s="3">
        <v>126.4</v>
      </c>
      <c r="AI106" s="3">
        <v>140.30000000000001</v>
      </c>
      <c r="AJ106" s="3">
        <v>168.1</v>
      </c>
      <c r="AK106" s="3">
        <v>183</v>
      </c>
      <c r="AL106" s="3">
        <v>168.4</v>
      </c>
      <c r="AM106" s="3">
        <v>173.6</v>
      </c>
      <c r="AN106" s="3">
        <v>178.1</v>
      </c>
      <c r="AO106" s="3">
        <v>145</v>
      </c>
      <c r="AP106" s="3">
        <v>155.6</v>
      </c>
      <c r="AQ106" s="3">
        <v>169.8</v>
      </c>
      <c r="AR106" s="3">
        <v>146.69999999999999</v>
      </c>
      <c r="AS106" s="3">
        <v>181.5</v>
      </c>
      <c r="AT106" s="3">
        <v>170.1</v>
      </c>
      <c r="AU106" s="3">
        <v>203</v>
      </c>
      <c r="AV106" s="3">
        <v>181.1</v>
      </c>
      <c r="AW106" s="3">
        <v>100.3</v>
      </c>
      <c r="AX106" s="3">
        <v>134.6</v>
      </c>
      <c r="AY106" s="3">
        <v>234.8</v>
      </c>
      <c r="AZ106" s="3">
        <v>156.1</v>
      </c>
      <c r="BA106" s="3">
        <v>147.30000000000001</v>
      </c>
      <c r="BB106" s="3">
        <v>197.2</v>
      </c>
      <c r="BC106" s="3">
        <v>126.5</v>
      </c>
      <c r="BD106" s="3">
        <v>147.69999999999999</v>
      </c>
      <c r="BE106" s="3">
        <v>124.4</v>
      </c>
      <c r="BF106" s="3">
        <v>113.5</v>
      </c>
      <c r="BG106" s="3">
        <v>135.1</v>
      </c>
      <c r="BH106" s="3">
        <v>133.4</v>
      </c>
      <c r="BI106" s="3">
        <v>110.1</v>
      </c>
      <c r="BJ106" s="3">
        <v>135.4</v>
      </c>
      <c r="BK106" s="3">
        <v>156.9</v>
      </c>
      <c r="BL106" s="3">
        <v>136.69999999999999</v>
      </c>
      <c r="BM106" s="3">
        <v>146.30000000000001</v>
      </c>
      <c r="BN106" s="3">
        <v>108</v>
      </c>
      <c r="BO106" s="3">
        <v>169.7</v>
      </c>
      <c r="BP106" s="3">
        <v>158.30000000000001</v>
      </c>
      <c r="BQ106" s="3">
        <v>122</v>
      </c>
      <c r="BR106" s="3">
        <v>109.5</v>
      </c>
      <c r="BS106" s="3">
        <v>119.8</v>
      </c>
      <c r="BT106" s="3">
        <v>146.4</v>
      </c>
      <c r="BU106" s="3">
        <v>127.5</v>
      </c>
      <c r="BV106" s="3">
        <v>119.6</v>
      </c>
      <c r="BW106" s="3">
        <v>166.1</v>
      </c>
      <c r="BX106" s="3">
        <v>201.8</v>
      </c>
      <c r="BY106" s="3">
        <v>134.9</v>
      </c>
      <c r="BZ106" s="3">
        <v>171.2</v>
      </c>
      <c r="CA106" s="3">
        <v>156.1</v>
      </c>
      <c r="CB106" s="3">
        <v>192.6</v>
      </c>
      <c r="CC106" s="3">
        <v>177.1</v>
      </c>
      <c r="CD106" s="3">
        <v>171.3</v>
      </c>
      <c r="CE106" s="3">
        <v>142.30000000000001</v>
      </c>
      <c r="CF106" s="3">
        <v>72.3</v>
      </c>
      <c r="CG106" s="3">
        <v>115.3</v>
      </c>
      <c r="CH106" s="3">
        <v>120.1</v>
      </c>
      <c r="CI106" s="3">
        <v>167.8</v>
      </c>
      <c r="CJ106" s="3">
        <v>141.6</v>
      </c>
      <c r="CK106" s="3">
        <v>121.7</v>
      </c>
      <c r="CL106" s="3">
        <v>206.5</v>
      </c>
      <c r="CM106" s="3">
        <v>107.6</v>
      </c>
      <c r="CN106" s="3">
        <v>103.7</v>
      </c>
    </row>
    <row r="107" spans="1:92" x14ac:dyDescent="0.25">
      <c r="A107" s="4">
        <v>34973</v>
      </c>
      <c r="B107" s="3">
        <v>137.69999999999999</v>
      </c>
      <c r="C107" s="3">
        <v>141.80000000000001</v>
      </c>
      <c r="D107" s="3">
        <v>148.19999999999999</v>
      </c>
      <c r="E107" s="3">
        <v>136.5</v>
      </c>
      <c r="F107" s="3">
        <v>127</v>
      </c>
      <c r="G107" s="3">
        <v>133.1</v>
      </c>
      <c r="H107" s="3">
        <v>133.4</v>
      </c>
      <c r="I107" s="3">
        <v>142.80000000000001</v>
      </c>
      <c r="J107" s="3">
        <v>102.5</v>
      </c>
      <c r="K107" s="3">
        <v>127.7</v>
      </c>
      <c r="L107" s="3">
        <v>123.4</v>
      </c>
      <c r="M107" s="3">
        <v>124.8</v>
      </c>
      <c r="N107" s="3">
        <v>121.3</v>
      </c>
      <c r="O107" s="3">
        <v>159</v>
      </c>
      <c r="P107" s="3">
        <v>133.9</v>
      </c>
      <c r="Q107" s="3">
        <v>158.9</v>
      </c>
      <c r="R107" s="3">
        <v>135.5</v>
      </c>
      <c r="S107" s="3">
        <v>150.69999999999999</v>
      </c>
      <c r="T107" s="3">
        <v>146.80000000000001</v>
      </c>
      <c r="U107" s="3">
        <v>145.6</v>
      </c>
      <c r="V107" s="3">
        <v>123.8</v>
      </c>
      <c r="W107" s="3">
        <v>166.6</v>
      </c>
      <c r="X107" s="3">
        <v>153.1</v>
      </c>
      <c r="Y107" s="3">
        <v>138.69999999999999</v>
      </c>
      <c r="Z107" s="3">
        <v>175.4</v>
      </c>
      <c r="AA107" s="3">
        <v>206.9</v>
      </c>
      <c r="AB107" s="3">
        <v>157</v>
      </c>
      <c r="AC107" s="3">
        <v>111.6</v>
      </c>
      <c r="AD107" s="3">
        <v>99</v>
      </c>
      <c r="AE107" s="3">
        <v>144.19999999999999</v>
      </c>
      <c r="AF107" s="3">
        <v>121.1</v>
      </c>
      <c r="AG107" s="3">
        <v>118.4</v>
      </c>
      <c r="AH107" s="3">
        <v>125</v>
      </c>
      <c r="AI107" s="3">
        <v>138.69999999999999</v>
      </c>
      <c r="AJ107" s="3">
        <v>168.7</v>
      </c>
      <c r="AK107" s="3">
        <v>183.8</v>
      </c>
      <c r="AL107" s="3">
        <v>168.8</v>
      </c>
      <c r="AM107" s="3">
        <v>174.1</v>
      </c>
      <c r="AN107" s="3">
        <v>178.4</v>
      </c>
      <c r="AO107" s="3">
        <v>146.30000000000001</v>
      </c>
      <c r="AP107" s="3">
        <v>156.80000000000001</v>
      </c>
      <c r="AQ107" s="3">
        <v>170.1</v>
      </c>
      <c r="AR107" s="3">
        <v>148.30000000000001</v>
      </c>
      <c r="AS107" s="3">
        <v>181.4</v>
      </c>
      <c r="AT107" s="3">
        <v>170.2</v>
      </c>
      <c r="AU107" s="3">
        <v>203.4</v>
      </c>
      <c r="AV107" s="3">
        <v>173.9</v>
      </c>
      <c r="AW107" s="3">
        <v>99.2</v>
      </c>
      <c r="AX107" s="3">
        <v>134.6</v>
      </c>
      <c r="AY107" s="3">
        <v>234.8</v>
      </c>
      <c r="AZ107" s="3">
        <v>158.9</v>
      </c>
      <c r="BA107" s="3">
        <v>148.4</v>
      </c>
      <c r="BB107" s="3">
        <v>184.7</v>
      </c>
      <c r="BC107" s="3">
        <v>127.7</v>
      </c>
      <c r="BD107" s="3">
        <v>147.6</v>
      </c>
      <c r="BE107" s="3">
        <v>124.4</v>
      </c>
      <c r="BF107" s="3">
        <v>111.9</v>
      </c>
      <c r="BG107" s="3">
        <v>134.80000000000001</v>
      </c>
      <c r="BH107" s="3">
        <v>134</v>
      </c>
      <c r="BI107" s="3">
        <v>107.6</v>
      </c>
      <c r="BJ107" s="3">
        <v>134.80000000000001</v>
      </c>
      <c r="BK107" s="3">
        <v>157.69999999999999</v>
      </c>
      <c r="BL107" s="3">
        <v>137.30000000000001</v>
      </c>
      <c r="BM107" s="3">
        <v>146.30000000000001</v>
      </c>
      <c r="BN107" s="3">
        <v>108</v>
      </c>
      <c r="BO107" s="3">
        <v>170.2</v>
      </c>
      <c r="BP107" s="3">
        <v>157</v>
      </c>
      <c r="BQ107" s="3">
        <v>121.1</v>
      </c>
      <c r="BR107" s="3">
        <v>109.1</v>
      </c>
      <c r="BS107" s="3">
        <v>120</v>
      </c>
      <c r="BT107" s="3">
        <v>146.30000000000001</v>
      </c>
      <c r="BU107" s="3">
        <v>128</v>
      </c>
      <c r="BV107" s="3">
        <v>118.9</v>
      </c>
      <c r="BW107" s="3">
        <v>166.9</v>
      </c>
      <c r="BX107" s="3">
        <v>203.7</v>
      </c>
      <c r="BY107" s="3">
        <v>133.19999999999999</v>
      </c>
      <c r="BZ107" s="3">
        <v>171.5</v>
      </c>
      <c r="CA107" s="3">
        <v>153.9</v>
      </c>
      <c r="CB107" s="3">
        <v>187.3</v>
      </c>
      <c r="CC107" s="3">
        <v>177.1</v>
      </c>
      <c r="CD107" s="3">
        <v>172</v>
      </c>
      <c r="CE107" s="3">
        <v>141.5</v>
      </c>
      <c r="CF107" s="3">
        <v>71.3</v>
      </c>
      <c r="CG107" s="3">
        <v>116.8</v>
      </c>
      <c r="CH107" s="3">
        <v>120.2</v>
      </c>
      <c r="CI107" s="3">
        <v>169.2</v>
      </c>
      <c r="CJ107" s="3">
        <v>141.6</v>
      </c>
      <c r="CK107" s="3">
        <v>119.8</v>
      </c>
      <c r="CL107" s="3">
        <v>206.8</v>
      </c>
      <c r="CM107" s="3">
        <v>107.7</v>
      </c>
      <c r="CN107" s="3">
        <v>103.7</v>
      </c>
    </row>
    <row r="108" spans="1:92" x14ac:dyDescent="0.25">
      <c r="A108" s="4">
        <v>35004</v>
      </c>
      <c r="B108" s="3">
        <v>137.4</v>
      </c>
      <c r="C108" s="3">
        <v>141.9</v>
      </c>
      <c r="D108" s="3">
        <v>148.69999999999999</v>
      </c>
      <c r="E108" s="3">
        <v>137</v>
      </c>
      <c r="F108" s="3">
        <v>129.19999999999999</v>
      </c>
      <c r="G108" s="3">
        <v>137.30000000000001</v>
      </c>
      <c r="H108" s="3">
        <v>131.6</v>
      </c>
      <c r="I108" s="3">
        <v>143.19999999999999</v>
      </c>
      <c r="J108" s="3">
        <v>102.4</v>
      </c>
      <c r="K108" s="3">
        <v>127.7</v>
      </c>
      <c r="L108" s="3">
        <v>124.4</v>
      </c>
      <c r="M108" s="3">
        <v>125.5</v>
      </c>
      <c r="N108" s="3">
        <v>122.6</v>
      </c>
      <c r="O108" s="3">
        <v>159</v>
      </c>
      <c r="P108" s="3">
        <v>133.4</v>
      </c>
      <c r="Q108" s="3">
        <v>159.6</v>
      </c>
      <c r="R108" s="3">
        <v>137.9</v>
      </c>
      <c r="S108" s="3">
        <v>151</v>
      </c>
      <c r="T108" s="3">
        <v>145.6</v>
      </c>
      <c r="U108" s="3">
        <v>146</v>
      </c>
      <c r="V108" s="3">
        <v>123.7</v>
      </c>
      <c r="W108" s="3">
        <v>166.8</v>
      </c>
      <c r="X108" s="3">
        <v>153.19999999999999</v>
      </c>
      <c r="Y108" s="3">
        <v>138.69999999999999</v>
      </c>
      <c r="Z108" s="3">
        <v>173.2</v>
      </c>
      <c r="AA108" s="3">
        <v>194.3</v>
      </c>
      <c r="AB108" s="3">
        <v>160.9</v>
      </c>
      <c r="AC108" s="3">
        <v>111.6</v>
      </c>
      <c r="AD108" s="3">
        <v>98.4</v>
      </c>
      <c r="AE108" s="3">
        <v>145.9</v>
      </c>
      <c r="AF108" s="3">
        <v>121.6</v>
      </c>
      <c r="AG108" s="3">
        <v>119</v>
      </c>
      <c r="AH108" s="3">
        <v>125.6</v>
      </c>
      <c r="AI108" s="3">
        <v>139.5</v>
      </c>
      <c r="AJ108" s="3">
        <v>169.4</v>
      </c>
      <c r="AK108" s="3">
        <v>184.3</v>
      </c>
      <c r="AL108" s="3">
        <v>169</v>
      </c>
      <c r="AM108" s="3">
        <v>173.7</v>
      </c>
      <c r="AN108" s="3">
        <v>178.6</v>
      </c>
      <c r="AO108" s="3">
        <v>143.4</v>
      </c>
      <c r="AP108" s="3">
        <v>155.1</v>
      </c>
      <c r="AQ108" s="3">
        <v>170.4</v>
      </c>
      <c r="AR108" s="3">
        <v>145.9</v>
      </c>
      <c r="AS108" s="3">
        <v>181.4</v>
      </c>
      <c r="AT108" s="3">
        <v>170.2</v>
      </c>
      <c r="AU108" s="3">
        <v>203.5</v>
      </c>
      <c r="AV108" s="3">
        <v>173.4</v>
      </c>
      <c r="AW108" s="3">
        <v>100.2</v>
      </c>
      <c r="AX108" s="3">
        <v>134.6</v>
      </c>
      <c r="AY108" s="3">
        <v>234.8</v>
      </c>
      <c r="AZ108" s="3">
        <v>159.19999999999999</v>
      </c>
      <c r="BA108" s="3">
        <v>148.9</v>
      </c>
      <c r="BB108" s="3">
        <v>185</v>
      </c>
      <c r="BC108" s="3">
        <v>127.7</v>
      </c>
      <c r="BD108" s="3">
        <v>147.5</v>
      </c>
      <c r="BE108" s="3">
        <v>124.4</v>
      </c>
      <c r="BF108" s="3">
        <v>112.8</v>
      </c>
      <c r="BG108" s="3">
        <v>136.80000000000001</v>
      </c>
      <c r="BH108" s="3">
        <v>137.80000000000001</v>
      </c>
      <c r="BI108" s="3">
        <v>107.7</v>
      </c>
      <c r="BJ108" s="3">
        <v>136.1</v>
      </c>
      <c r="BK108" s="3">
        <v>156.80000000000001</v>
      </c>
      <c r="BL108" s="3">
        <v>136.80000000000001</v>
      </c>
      <c r="BM108" s="3">
        <v>146.30000000000001</v>
      </c>
      <c r="BN108" s="3">
        <v>108</v>
      </c>
      <c r="BO108" s="3">
        <v>170.8</v>
      </c>
      <c r="BP108" s="3">
        <v>157</v>
      </c>
      <c r="BQ108" s="3">
        <v>122.3</v>
      </c>
      <c r="BR108" s="3">
        <v>109.6</v>
      </c>
      <c r="BS108" s="3">
        <v>120.3</v>
      </c>
      <c r="BT108" s="3">
        <v>146.9</v>
      </c>
      <c r="BU108" s="3">
        <v>128.5</v>
      </c>
      <c r="BV108" s="3">
        <v>119.3</v>
      </c>
      <c r="BW108" s="3">
        <v>167.3</v>
      </c>
      <c r="BX108" s="3">
        <v>204.3</v>
      </c>
      <c r="BY108" s="3">
        <v>131.69999999999999</v>
      </c>
      <c r="BZ108" s="3">
        <v>171.8</v>
      </c>
      <c r="CA108" s="3">
        <v>151.80000000000001</v>
      </c>
      <c r="CB108" s="3">
        <v>187.3</v>
      </c>
      <c r="CC108" s="3">
        <v>177.1</v>
      </c>
      <c r="CD108" s="3">
        <v>172.2</v>
      </c>
      <c r="CE108" s="3">
        <v>141.4</v>
      </c>
      <c r="CF108" s="3">
        <v>71.099999999999994</v>
      </c>
      <c r="CG108" s="3">
        <v>115.8</v>
      </c>
      <c r="CH108" s="3">
        <v>120</v>
      </c>
      <c r="CI108" s="3">
        <v>170.4</v>
      </c>
      <c r="CJ108" s="3">
        <v>142</v>
      </c>
      <c r="CK108" s="3">
        <v>120.5</v>
      </c>
      <c r="CL108" s="3">
        <v>206.9</v>
      </c>
      <c r="CM108" s="3">
        <v>108</v>
      </c>
      <c r="CN108" s="3">
        <v>103.7</v>
      </c>
    </row>
    <row r="109" spans="1:92" x14ac:dyDescent="0.25">
      <c r="A109" s="4">
        <v>35034</v>
      </c>
      <c r="B109" s="3">
        <v>137.30000000000001</v>
      </c>
      <c r="C109" s="3">
        <v>141.30000000000001</v>
      </c>
      <c r="D109" s="3">
        <v>149.30000000000001</v>
      </c>
      <c r="E109" s="3">
        <v>135</v>
      </c>
      <c r="F109" s="3">
        <v>129.9</v>
      </c>
      <c r="G109" s="3">
        <v>141.30000000000001</v>
      </c>
      <c r="H109" s="3">
        <v>134.6</v>
      </c>
      <c r="I109" s="3">
        <v>144.1</v>
      </c>
      <c r="J109" s="3">
        <v>103.7</v>
      </c>
      <c r="K109" s="3">
        <v>128.69999999999999</v>
      </c>
      <c r="L109" s="3">
        <v>124.7</v>
      </c>
      <c r="M109" s="3">
        <v>127.6</v>
      </c>
      <c r="N109" s="3">
        <v>121.1</v>
      </c>
      <c r="O109" s="3">
        <v>163.4</v>
      </c>
      <c r="P109" s="3">
        <v>134.6</v>
      </c>
      <c r="Q109" s="3">
        <v>159.5</v>
      </c>
      <c r="R109" s="3">
        <v>142.1</v>
      </c>
      <c r="S109" s="3">
        <v>152.9</v>
      </c>
      <c r="T109" s="3">
        <v>146.6</v>
      </c>
      <c r="U109" s="3">
        <v>144.69999999999999</v>
      </c>
      <c r="V109" s="3">
        <v>123.7</v>
      </c>
      <c r="W109" s="3">
        <v>166.4</v>
      </c>
      <c r="X109" s="3">
        <v>153.4</v>
      </c>
      <c r="Y109" s="3">
        <v>138.5</v>
      </c>
      <c r="Z109" s="3">
        <v>175.7</v>
      </c>
      <c r="AA109" s="3">
        <v>201.2</v>
      </c>
      <c r="AB109" s="3">
        <v>160.9</v>
      </c>
      <c r="AC109" s="3">
        <v>114.7</v>
      </c>
      <c r="AD109" s="3">
        <v>102.3</v>
      </c>
      <c r="AE109" s="3">
        <v>146.30000000000001</v>
      </c>
      <c r="AF109" s="3">
        <v>127.9</v>
      </c>
      <c r="AG109" s="3">
        <v>126.2</v>
      </c>
      <c r="AH109" s="3">
        <v>125.1</v>
      </c>
      <c r="AI109" s="3">
        <v>140.9</v>
      </c>
      <c r="AJ109" s="3">
        <v>169.9</v>
      </c>
      <c r="AK109" s="3">
        <v>184.6</v>
      </c>
      <c r="AL109" s="3">
        <v>169.4</v>
      </c>
      <c r="AM109" s="3">
        <v>173.5</v>
      </c>
      <c r="AN109" s="3">
        <v>178.7</v>
      </c>
      <c r="AO109" s="3">
        <v>141.69999999999999</v>
      </c>
      <c r="AP109" s="3">
        <v>152.19999999999999</v>
      </c>
      <c r="AQ109" s="3">
        <v>170.5</v>
      </c>
      <c r="AR109" s="3">
        <v>141.80000000000001</v>
      </c>
      <c r="AS109" s="3">
        <v>186</v>
      </c>
      <c r="AT109" s="3">
        <v>172.1</v>
      </c>
      <c r="AU109" s="3">
        <v>203.5</v>
      </c>
      <c r="AV109" s="3">
        <v>173.8</v>
      </c>
      <c r="AW109" s="3">
        <v>99.7</v>
      </c>
      <c r="AX109" s="3">
        <v>134.6</v>
      </c>
      <c r="AY109" s="3">
        <v>234.8</v>
      </c>
      <c r="AZ109" s="3">
        <v>159.30000000000001</v>
      </c>
      <c r="BA109" s="3">
        <v>148.6</v>
      </c>
      <c r="BB109" s="3">
        <v>184.8</v>
      </c>
      <c r="BC109" s="3">
        <v>128.4</v>
      </c>
      <c r="BD109" s="3">
        <v>147.5</v>
      </c>
      <c r="BE109" s="3">
        <v>124.4</v>
      </c>
      <c r="BF109" s="3">
        <v>115.7</v>
      </c>
      <c r="BG109" s="3">
        <v>140.80000000000001</v>
      </c>
      <c r="BH109" s="3">
        <v>139.30000000000001</v>
      </c>
      <c r="BI109" s="3">
        <v>109.7</v>
      </c>
      <c r="BJ109" s="3">
        <v>136.1</v>
      </c>
      <c r="BK109" s="3">
        <v>156.30000000000001</v>
      </c>
      <c r="BL109" s="3">
        <v>137.6</v>
      </c>
      <c r="BM109" s="3">
        <v>146.30000000000001</v>
      </c>
      <c r="BN109" s="3">
        <v>108</v>
      </c>
      <c r="BO109" s="3">
        <v>171.1</v>
      </c>
      <c r="BP109" s="3">
        <v>157</v>
      </c>
      <c r="BQ109" s="3">
        <v>122.7</v>
      </c>
      <c r="BR109" s="3">
        <v>109.8</v>
      </c>
      <c r="BS109" s="3">
        <v>120.5</v>
      </c>
      <c r="BT109" s="3">
        <v>147.69999999999999</v>
      </c>
      <c r="BU109" s="3">
        <v>127.8</v>
      </c>
      <c r="BV109" s="3">
        <v>120</v>
      </c>
      <c r="BW109" s="3">
        <v>166.9</v>
      </c>
      <c r="BX109" s="3">
        <v>204.7</v>
      </c>
      <c r="BY109" s="3">
        <v>131.19999999999999</v>
      </c>
      <c r="BZ109" s="3">
        <v>172</v>
      </c>
      <c r="CA109" s="3">
        <v>162.80000000000001</v>
      </c>
      <c r="CB109" s="3">
        <v>189.4</v>
      </c>
      <c r="CC109" s="3">
        <v>177.1</v>
      </c>
      <c r="CD109" s="3">
        <v>172.2</v>
      </c>
      <c r="CE109" s="3">
        <v>141.4</v>
      </c>
      <c r="CF109" s="3">
        <v>71.900000000000006</v>
      </c>
      <c r="CG109" s="3">
        <v>115.7</v>
      </c>
      <c r="CH109" s="3">
        <v>120.1</v>
      </c>
      <c r="CI109" s="3">
        <v>171.6</v>
      </c>
      <c r="CJ109" s="3">
        <v>143.1</v>
      </c>
      <c r="CK109" s="3">
        <v>120.5</v>
      </c>
      <c r="CL109" s="3">
        <v>206.9</v>
      </c>
      <c r="CM109" s="3">
        <v>108.4</v>
      </c>
      <c r="CN109" s="3">
        <v>103.8</v>
      </c>
    </row>
    <row r="110" spans="1:92" x14ac:dyDescent="0.25">
      <c r="A110" s="4">
        <v>35065</v>
      </c>
      <c r="B110" s="3">
        <v>136.6</v>
      </c>
      <c r="C110" s="3">
        <v>143</v>
      </c>
      <c r="D110" s="3">
        <v>150</v>
      </c>
      <c r="E110" s="3">
        <v>138.6</v>
      </c>
      <c r="F110" s="3">
        <v>132.19999999999999</v>
      </c>
      <c r="G110" s="3">
        <v>147.1</v>
      </c>
      <c r="H110" s="3">
        <v>135.1</v>
      </c>
      <c r="I110" s="3">
        <v>146.4</v>
      </c>
      <c r="J110" s="3">
        <v>104.4</v>
      </c>
      <c r="K110" s="3">
        <v>128.19999999999999</v>
      </c>
      <c r="L110" s="3">
        <v>126.2</v>
      </c>
      <c r="M110" s="3">
        <v>130.1</v>
      </c>
      <c r="N110" s="3">
        <v>121.7</v>
      </c>
      <c r="O110" s="3">
        <v>160.9</v>
      </c>
      <c r="P110" s="3">
        <v>135.69999999999999</v>
      </c>
      <c r="Q110" s="3">
        <v>160.5</v>
      </c>
      <c r="R110" s="3">
        <v>138.30000000000001</v>
      </c>
      <c r="S110" s="3">
        <v>152.80000000000001</v>
      </c>
      <c r="T110" s="3">
        <v>146.69999999999999</v>
      </c>
      <c r="U110" s="3">
        <v>144.30000000000001</v>
      </c>
      <c r="V110" s="3">
        <v>124.2</v>
      </c>
      <c r="W110" s="3">
        <v>166.7</v>
      </c>
      <c r="X110" s="3">
        <v>153.5</v>
      </c>
      <c r="Y110" s="3">
        <v>138.80000000000001</v>
      </c>
      <c r="Z110" s="3">
        <v>173.2</v>
      </c>
      <c r="AA110" s="3">
        <v>193.7</v>
      </c>
      <c r="AB110" s="3">
        <v>161.30000000000001</v>
      </c>
      <c r="AC110" s="3">
        <v>121.8</v>
      </c>
      <c r="AD110" s="3">
        <v>112.2</v>
      </c>
      <c r="AE110" s="3">
        <v>144.69999999999999</v>
      </c>
      <c r="AF110" s="3">
        <v>124.8</v>
      </c>
      <c r="AG110" s="3">
        <v>122.3</v>
      </c>
      <c r="AH110" s="3">
        <v>127.9</v>
      </c>
      <c r="AI110" s="3">
        <v>141</v>
      </c>
      <c r="AJ110" s="3">
        <v>170.2</v>
      </c>
      <c r="AK110" s="3">
        <v>185.5</v>
      </c>
      <c r="AL110" s="3">
        <v>170.1</v>
      </c>
      <c r="AM110" s="3">
        <v>174.4</v>
      </c>
      <c r="AN110" s="3">
        <v>178.8</v>
      </c>
      <c r="AO110" s="3">
        <v>145.9</v>
      </c>
      <c r="AP110" s="3">
        <v>154.5</v>
      </c>
      <c r="AQ110" s="3">
        <v>170.8</v>
      </c>
      <c r="AR110" s="3">
        <v>144.9</v>
      </c>
      <c r="AS110" s="3">
        <v>189.9</v>
      </c>
      <c r="AT110" s="3">
        <v>173.7</v>
      </c>
      <c r="AU110" s="3">
        <v>204.1</v>
      </c>
      <c r="AV110" s="3">
        <v>170.4</v>
      </c>
      <c r="AW110" s="3">
        <v>99</v>
      </c>
      <c r="AX110" s="3">
        <v>134.6</v>
      </c>
      <c r="AY110" s="3">
        <v>234.8</v>
      </c>
      <c r="AZ110" s="3">
        <v>160.30000000000001</v>
      </c>
      <c r="BA110" s="3">
        <v>149.19999999999999</v>
      </c>
      <c r="BB110" s="3">
        <v>183.7</v>
      </c>
      <c r="BC110" s="3">
        <v>128.69999999999999</v>
      </c>
      <c r="BD110" s="3">
        <v>147.4</v>
      </c>
      <c r="BE110" s="3">
        <v>124.4</v>
      </c>
      <c r="BF110" s="3">
        <v>118.6</v>
      </c>
      <c r="BG110" s="3">
        <v>131.5</v>
      </c>
      <c r="BH110" s="3">
        <v>134.5</v>
      </c>
      <c r="BI110" s="3">
        <v>104.2</v>
      </c>
      <c r="BJ110" s="3">
        <v>134.69999999999999</v>
      </c>
      <c r="BK110" s="3">
        <v>157</v>
      </c>
      <c r="BL110" s="3">
        <v>137.69999999999999</v>
      </c>
      <c r="BM110" s="3">
        <v>146.30000000000001</v>
      </c>
      <c r="BN110" s="3">
        <v>108</v>
      </c>
      <c r="BO110" s="3">
        <v>172.2</v>
      </c>
      <c r="BP110" s="3">
        <v>158.9</v>
      </c>
      <c r="BQ110" s="3">
        <v>114.6</v>
      </c>
      <c r="BR110" s="3">
        <v>100.6</v>
      </c>
      <c r="BS110" s="3">
        <v>115</v>
      </c>
      <c r="BT110" s="3">
        <v>144.6</v>
      </c>
      <c r="BU110" s="3">
        <v>123.7</v>
      </c>
      <c r="BV110" s="3">
        <v>117.4</v>
      </c>
      <c r="BW110" s="3">
        <v>165.9</v>
      </c>
      <c r="BX110" s="3">
        <v>205.9</v>
      </c>
      <c r="BY110" s="3">
        <v>133.5</v>
      </c>
      <c r="BZ110" s="3">
        <v>173.7</v>
      </c>
      <c r="CA110" s="3">
        <v>164</v>
      </c>
      <c r="CB110" s="3">
        <v>184.3</v>
      </c>
      <c r="CC110" s="3">
        <v>183</v>
      </c>
      <c r="CD110" s="3">
        <v>174.6</v>
      </c>
      <c r="CE110" s="3">
        <v>140.1</v>
      </c>
      <c r="CF110" s="3">
        <v>70.5</v>
      </c>
      <c r="CG110" s="3">
        <v>115.4</v>
      </c>
      <c r="CH110" s="3">
        <v>119.8</v>
      </c>
      <c r="CI110" s="3">
        <v>172.4</v>
      </c>
      <c r="CJ110" s="3">
        <v>142.9</v>
      </c>
      <c r="CK110" s="3">
        <v>120.9</v>
      </c>
      <c r="CL110" s="3">
        <v>207.8</v>
      </c>
      <c r="CM110" s="3">
        <v>108.7</v>
      </c>
      <c r="CN110" s="3">
        <v>103.8</v>
      </c>
    </row>
    <row r="111" spans="1:92" x14ac:dyDescent="0.25">
      <c r="A111" s="4">
        <v>35096</v>
      </c>
      <c r="B111" s="3">
        <v>139.9</v>
      </c>
      <c r="C111" s="3">
        <v>142.6</v>
      </c>
      <c r="D111" s="3">
        <v>150.5</v>
      </c>
      <c r="E111" s="3">
        <v>137.69999999999999</v>
      </c>
      <c r="F111" s="3">
        <v>133.5</v>
      </c>
      <c r="G111" s="3">
        <v>147.69999999999999</v>
      </c>
      <c r="H111" s="3">
        <v>140.30000000000001</v>
      </c>
      <c r="I111" s="3">
        <v>147.30000000000001</v>
      </c>
      <c r="J111" s="3">
        <v>107.1</v>
      </c>
      <c r="K111" s="3">
        <v>129.80000000000001</v>
      </c>
      <c r="L111" s="3">
        <v>125.6</v>
      </c>
      <c r="M111" s="3">
        <v>128.69999999999999</v>
      </c>
      <c r="N111" s="3">
        <v>122.2</v>
      </c>
      <c r="O111" s="3">
        <v>164.5</v>
      </c>
      <c r="P111" s="3">
        <v>135.1</v>
      </c>
      <c r="Q111" s="3">
        <v>161.1</v>
      </c>
      <c r="R111" s="3">
        <v>143.5</v>
      </c>
      <c r="S111" s="3">
        <v>152.6</v>
      </c>
      <c r="T111" s="3">
        <v>147.19999999999999</v>
      </c>
      <c r="U111" s="3">
        <v>144.9</v>
      </c>
      <c r="V111" s="3">
        <v>122.1</v>
      </c>
      <c r="W111" s="3">
        <v>173.2</v>
      </c>
      <c r="X111" s="3">
        <v>153.5</v>
      </c>
      <c r="Y111" s="3">
        <v>138.69999999999999</v>
      </c>
      <c r="Z111" s="3">
        <v>166.9</v>
      </c>
      <c r="AA111" s="3">
        <v>180.6</v>
      </c>
      <c r="AB111" s="3">
        <v>158.4</v>
      </c>
      <c r="AC111" s="3">
        <v>132</v>
      </c>
      <c r="AD111" s="3">
        <v>124</v>
      </c>
      <c r="AE111" s="3">
        <v>149.80000000000001</v>
      </c>
      <c r="AF111" s="3">
        <v>125.3</v>
      </c>
      <c r="AG111" s="3">
        <v>122.6</v>
      </c>
      <c r="AH111" s="3">
        <v>129.30000000000001</v>
      </c>
      <c r="AI111" s="3">
        <v>141.69999999999999</v>
      </c>
      <c r="AJ111" s="3">
        <v>170.7</v>
      </c>
      <c r="AK111" s="3">
        <v>185.6</v>
      </c>
      <c r="AL111" s="3">
        <v>170.6</v>
      </c>
      <c r="AM111" s="3">
        <v>175.5</v>
      </c>
      <c r="AN111" s="3">
        <v>179.1</v>
      </c>
      <c r="AO111" s="3">
        <v>149.4</v>
      </c>
      <c r="AP111" s="3">
        <v>155.4</v>
      </c>
      <c r="AQ111" s="3">
        <v>170.9</v>
      </c>
      <c r="AR111" s="3">
        <v>146.19999999999999</v>
      </c>
      <c r="AS111" s="3">
        <v>190.7</v>
      </c>
      <c r="AT111" s="3">
        <v>173.9</v>
      </c>
      <c r="AU111" s="3">
        <v>204.1</v>
      </c>
      <c r="AV111" s="3">
        <v>165.7</v>
      </c>
      <c r="AW111" s="3">
        <v>102.2</v>
      </c>
      <c r="AX111" s="3">
        <v>134.6</v>
      </c>
      <c r="AY111" s="3">
        <v>234.8</v>
      </c>
      <c r="AZ111" s="3">
        <v>160.4</v>
      </c>
      <c r="BA111" s="3">
        <v>150</v>
      </c>
      <c r="BB111" s="3">
        <v>184.5</v>
      </c>
      <c r="BC111" s="3">
        <v>128.69999999999999</v>
      </c>
      <c r="BD111" s="3">
        <v>147.4</v>
      </c>
      <c r="BE111" s="3">
        <v>124.4</v>
      </c>
      <c r="BF111" s="3">
        <v>117.6</v>
      </c>
      <c r="BG111" s="3">
        <v>134.9</v>
      </c>
      <c r="BH111" s="3">
        <v>138.4</v>
      </c>
      <c r="BI111" s="3">
        <v>104.5</v>
      </c>
      <c r="BJ111" s="3">
        <v>137.80000000000001</v>
      </c>
      <c r="BK111" s="3">
        <v>157.1</v>
      </c>
      <c r="BL111" s="3">
        <v>138</v>
      </c>
      <c r="BM111" s="3">
        <v>146.30000000000001</v>
      </c>
      <c r="BN111" s="3">
        <v>108</v>
      </c>
      <c r="BO111" s="3">
        <v>172.2</v>
      </c>
      <c r="BP111" s="3">
        <v>159.30000000000001</v>
      </c>
      <c r="BQ111" s="3">
        <v>117.2</v>
      </c>
      <c r="BR111" s="3">
        <v>101.2</v>
      </c>
      <c r="BS111" s="3">
        <v>116.3</v>
      </c>
      <c r="BT111" s="3">
        <v>146</v>
      </c>
      <c r="BU111" s="3">
        <v>124.2</v>
      </c>
      <c r="BV111" s="3">
        <v>117.9</v>
      </c>
      <c r="BW111" s="3">
        <v>169.2</v>
      </c>
      <c r="BX111" s="3">
        <v>206.1</v>
      </c>
      <c r="BY111" s="3">
        <v>135.69999999999999</v>
      </c>
      <c r="BZ111" s="3">
        <v>174.2</v>
      </c>
      <c r="CA111" s="3">
        <v>159.6</v>
      </c>
      <c r="CB111" s="3">
        <v>184.3</v>
      </c>
      <c r="CC111" s="3">
        <v>183</v>
      </c>
      <c r="CD111" s="3">
        <v>174.9</v>
      </c>
      <c r="CE111" s="3">
        <v>140.6</v>
      </c>
      <c r="CF111" s="3">
        <v>70.5</v>
      </c>
      <c r="CG111" s="3">
        <v>115.5</v>
      </c>
      <c r="CH111" s="3">
        <v>121.4</v>
      </c>
      <c r="CI111" s="3">
        <v>173.6</v>
      </c>
      <c r="CJ111" s="3">
        <v>143.19999999999999</v>
      </c>
      <c r="CK111" s="3">
        <v>120.9</v>
      </c>
      <c r="CL111" s="3">
        <v>207.7</v>
      </c>
      <c r="CM111" s="3">
        <v>108.9</v>
      </c>
      <c r="CN111" s="3">
        <v>103.8</v>
      </c>
    </row>
    <row r="112" spans="1:92" x14ac:dyDescent="0.25">
      <c r="A112" s="4">
        <v>35125</v>
      </c>
      <c r="B112" s="3">
        <v>140</v>
      </c>
      <c r="C112" s="3">
        <v>142.19999999999999</v>
      </c>
      <c r="D112" s="3">
        <v>149.5</v>
      </c>
      <c r="E112" s="3">
        <v>138.19999999999999</v>
      </c>
      <c r="F112" s="3">
        <v>137.30000000000001</v>
      </c>
      <c r="G112" s="3">
        <v>148.1</v>
      </c>
      <c r="H112" s="3">
        <v>142.69999999999999</v>
      </c>
      <c r="I112" s="3">
        <v>147.4</v>
      </c>
      <c r="J112" s="3">
        <v>108.2</v>
      </c>
      <c r="K112" s="3">
        <v>129.80000000000001</v>
      </c>
      <c r="L112" s="3">
        <v>122.7</v>
      </c>
      <c r="M112" s="3">
        <v>124.1</v>
      </c>
      <c r="N112" s="3">
        <v>121.8</v>
      </c>
      <c r="O112" s="3">
        <v>166.2</v>
      </c>
      <c r="P112" s="3">
        <v>135.80000000000001</v>
      </c>
      <c r="Q112" s="3">
        <v>162.6</v>
      </c>
      <c r="R112" s="3">
        <v>149.1</v>
      </c>
      <c r="S112" s="3">
        <v>155.1</v>
      </c>
      <c r="T112" s="3">
        <v>146.4</v>
      </c>
      <c r="U112" s="3">
        <v>148.69999999999999</v>
      </c>
      <c r="V112" s="3">
        <v>124</v>
      </c>
      <c r="W112" s="3">
        <v>174.1</v>
      </c>
      <c r="X112" s="3">
        <v>156.19999999999999</v>
      </c>
      <c r="Y112" s="3">
        <v>139.19999999999999</v>
      </c>
      <c r="Z112" s="3">
        <v>164</v>
      </c>
      <c r="AA112" s="3">
        <v>171.2</v>
      </c>
      <c r="AB112" s="3">
        <v>158.9</v>
      </c>
      <c r="AC112" s="3">
        <v>141</v>
      </c>
      <c r="AD112" s="3">
        <v>135.9</v>
      </c>
      <c r="AE112" s="3">
        <v>149.6</v>
      </c>
      <c r="AF112" s="3">
        <v>125.5</v>
      </c>
      <c r="AG112" s="3">
        <v>122.6</v>
      </c>
      <c r="AH112" s="3">
        <v>130.9</v>
      </c>
      <c r="AI112" s="3">
        <v>143.6</v>
      </c>
      <c r="AJ112" s="3">
        <v>171.3</v>
      </c>
      <c r="AK112" s="3">
        <v>185.9</v>
      </c>
      <c r="AL112" s="3">
        <v>170.9</v>
      </c>
      <c r="AM112" s="3">
        <v>175.4</v>
      </c>
      <c r="AN112" s="3">
        <v>179.4</v>
      </c>
      <c r="AO112" s="3">
        <v>147.9</v>
      </c>
      <c r="AP112" s="3">
        <v>156.5</v>
      </c>
      <c r="AQ112" s="3">
        <v>171.3</v>
      </c>
      <c r="AR112" s="3">
        <v>147.4</v>
      </c>
      <c r="AS112" s="3">
        <v>190.9</v>
      </c>
      <c r="AT112" s="3">
        <v>173.8</v>
      </c>
      <c r="AU112" s="3">
        <v>204.3</v>
      </c>
      <c r="AV112" s="3">
        <v>164.7</v>
      </c>
      <c r="AW112" s="3">
        <v>102.4</v>
      </c>
      <c r="AX112" s="3">
        <v>134.6</v>
      </c>
      <c r="AY112" s="3">
        <v>234.8</v>
      </c>
      <c r="AZ112" s="3">
        <v>160.6</v>
      </c>
      <c r="BA112" s="3">
        <v>150.1</v>
      </c>
      <c r="BB112" s="3">
        <v>184.5</v>
      </c>
      <c r="BC112" s="3">
        <v>128.80000000000001</v>
      </c>
      <c r="BD112" s="3">
        <v>147.4</v>
      </c>
      <c r="BE112" s="3">
        <v>124.4</v>
      </c>
      <c r="BF112" s="3">
        <v>120.4</v>
      </c>
      <c r="BG112" s="3">
        <v>140.30000000000001</v>
      </c>
      <c r="BH112" s="3">
        <v>141.19999999999999</v>
      </c>
      <c r="BI112" s="3">
        <v>105.6</v>
      </c>
      <c r="BJ112" s="3">
        <v>138.6</v>
      </c>
      <c r="BK112" s="3">
        <v>157.30000000000001</v>
      </c>
      <c r="BL112" s="3">
        <v>138.9</v>
      </c>
      <c r="BM112" s="3">
        <v>146.30000000000001</v>
      </c>
      <c r="BN112" s="3">
        <v>108</v>
      </c>
      <c r="BO112" s="3">
        <v>172.6</v>
      </c>
      <c r="BP112" s="3">
        <v>159.4</v>
      </c>
      <c r="BQ112" s="3">
        <v>119.9</v>
      </c>
      <c r="BR112" s="3">
        <v>102.4</v>
      </c>
      <c r="BS112" s="3">
        <v>117.8</v>
      </c>
      <c r="BT112" s="3">
        <v>148.1</v>
      </c>
      <c r="BU112" s="3">
        <v>125.7</v>
      </c>
      <c r="BV112" s="3">
        <v>118.5</v>
      </c>
      <c r="BW112" s="3">
        <v>169.6</v>
      </c>
      <c r="BX112" s="3">
        <v>206.5</v>
      </c>
      <c r="BY112" s="3">
        <v>136.69999999999999</v>
      </c>
      <c r="BZ112" s="3">
        <v>174.7</v>
      </c>
      <c r="CA112" s="3">
        <v>158.6</v>
      </c>
      <c r="CB112" s="3">
        <v>184.3</v>
      </c>
      <c r="CC112" s="3">
        <v>183</v>
      </c>
      <c r="CD112" s="3">
        <v>175</v>
      </c>
      <c r="CE112" s="3">
        <v>140.4</v>
      </c>
      <c r="CF112" s="3">
        <v>70.599999999999994</v>
      </c>
      <c r="CG112" s="3">
        <v>116.8</v>
      </c>
      <c r="CH112" s="3">
        <v>121.8</v>
      </c>
      <c r="CI112" s="3">
        <v>173.9</v>
      </c>
      <c r="CJ112" s="3">
        <v>144.19999999999999</v>
      </c>
      <c r="CK112" s="3">
        <v>120.9</v>
      </c>
      <c r="CL112" s="3">
        <v>208</v>
      </c>
      <c r="CM112" s="3">
        <v>109.3</v>
      </c>
      <c r="CN112" s="3">
        <v>103.9</v>
      </c>
    </row>
    <row r="113" spans="1:92" x14ac:dyDescent="0.25">
      <c r="A113" s="4">
        <v>35156</v>
      </c>
      <c r="B113" s="3">
        <v>138.9</v>
      </c>
      <c r="C113" s="3">
        <v>142.9</v>
      </c>
      <c r="D113" s="3">
        <v>150</v>
      </c>
      <c r="E113" s="3">
        <v>134.80000000000001</v>
      </c>
      <c r="F113" s="3">
        <v>149.80000000000001</v>
      </c>
      <c r="G113" s="3">
        <v>172.9</v>
      </c>
      <c r="H113" s="3">
        <v>157.4</v>
      </c>
      <c r="I113" s="3">
        <v>148.69999999999999</v>
      </c>
      <c r="J113" s="3">
        <v>113.9</v>
      </c>
      <c r="K113" s="3">
        <v>131.30000000000001</v>
      </c>
      <c r="L113" s="3">
        <v>121.1</v>
      </c>
      <c r="M113" s="3">
        <v>122.8</v>
      </c>
      <c r="N113" s="3">
        <v>119.7</v>
      </c>
      <c r="O113" s="3">
        <v>165.5</v>
      </c>
      <c r="P113" s="3">
        <v>134.5</v>
      </c>
      <c r="Q113" s="3">
        <v>162.30000000000001</v>
      </c>
      <c r="R113" s="3">
        <v>149.69999999999999</v>
      </c>
      <c r="S113" s="3">
        <v>153.6</v>
      </c>
      <c r="T113" s="3">
        <v>146.9</v>
      </c>
      <c r="U113" s="3">
        <v>151.30000000000001</v>
      </c>
      <c r="V113" s="3">
        <v>124.1</v>
      </c>
      <c r="W113" s="3">
        <v>173.2</v>
      </c>
      <c r="X113" s="3">
        <v>158.6</v>
      </c>
      <c r="Y113" s="3">
        <v>140.19999999999999</v>
      </c>
      <c r="Z113" s="3">
        <v>160.1</v>
      </c>
      <c r="AA113" s="3">
        <v>164</v>
      </c>
      <c r="AB113" s="3">
        <v>156.69999999999999</v>
      </c>
      <c r="AC113" s="3">
        <v>135.69999999999999</v>
      </c>
      <c r="AD113" s="3">
        <v>128.9</v>
      </c>
      <c r="AE113" s="3">
        <v>149.4</v>
      </c>
      <c r="AF113" s="3">
        <v>124.8</v>
      </c>
      <c r="AG113" s="3">
        <v>121.9</v>
      </c>
      <c r="AH113" s="3">
        <v>130.19999999999999</v>
      </c>
      <c r="AI113" s="3">
        <v>144</v>
      </c>
      <c r="AJ113" s="3">
        <v>171.9</v>
      </c>
      <c r="AK113" s="3">
        <v>187.1</v>
      </c>
      <c r="AL113" s="3">
        <v>171.5</v>
      </c>
      <c r="AM113" s="3">
        <v>176.5</v>
      </c>
      <c r="AN113" s="3">
        <v>180.1</v>
      </c>
      <c r="AO113" s="3">
        <v>150.1</v>
      </c>
      <c r="AP113" s="3">
        <v>156.4</v>
      </c>
      <c r="AQ113" s="3">
        <v>171.8</v>
      </c>
      <c r="AR113" s="3">
        <v>147.19999999999999</v>
      </c>
      <c r="AS113" s="3">
        <v>192.6</v>
      </c>
      <c r="AT113" s="3">
        <v>175.3</v>
      </c>
      <c r="AU113" s="3">
        <v>209.6</v>
      </c>
      <c r="AV113" s="3">
        <v>162.30000000000001</v>
      </c>
      <c r="AW113" s="3">
        <v>104.5</v>
      </c>
      <c r="AX113" s="3">
        <v>144.5</v>
      </c>
      <c r="AY113" s="3">
        <v>247.3</v>
      </c>
      <c r="AZ113" s="3">
        <v>161.1</v>
      </c>
      <c r="BA113" s="3">
        <v>150.19999999999999</v>
      </c>
      <c r="BB113" s="3">
        <v>180.8</v>
      </c>
      <c r="BC113" s="3">
        <v>128.80000000000001</v>
      </c>
      <c r="BD113" s="3">
        <v>147.4</v>
      </c>
      <c r="BE113" s="3">
        <v>124.4</v>
      </c>
      <c r="BF113" s="3">
        <v>123.3</v>
      </c>
      <c r="BG113" s="3">
        <v>138.9</v>
      </c>
      <c r="BH113" s="3">
        <v>139.5</v>
      </c>
      <c r="BI113" s="3">
        <v>104.8</v>
      </c>
      <c r="BJ113" s="3">
        <v>138.6</v>
      </c>
      <c r="BK113" s="3">
        <v>158.19999999999999</v>
      </c>
      <c r="BL113" s="3">
        <v>138.80000000000001</v>
      </c>
      <c r="BM113" s="3">
        <v>146.30000000000001</v>
      </c>
      <c r="BN113" s="3">
        <v>108</v>
      </c>
      <c r="BO113" s="3">
        <v>173.1</v>
      </c>
      <c r="BP113" s="3">
        <v>157.80000000000001</v>
      </c>
      <c r="BQ113" s="3">
        <v>118.6</v>
      </c>
      <c r="BR113" s="3">
        <v>104.7</v>
      </c>
      <c r="BS113" s="3">
        <v>122.7</v>
      </c>
      <c r="BT113" s="3">
        <v>148.19999999999999</v>
      </c>
      <c r="BU113" s="3">
        <v>125.6</v>
      </c>
      <c r="BV113" s="3">
        <v>120</v>
      </c>
      <c r="BW113" s="3">
        <v>171.2</v>
      </c>
      <c r="BX113" s="3">
        <v>208.8</v>
      </c>
      <c r="BY113" s="3">
        <v>137.80000000000001</v>
      </c>
      <c r="BZ113" s="3">
        <v>175.2</v>
      </c>
      <c r="CA113" s="3">
        <v>161</v>
      </c>
      <c r="CB113" s="3">
        <v>184.7</v>
      </c>
      <c r="CC113" s="3">
        <v>183.1</v>
      </c>
      <c r="CD113" s="3">
        <v>176.2</v>
      </c>
      <c r="CE113" s="3">
        <v>143.69999999999999</v>
      </c>
      <c r="CF113" s="3">
        <v>69.900000000000006</v>
      </c>
      <c r="CG113" s="3">
        <v>118.4</v>
      </c>
      <c r="CH113" s="3">
        <v>121.8</v>
      </c>
      <c r="CI113" s="3">
        <v>175.9</v>
      </c>
      <c r="CJ113" s="3">
        <v>144.4</v>
      </c>
      <c r="CK113" s="3">
        <v>122.6</v>
      </c>
      <c r="CL113" s="3">
        <v>209.5</v>
      </c>
      <c r="CM113" s="3">
        <v>110</v>
      </c>
      <c r="CN113" s="3">
        <v>104.1</v>
      </c>
    </row>
    <row r="114" spans="1:92" x14ac:dyDescent="0.25">
      <c r="A114" s="4">
        <v>35186</v>
      </c>
      <c r="B114" s="3">
        <v>138.9</v>
      </c>
      <c r="C114" s="3">
        <v>143.69999999999999</v>
      </c>
      <c r="D114" s="3">
        <v>151.1</v>
      </c>
      <c r="E114" s="3">
        <v>133.4</v>
      </c>
      <c r="F114" s="3">
        <v>158.80000000000001</v>
      </c>
      <c r="G114" s="3">
        <v>182.5</v>
      </c>
      <c r="H114" s="3">
        <v>153.9</v>
      </c>
      <c r="I114" s="3">
        <v>153.30000000000001</v>
      </c>
      <c r="J114" s="3">
        <v>114.8</v>
      </c>
      <c r="K114" s="3">
        <v>133.1</v>
      </c>
      <c r="L114" s="3">
        <v>122.7</v>
      </c>
      <c r="M114" s="3">
        <v>124.1</v>
      </c>
      <c r="N114" s="3">
        <v>121.6</v>
      </c>
      <c r="O114" s="3">
        <v>164.7</v>
      </c>
      <c r="P114" s="3">
        <v>135.9</v>
      </c>
      <c r="Q114" s="3">
        <v>163.69999999999999</v>
      </c>
      <c r="R114" s="3">
        <v>149.30000000000001</v>
      </c>
      <c r="S114" s="3">
        <v>153.6</v>
      </c>
      <c r="T114" s="3">
        <v>146.30000000000001</v>
      </c>
      <c r="U114" s="3">
        <v>151.9</v>
      </c>
      <c r="V114" s="3">
        <v>119.8</v>
      </c>
      <c r="W114" s="3">
        <v>173.6</v>
      </c>
      <c r="X114" s="3">
        <v>160.6</v>
      </c>
      <c r="Y114" s="3">
        <v>141.9</v>
      </c>
      <c r="Z114" s="3">
        <v>158.4</v>
      </c>
      <c r="AA114" s="3">
        <v>154.69999999999999</v>
      </c>
      <c r="AB114" s="3">
        <v>158.80000000000001</v>
      </c>
      <c r="AC114" s="3">
        <v>133.80000000000001</v>
      </c>
      <c r="AD114" s="3">
        <v>126.6</v>
      </c>
      <c r="AE114" s="3">
        <v>149.30000000000001</v>
      </c>
      <c r="AF114" s="3">
        <v>135</v>
      </c>
      <c r="AG114" s="3">
        <v>133.1</v>
      </c>
      <c r="AH114" s="3">
        <v>131.30000000000001</v>
      </c>
      <c r="AI114" s="3">
        <v>144.6</v>
      </c>
      <c r="AJ114" s="3">
        <v>172.6</v>
      </c>
      <c r="AK114" s="3">
        <v>188.1</v>
      </c>
      <c r="AL114" s="3">
        <v>171.9</v>
      </c>
      <c r="AM114" s="3">
        <v>176.7</v>
      </c>
      <c r="AN114" s="3">
        <v>180.7</v>
      </c>
      <c r="AO114" s="3">
        <v>149.1</v>
      </c>
      <c r="AP114" s="3">
        <v>157.4</v>
      </c>
      <c r="AQ114" s="3">
        <v>172.4</v>
      </c>
      <c r="AR114" s="3">
        <v>148.30000000000001</v>
      </c>
      <c r="AS114" s="3">
        <v>193.9</v>
      </c>
      <c r="AT114" s="3">
        <v>176.3</v>
      </c>
      <c r="AU114" s="3">
        <v>210</v>
      </c>
      <c r="AV114" s="3">
        <v>159.5</v>
      </c>
      <c r="AW114" s="3">
        <v>103.7</v>
      </c>
      <c r="AX114" s="3">
        <v>144.5</v>
      </c>
      <c r="AY114" s="3">
        <v>247.3</v>
      </c>
      <c r="AZ114" s="3">
        <v>161.6</v>
      </c>
      <c r="BA114" s="3">
        <v>150.69999999999999</v>
      </c>
      <c r="BB114" s="3">
        <v>180.6</v>
      </c>
      <c r="BC114" s="3">
        <v>124.7</v>
      </c>
      <c r="BD114" s="3">
        <v>147.80000000000001</v>
      </c>
      <c r="BE114" s="3">
        <v>124.4</v>
      </c>
      <c r="BF114" s="3">
        <v>117.6</v>
      </c>
      <c r="BG114" s="3">
        <v>139.19999999999999</v>
      </c>
      <c r="BH114" s="3">
        <v>141.19999999999999</v>
      </c>
      <c r="BI114" s="3">
        <v>106.3</v>
      </c>
      <c r="BJ114" s="3">
        <v>140.9</v>
      </c>
      <c r="BK114" s="3">
        <v>158.30000000000001</v>
      </c>
      <c r="BL114" s="3">
        <v>139.1</v>
      </c>
      <c r="BM114" s="3">
        <v>146.30000000000001</v>
      </c>
      <c r="BN114" s="3">
        <v>108</v>
      </c>
      <c r="BO114" s="3">
        <v>173.6</v>
      </c>
      <c r="BP114" s="3">
        <v>157.80000000000001</v>
      </c>
      <c r="BQ114" s="3">
        <v>119.3</v>
      </c>
      <c r="BR114" s="3">
        <v>104.9</v>
      </c>
      <c r="BS114" s="3">
        <v>122.1</v>
      </c>
      <c r="BT114" s="3">
        <v>148.9</v>
      </c>
      <c r="BU114" s="3">
        <v>125.9</v>
      </c>
      <c r="BV114" s="3">
        <v>119.9</v>
      </c>
      <c r="BW114" s="3">
        <v>171.4</v>
      </c>
      <c r="BX114" s="3">
        <v>209.3</v>
      </c>
      <c r="BY114" s="3">
        <v>138.5</v>
      </c>
      <c r="BZ114" s="3">
        <v>175.7</v>
      </c>
      <c r="CA114" s="3">
        <v>161</v>
      </c>
      <c r="CB114" s="3">
        <v>184.7</v>
      </c>
      <c r="CC114" s="3">
        <v>183.1</v>
      </c>
      <c r="CD114" s="3">
        <v>176.6</v>
      </c>
      <c r="CE114" s="3">
        <v>145.80000000000001</v>
      </c>
      <c r="CF114" s="3">
        <v>69.900000000000006</v>
      </c>
      <c r="CG114" s="3">
        <v>117.7</v>
      </c>
      <c r="CH114" s="3">
        <v>121.8</v>
      </c>
      <c r="CI114" s="3">
        <v>175.7</v>
      </c>
      <c r="CJ114" s="3">
        <v>144.5</v>
      </c>
      <c r="CK114" s="3">
        <v>122.7</v>
      </c>
      <c r="CL114" s="3">
        <v>211.1</v>
      </c>
      <c r="CM114" s="3">
        <v>110.3</v>
      </c>
      <c r="CN114" s="3">
        <v>104.4</v>
      </c>
    </row>
    <row r="115" spans="1:92" x14ac:dyDescent="0.25">
      <c r="A115" s="4">
        <v>35217</v>
      </c>
      <c r="B115" s="3">
        <v>140.30000000000001</v>
      </c>
      <c r="C115" s="3">
        <v>141.9</v>
      </c>
      <c r="D115" s="3">
        <v>151.69999999999999</v>
      </c>
      <c r="E115" s="3">
        <v>134.5</v>
      </c>
      <c r="F115" s="3">
        <v>158.19999999999999</v>
      </c>
      <c r="G115" s="3">
        <v>176.1</v>
      </c>
      <c r="H115" s="3">
        <v>159.80000000000001</v>
      </c>
      <c r="I115" s="3">
        <v>157.80000000000001</v>
      </c>
      <c r="J115" s="3">
        <v>114</v>
      </c>
      <c r="K115" s="3">
        <v>133.30000000000001</v>
      </c>
      <c r="L115" s="3">
        <v>125.1</v>
      </c>
      <c r="M115" s="3">
        <v>129</v>
      </c>
      <c r="N115" s="3">
        <v>120.6</v>
      </c>
      <c r="O115" s="3">
        <v>165.6</v>
      </c>
      <c r="P115" s="3">
        <v>136.19999999999999</v>
      </c>
      <c r="Q115" s="3">
        <v>162.5</v>
      </c>
      <c r="R115" s="3">
        <v>148.19999999999999</v>
      </c>
      <c r="S115" s="3">
        <v>153.6</v>
      </c>
      <c r="T115" s="3">
        <v>147.1</v>
      </c>
      <c r="U115" s="3">
        <v>151.9</v>
      </c>
      <c r="V115" s="3">
        <v>119.8</v>
      </c>
      <c r="W115" s="3">
        <v>174.5</v>
      </c>
      <c r="X115" s="3">
        <v>160.30000000000001</v>
      </c>
      <c r="Y115" s="3">
        <v>143.1</v>
      </c>
      <c r="Z115" s="3">
        <v>153.19999999999999</v>
      </c>
      <c r="AA115" s="3">
        <v>144.1</v>
      </c>
      <c r="AB115" s="3">
        <v>156.19999999999999</v>
      </c>
      <c r="AC115" s="3">
        <v>124.4</v>
      </c>
      <c r="AD115" s="3">
        <v>114.9</v>
      </c>
      <c r="AE115" s="3">
        <v>147</v>
      </c>
      <c r="AF115" s="3">
        <v>140.69999999999999</v>
      </c>
      <c r="AG115" s="3">
        <v>139.30000000000001</v>
      </c>
      <c r="AH115" s="3">
        <v>133.1</v>
      </c>
      <c r="AI115" s="3">
        <v>144.69999999999999</v>
      </c>
      <c r="AJ115" s="3">
        <v>173.4</v>
      </c>
      <c r="AK115" s="3">
        <v>189</v>
      </c>
      <c r="AL115" s="3">
        <v>172.9</v>
      </c>
      <c r="AM115" s="3">
        <v>178.1</v>
      </c>
      <c r="AN115" s="3">
        <v>182.4</v>
      </c>
      <c r="AO115" s="3">
        <v>149.30000000000001</v>
      </c>
      <c r="AP115" s="3">
        <v>158</v>
      </c>
      <c r="AQ115" s="3">
        <v>173.2</v>
      </c>
      <c r="AR115" s="3">
        <v>148.80000000000001</v>
      </c>
      <c r="AS115" s="3">
        <v>194.1</v>
      </c>
      <c r="AT115" s="3">
        <v>176.6</v>
      </c>
      <c r="AU115" s="3">
        <v>210.7</v>
      </c>
      <c r="AV115" s="3">
        <v>159.5</v>
      </c>
      <c r="AW115" s="3">
        <v>102.6</v>
      </c>
      <c r="AX115" s="3">
        <v>144.4</v>
      </c>
      <c r="AY115" s="3">
        <v>247.3</v>
      </c>
      <c r="AZ115" s="3">
        <v>161.9</v>
      </c>
      <c r="BA115" s="3">
        <v>150.9</v>
      </c>
      <c r="BB115" s="3">
        <v>180.3</v>
      </c>
      <c r="BC115" s="3">
        <v>124.1</v>
      </c>
      <c r="BD115" s="3">
        <v>148.5</v>
      </c>
      <c r="BE115" s="3">
        <v>124.3</v>
      </c>
      <c r="BF115" s="3">
        <v>115.7</v>
      </c>
      <c r="BG115" s="3">
        <v>140</v>
      </c>
      <c r="BH115" s="3">
        <v>140.80000000000001</v>
      </c>
      <c r="BI115" s="3">
        <v>105.6</v>
      </c>
      <c r="BJ115" s="3">
        <v>141.5</v>
      </c>
      <c r="BK115" s="3">
        <v>158</v>
      </c>
      <c r="BL115" s="3">
        <v>140</v>
      </c>
      <c r="BM115" s="3">
        <v>146.30000000000001</v>
      </c>
      <c r="BN115" s="3">
        <v>108</v>
      </c>
      <c r="BO115" s="3">
        <v>174.2</v>
      </c>
      <c r="BP115" s="3">
        <v>157.80000000000001</v>
      </c>
      <c r="BQ115" s="3">
        <v>119.5</v>
      </c>
      <c r="BR115" s="3">
        <v>104.4</v>
      </c>
      <c r="BS115" s="3">
        <v>122.3</v>
      </c>
      <c r="BT115" s="3">
        <v>149.30000000000001</v>
      </c>
      <c r="BU115" s="3">
        <v>125.7</v>
      </c>
      <c r="BV115" s="3">
        <v>119.8</v>
      </c>
      <c r="BW115" s="3">
        <v>171.1</v>
      </c>
      <c r="BX115" s="3">
        <v>209.9</v>
      </c>
      <c r="BY115" s="3">
        <v>139.19999999999999</v>
      </c>
      <c r="BZ115" s="3">
        <v>176.2</v>
      </c>
      <c r="CA115" s="3">
        <v>160</v>
      </c>
      <c r="CB115" s="3">
        <v>184.7</v>
      </c>
      <c r="CC115" s="3">
        <v>183.1</v>
      </c>
      <c r="CD115" s="3">
        <v>177</v>
      </c>
      <c r="CE115" s="3">
        <v>145.5</v>
      </c>
      <c r="CF115" s="3">
        <v>69.2</v>
      </c>
      <c r="CG115" s="3">
        <v>118.5</v>
      </c>
      <c r="CH115" s="3">
        <v>121.6</v>
      </c>
      <c r="CI115" s="3">
        <v>176.2</v>
      </c>
      <c r="CJ115" s="3">
        <v>143.4</v>
      </c>
      <c r="CK115" s="3">
        <v>122.8</v>
      </c>
      <c r="CL115" s="3">
        <v>211.5</v>
      </c>
      <c r="CM115" s="3">
        <v>110.6</v>
      </c>
      <c r="CN115" s="3">
        <v>104.5</v>
      </c>
    </row>
    <row r="116" spans="1:92" x14ac:dyDescent="0.25">
      <c r="A116" s="4">
        <v>35247</v>
      </c>
      <c r="B116" s="3">
        <v>138.30000000000001</v>
      </c>
      <c r="C116" s="3">
        <v>141.6</v>
      </c>
      <c r="D116" s="3">
        <v>153.1</v>
      </c>
      <c r="E116" s="3">
        <v>132.1</v>
      </c>
      <c r="F116" s="3">
        <v>150.1</v>
      </c>
      <c r="G116" s="3">
        <v>157</v>
      </c>
      <c r="H116" s="3">
        <v>159.4</v>
      </c>
      <c r="I116" s="3">
        <v>160.9</v>
      </c>
      <c r="J116" s="3">
        <v>114.3</v>
      </c>
      <c r="K116" s="3">
        <v>134.1</v>
      </c>
      <c r="L116" s="3">
        <v>125.3</v>
      </c>
      <c r="M116" s="3">
        <v>128.69999999999999</v>
      </c>
      <c r="N116" s="3">
        <v>121.4</v>
      </c>
      <c r="O116" s="3">
        <v>166.8</v>
      </c>
      <c r="P116" s="3">
        <v>136.19999999999999</v>
      </c>
      <c r="Q116" s="3">
        <v>161.19999999999999</v>
      </c>
      <c r="R116" s="3">
        <v>152</v>
      </c>
      <c r="S116" s="3">
        <v>153.5</v>
      </c>
      <c r="T116" s="3">
        <v>147.19999999999999</v>
      </c>
      <c r="U116" s="3">
        <v>151.4</v>
      </c>
      <c r="V116" s="3">
        <v>119.9</v>
      </c>
      <c r="W116" s="3">
        <v>174.1</v>
      </c>
      <c r="X116" s="3">
        <v>157.4</v>
      </c>
      <c r="Y116" s="3">
        <v>144.80000000000001</v>
      </c>
      <c r="Z116" s="3">
        <v>139</v>
      </c>
      <c r="AA116" s="3">
        <v>101.6</v>
      </c>
      <c r="AB116" s="3">
        <v>156.4</v>
      </c>
      <c r="AC116" s="3">
        <v>119.8</v>
      </c>
      <c r="AD116" s="3">
        <v>108.3</v>
      </c>
      <c r="AE116" s="3">
        <v>148.5</v>
      </c>
      <c r="AF116" s="3">
        <v>127.3</v>
      </c>
      <c r="AG116" s="3">
        <v>124.1</v>
      </c>
      <c r="AH116" s="3">
        <v>135</v>
      </c>
      <c r="AI116" s="3">
        <v>144.4</v>
      </c>
      <c r="AJ116" s="3">
        <v>174</v>
      </c>
      <c r="AK116" s="3">
        <v>189.6</v>
      </c>
      <c r="AL116" s="3">
        <v>173.8</v>
      </c>
      <c r="AM116" s="3">
        <v>179.1</v>
      </c>
      <c r="AN116" s="3">
        <v>183.5</v>
      </c>
      <c r="AO116" s="3">
        <v>150.19999999999999</v>
      </c>
      <c r="AP116" s="3">
        <v>158.6</v>
      </c>
      <c r="AQ116" s="3">
        <v>173.7</v>
      </c>
      <c r="AR116" s="3">
        <v>149.4</v>
      </c>
      <c r="AS116" s="3">
        <v>193.8</v>
      </c>
      <c r="AT116" s="3">
        <v>176.5</v>
      </c>
      <c r="AU116" s="3">
        <v>211.1</v>
      </c>
      <c r="AV116" s="3">
        <v>160</v>
      </c>
      <c r="AW116" s="3">
        <v>103</v>
      </c>
      <c r="AX116" s="3">
        <v>144.4</v>
      </c>
      <c r="AY116" s="3">
        <v>247.3</v>
      </c>
      <c r="AZ116" s="3">
        <v>165.7</v>
      </c>
      <c r="BA116" s="3">
        <v>150.69999999999999</v>
      </c>
      <c r="BB116" s="3">
        <v>182.8</v>
      </c>
      <c r="BC116" s="3">
        <v>124.5</v>
      </c>
      <c r="BD116" s="3">
        <v>148.6</v>
      </c>
      <c r="BE116" s="3">
        <v>124.3</v>
      </c>
      <c r="BF116" s="3">
        <v>117</v>
      </c>
      <c r="BG116" s="3">
        <v>136.30000000000001</v>
      </c>
      <c r="BH116" s="3">
        <v>137</v>
      </c>
      <c r="BI116" s="3">
        <v>103.3</v>
      </c>
      <c r="BJ116" s="3">
        <v>139.5</v>
      </c>
      <c r="BK116" s="3">
        <v>158.19999999999999</v>
      </c>
      <c r="BL116" s="3">
        <v>140.9</v>
      </c>
      <c r="BM116" s="3">
        <v>152.6</v>
      </c>
      <c r="BN116" s="3">
        <v>107</v>
      </c>
      <c r="BO116" s="3">
        <v>175.1</v>
      </c>
      <c r="BP116" s="3">
        <v>157.80000000000001</v>
      </c>
      <c r="BQ116" s="3">
        <v>112.9</v>
      </c>
      <c r="BR116" s="3">
        <v>97.5</v>
      </c>
      <c r="BS116" s="3">
        <v>116.7</v>
      </c>
      <c r="BT116" s="3">
        <v>146.9</v>
      </c>
      <c r="BU116" s="3">
        <v>119.7</v>
      </c>
      <c r="BV116" s="3">
        <v>119.2</v>
      </c>
      <c r="BW116" s="3">
        <v>172.2</v>
      </c>
      <c r="BX116" s="3">
        <v>211.1</v>
      </c>
      <c r="BY116" s="3">
        <v>139</v>
      </c>
      <c r="BZ116" s="3">
        <v>177.3</v>
      </c>
      <c r="CA116" s="3">
        <v>159.4</v>
      </c>
      <c r="CB116" s="3">
        <v>186.4</v>
      </c>
      <c r="CC116" s="3">
        <v>183.1</v>
      </c>
      <c r="CD116" s="3">
        <v>177.6</v>
      </c>
      <c r="CE116" s="3">
        <v>145.30000000000001</v>
      </c>
      <c r="CF116" s="3">
        <v>69.2</v>
      </c>
      <c r="CG116" s="3">
        <v>117.4</v>
      </c>
      <c r="CH116" s="3">
        <v>121.2</v>
      </c>
      <c r="CI116" s="3">
        <v>176.1</v>
      </c>
      <c r="CJ116" s="3">
        <v>143.1</v>
      </c>
      <c r="CK116" s="3">
        <v>123</v>
      </c>
      <c r="CL116" s="3">
        <v>211.8</v>
      </c>
      <c r="CM116" s="3">
        <v>110.8</v>
      </c>
      <c r="CN116" s="3">
        <v>104.8</v>
      </c>
    </row>
    <row r="117" spans="1:92" x14ac:dyDescent="0.25">
      <c r="A117" s="4">
        <v>35278</v>
      </c>
      <c r="B117" s="3">
        <v>138.69999999999999</v>
      </c>
      <c r="C117" s="3">
        <v>141.80000000000001</v>
      </c>
      <c r="D117" s="3">
        <v>153</v>
      </c>
      <c r="E117" s="3">
        <v>136.9</v>
      </c>
      <c r="F117" s="3">
        <v>149.6</v>
      </c>
      <c r="G117" s="3">
        <v>151.69999999999999</v>
      </c>
      <c r="H117" s="3">
        <v>163</v>
      </c>
      <c r="I117" s="3">
        <v>160.80000000000001</v>
      </c>
      <c r="J117" s="3">
        <v>116.6</v>
      </c>
      <c r="K117" s="3">
        <v>133.80000000000001</v>
      </c>
      <c r="L117" s="3">
        <v>122.7</v>
      </c>
      <c r="M117" s="3">
        <v>124.9</v>
      </c>
      <c r="N117" s="3">
        <v>120.4</v>
      </c>
      <c r="O117" s="3">
        <v>166.7</v>
      </c>
      <c r="P117" s="3">
        <v>135.5</v>
      </c>
      <c r="Q117" s="3">
        <v>165.3</v>
      </c>
      <c r="R117" s="3">
        <v>150.6</v>
      </c>
      <c r="S117" s="3">
        <v>153.4</v>
      </c>
      <c r="T117" s="3">
        <v>149.19999999999999</v>
      </c>
      <c r="U117" s="3">
        <v>151.5</v>
      </c>
      <c r="V117" s="3">
        <v>119.8</v>
      </c>
      <c r="W117" s="3">
        <v>174.2</v>
      </c>
      <c r="X117" s="3">
        <v>157.9</v>
      </c>
      <c r="Y117" s="3">
        <v>144.9</v>
      </c>
      <c r="Z117" s="3">
        <v>175.2</v>
      </c>
      <c r="AA117" s="3">
        <v>207.3</v>
      </c>
      <c r="AB117" s="3">
        <v>157.4</v>
      </c>
      <c r="AC117" s="3">
        <v>113.2</v>
      </c>
      <c r="AD117" s="3">
        <v>99.3</v>
      </c>
      <c r="AE117" s="3">
        <v>149.30000000000001</v>
      </c>
      <c r="AF117" s="3">
        <v>129.5</v>
      </c>
      <c r="AG117" s="3">
        <v>126.5</v>
      </c>
      <c r="AH117" s="3">
        <v>135.4</v>
      </c>
      <c r="AI117" s="3">
        <v>144.5</v>
      </c>
      <c r="AJ117" s="3">
        <v>174.6</v>
      </c>
      <c r="AK117" s="3">
        <v>190.3</v>
      </c>
      <c r="AL117" s="3">
        <v>174.4</v>
      </c>
      <c r="AM117" s="3">
        <v>179.1</v>
      </c>
      <c r="AN117" s="3">
        <v>184.1</v>
      </c>
      <c r="AO117" s="3">
        <v>148.19999999999999</v>
      </c>
      <c r="AP117" s="3">
        <v>158.6</v>
      </c>
      <c r="AQ117" s="3">
        <v>174.2</v>
      </c>
      <c r="AR117" s="3">
        <v>149.19999999999999</v>
      </c>
      <c r="AS117" s="3">
        <v>194.1</v>
      </c>
      <c r="AT117" s="3">
        <v>176.5</v>
      </c>
      <c r="AU117" s="3">
        <v>211.4</v>
      </c>
      <c r="AV117" s="3">
        <v>158</v>
      </c>
      <c r="AW117" s="3">
        <v>104.2</v>
      </c>
      <c r="AX117" s="3">
        <v>144.4</v>
      </c>
      <c r="AY117" s="3">
        <v>247.3</v>
      </c>
      <c r="AZ117" s="3">
        <v>165.8</v>
      </c>
      <c r="BA117" s="3">
        <v>151</v>
      </c>
      <c r="BB117" s="3">
        <v>183.1</v>
      </c>
      <c r="BC117" s="3">
        <v>124.5</v>
      </c>
      <c r="BD117" s="3">
        <v>148</v>
      </c>
      <c r="BE117" s="3">
        <v>124.3</v>
      </c>
      <c r="BF117" s="3">
        <v>117.8</v>
      </c>
      <c r="BG117" s="3">
        <v>138.30000000000001</v>
      </c>
      <c r="BH117" s="3">
        <v>139.69999999999999</v>
      </c>
      <c r="BI117" s="3">
        <v>104.4</v>
      </c>
      <c r="BJ117" s="3">
        <v>141.1</v>
      </c>
      <c r="BK117" s="3">
        <v>158.5</v>
      </c>
      <c r="BL117" s="3">
        <v>141.6</v>
      </c>
      <c r="BM117" s="3">
        <v>152.6</v>
      </c>
      <c r="BN117" s="3">
        <v>107</v>
      </c>
      <c r="BO117" s="3">
        <v>175.5</v>
      </c>
      <c r="BP117" s="3">
        <v>158</v>
      </c>
      <c r="BQ117" s="3">
        <v>115.2</v>
      </c>
      <c r="BR117" s="3">
        <v>99.8</v>
      </c>
      <c r="BS117" s="3">
        <v>117.5</v>
      </c>
      <c r="BT117" s="3">
        <v>148.4</v>
      </c>
      <c r="BU117" s="3">
        <v>120</v>
      </c>
      <c r="BV117" s="3">
        <v>119.9</v>
      </c>
      <c r="BW117" s="3">
        <v>171</v>
      </c>
      <c r="BX117" s="3">
        <v>211.4</v>
      </c>
      <c r="BY117" s="3">
        <v>140</v>
      </c>
      <c r="BZ117" s="3">
        <v>178.6</v>
      </c>
      <c r="CA117" s="3">
        <v>162.6</v>
      </c>
      <c r="CB117" s="3">
        <v>186.4</v>
      </c>
      <c r="CC117" s="3">
        <v>183.1</v>
      </c>
      <c r="CD117" s="3">
        <v>178</v>
      </c>
      <c r="CE117" s="3">
        <v>146.4</v>
      </c>
      <c r="CF117" s="3">
        <v>68.5</v>
      </c>
      <c r="CG117" s="3">
        <v>119.2</v>
      </c>
      <c r="CH117" s="3">
        <v>121.5</v>
      </c>
      <c r="CI117" s="3">
        <v>176.4</v>
      </c>
      <c r="CJ117" s="3">
        <v>142.80000000000001</v>
      </c>
      <c r="CK117" s="3">
        <v>123</v>
      </c>
      <c r="CL117" s="3">
        <v>212.3</v>
      </c>
      <c r="CM117" s="3">
        <v>110.9</v>
      </c>
      <c r="CN117" s="3">
        <v>105.3</v>
      </c>
    </row>
    <row r="118" spans="1:92" x14ac:dyDescent="0.25">
      <c r="A118" s="4">
        <v>35309</v>
      </c>
      <c r="B118" s="3">
        <v>138.30000000000001</v>
      </c>
      <c r="C118" s="3">
        <v>141.19999999999999</v>
      </c>
      <c r="D118" s="3">
        <v>151.9</v>
      </c>
      <c r="E118" s="3">
        <v>134.5</v>
      </c>
      <c r="F118" s="3">
        <v>147.6</v>
      </c>
      <c r="G118" s="3">
        <v>149.30000000000001</v>
      </c>
      <c r="H118" s="3">
        <v>160.4</v>
      </c>
      <c r="I118" s="3">
        <v>161.30000000000001</v>
      </c>
      <c r="J118" s="3">
        <v>117.1</v>
      </c>
      <c r="K118" s="3">
        <v>133.69999999999999</v>
      </c>
      <c r="L118" s="3">
        <v>122.8</v>
      </c>
      <c r="M118" s="3">
        <v>124.5</v>
      </c>
      <c r="N118" s="3">
        <v>121.3</v>
      </c>
      <c r="O118" s="3">
        <v>166.2</v>
      </c>
      <c r="P118" s="3">
        <v>137</v>
      </c>
      <c r="Q118" s="3">
        <v>165.1</v>
      </c>
      <c r="R118" s="3">
        <v>150</v>
      </c>
      <c r="S118" s="3">
        <v>153.4</v>
      </c>
      <c r="T118" s="3">
        <v>149.19999999999999</v>
      </c>
      <c r="U118" s="3">
        <v>151.6</v>
      </c>
      <c r="V118" s="3">
        <v>119.5</v>
      </c>
      <c r="W118" s="3">
        <v>174.6</v>
      </c>
      <c r="X118" s="3">
        <v>157.4</v>
      </c>
      <c r="Y118" s="3">
        <v>144.80000000000001</v>
      </c>
      <c r="Z118" s="3">
        <v>156.30000000000001</v>
      </c>
      <c r="AA118" s="3">
        <v>160.9</v>
      </c>
      <c r="AB118" s="3">
        <v>152.6</v>
      </c>
      <c r="AC118" s="3">
        <v>110.3</v>
      </c>
      <c r="AD118" s="3">
        <v>95.6</v>
      </c>
      <c r="AE118" s="3">
        <v>149.4</v>
      </c>
      <c r="AF118" s="3">
        <v>125.6</v>
      </c>
      <c r="AG118" s="3">
        <v>122.1</v>
      </c>
      <c r="AH118" s="3">
        <v>135.80000000000001</v>
      </c>
      <c r="AI118" s="3">
        <v>145.4</v>
      </c>
      <c r="AJ118" s="3">
        <v>175.1</v>
      </c>
      <c r="AK118" s="3">
        <v>192.4</v>
      </c>
      <c r="AL118" s="3">
        <v>174.7</v>
      </c>
      <c r="AM118" s="3">
        <v>179.9</v>
      </c>
      <c r="AN118" s="3">
        <v>184.5</v>
      </c>
      <c r="AO118" s="3">
        <v>150.19999999999999</v>
      </c>
      <c r="AP118" s="3">
        <v>158.1</v>
      </c>
      <c r="AQ118" s="3">
        <v>174.4</v>
      </c>
      <c r="AR118" s="3">
        <v>148.4</v>
      </c>
      <c r="AS118" s="3">
        <v>194.5</v>
      </c>
      <c r="AT118" s="3">
        <v>176.9</v>
      </c>
      <c r="AU118" s="3">
        <v>211.5</v>
      </c>
      <c r="AV118" s="3">
        <v>155.80000000000001</v>
      </c>
      <c r="AW118" s="3">
        <v>105.3</v>
      </c>
      <c r="AX118" s="3">
        <v>144.4</v>
      </c>
      <c r="AY118" s="3">
        <v>247.3</v>
      </c>
      <c r="AZ118" s="3">
        <v>166.1</v>
      </c>
      <c r="BA118" s="3">
        <v>150.9</v>
      </c>
      <c r="BB118" s="3">
        <v>183.4</v>
      </c>
      <c r="BC118" s="3">
        <v>127.3</v>
      </c>
      <c r="BD118" s="3">
        <v>147.19999999999999</v>
      </c>
      <c r="BE118" s="3">
        <v>124.3</v>
      </c>
      <c r="BF118" s="3">
        <v>130.1</v>
      </c>
      <c r="BG118" s="3">
        <v>139.9</v>
      </c>
      <c r="BH118" s="3">
        <v>141.30000000000001</v>
      </c>
      <c r="BI118" s="3">
        <v>104.4</v>
      </c>
      <c r="BJ118" s="3">
        <v>142</v>
      </c>
      <c r="BK118" s="3">
        <v>158.30000000000001</v>
      </c>
      <c r="BL118" s="3">
        <v>140.80000000000001</v>
      </c>
      <c r="BM118" s="3">
        <v>152.6</v>
      </c>
      <c r="BN118" s="3">
        <v>107.2</v>
      </c>
      <c r="BO118" s="3">
        <v>176</v>
      </c>
      <c r="BP118" s="3">
        <v>160.1</v>
      </c>
      <c r="BQ118" s="3">
        <v>121.3</v>
      </c>
      <c r="BR118" s="3">
        <v>109.1</v>
      </c>
      <c r="BS118" s="3">
        <v>119.9</v>
      </c>
      <c r="BT118" s="3">
        <v>150.80000000000001</v>
      </c>
      <c r="BU118" s="3">
        <v>124</v>
      </c>
      <c r="BV118" s="3">
        <v>120.8</v>
      </c>
      <c r="BW118" s="3">
        <v>172.3</v>
      </c>
      <c r="BX118" s="3">
        <v>211.7</v>
      </c>
      <c r="BY118" s="3">
        <v>141.19999999999999</v>
      </c>
      <c r="BZ118" s="3">
        <v>179.5</v>
      </c>
      <c r="CA118" s="3">
        <v>168.3</v>
      </c>
      <c r="CB118" s="3">
        <v>186.4</v>
      </c>
      <c r="CC118" s="3">
        <v>183.1</v>
      </c>
      <c r="CD118" s="3">
        <v>178.3</v>
      </c>
      <c r="CE118" s="3">
        <v>146.9</v>
      </c>
      <c r="CF118" s="3">
        <v>68.400000000000006</v>
      </c>
      <c r="CG118" s="3">
        <v>118.5</v>
      </c>
      <c r="CH118" s="3">
        <v>121.2</v>
      </c>
      <c r="CI118" s="3">
        <v>176.8</v>
      </c>
      <c r="CJ118" s="3">
        <v>143.80000000000001</v>
      </c>
      <c r="CK118" s="3">
        <v>123</v>
      </c>
      <c r="CL118" s="3">
        <v>214.6</v>
      </c>
      <c r="CM118" s="3">
        <v>111.2</v>
      </c>
      <c r="CN118" s="3">
        <v>105.5</v>
      </c>
    </row>
    <row r="119" spans="1:92" x14ac:dyDescent="0.25">
      <c r="A119" s="4">
        <v>35339</v>
      </c>
      <c r="B119" s="3">
        <v>138.1</v>
      </c>
      <c r="C119" s="3">
        <v>140.9</v>
      </c>
      <c r="D119" s="3">
        <v>152.4</v>
      </c>
      <c r="E119" s="3">
        <v>132.6</v>
      </c>
      <c r="F119" s="3">
        <v>149.9</v>
      </c>
      <c r="G119" s="3">
        <v>152.6</v>
      </c>
      <c r="H119" s="3">
        <v>159.9</v>
      </c>
      <c r="I119" s="3">
        <v>161.69999999999999</v>
      </c>
      <c r="J119" s="3">
        <v>116.1</v>
      </c>
      <c r="K119" s="3">
        <v>133.6</v>
      </c>
      <c r="L119" s="3">
        <v>120.5</v>
      </c>
      <c r="M119" s="3">
        <v>120.2</v>
      </c>
      <c r="N119" s="3">
        <v>121.8</v>
      </c>
      <c r="O119" s="3">
        <v>167.8</v>
      </c>
      <c r="P119" s="3">
        <v>137.4</v>
      </c>
      <c r="Q119" s="3">
        <v>161.9</v>
      </c>
      <c r="R119" s="3">
        <v>150.6</v>
      </c>
      <c r="S119" s="3">
        <v>153.69999999999999</v>
      </c>
      <c r="T119" s="3">
        <v>149.19999999999999</v>
      </c>
      <c r="U119" s="3">
        <v>151.69999999999999</v>
      </c>
      <c r="V119" s="3">
        <v>118.8</v>
      </c>
      <c r="W119" s="3">
        <v>175</v>
      </c>
      <c r="X119" s="3">
        <v>157.80000000000001</v>
      </c>
      <c r="Y119" s="3">
        <v>145</v>
      </c>
      <c r="Z119" s="3">
        <v>139.30000000000001</v>
      </c>
      <c r="AA119" s="3">
        <v>117.1</v>
      </c>
      <c r="AB119" s="3">
        <v>149.1</v>
      </c>
      <c r="AC119" s="3">
        <v>106.9</v>
      </c>
      <c r="AD119" s="3">
        <v>91.3</v>
      </c>
      <c r="AE119" s="3">
        <v>148.80000000000001</v>
      </c>
      <c r="AF119" s="3">
        <v>128.5</v>
      </c>
      <c r="AG119" s="3">
        <v>125.6</v>
      </c>
      <c r="AH119" s="3">
        <v>133.80000000000001</v>
      </c>
      <c r="AI119" s="3">
        <v>144.4</v>
      </c>
      <c r="AJ119" s="3">
        <v>175.5</v>
      </c>
      <c r="AK119" s="3">
        <v>192.4</v>
      </c>
      <c r="AL119" s="3">
        <v>175.3</v>
      </c>
      <c r="AM119" s="3">
        <v>180.3</v>
      </c>
      <c r="AN119" s="3">
        <v>184.9</v>
      </c>
      <c r="AO119" s="3">
        <v>150.80000000000001</v>
      </c>
      <c r="AP119" s="3">
        <v>158.19999999999999</v>
      </c>
      <c r="AQ119" s="3">
        <v>174.8</v>
      </c>
      <c r="AR119" s="3">
        <v>148.4</v>
      </c>
      <c r="AS119" s="3">
        <v>194.7</v>
      </c>
      <c r="AT119" s="3">
        <v>177</v>
      </c>
      <c r="AU119" s="3">
        <v>211.7</v>
      </c>
      <c r="AV119" s="3">
        <v>156.19999999999999</v>
      </c>
      <c r="AW119" s="3">
        <v>105.8</v>
      </c>
      <c r="AX119" s="3">
        <v>144.4</v>
      </c>
      <c r="AY119" s="3">
        <v>247.3</v>
      </c>
      <c r="AZ119" s="3">
        <v>167.8</v>
      </c>
      <c r="BA119" s="3">
        <v>150.69999999999999</v>
      </c>
      <c r="BB119" s="3">
        <v>182.8</v>
      </c>
      <c r="BC119" s="3">
        <v>129.80000000000001</v>
      </c>
      <c r="BD119" s="3">
        <v>145.80000000000001</v>
      </c>
      <c r="BE119" s="3">
        <v>124.3</v>
      </c>
      <c r="BF119" s="3">
        <v>140.9</v>
      </c>
      <c r="BG119" s="3">
        <v>139.4</v>
      </c>
      <c r="BH119" s="3">
        <v>139.5</v>
      </c>
      <c r="BI119" s="3">
        <v>104.2</v>
      </c>
      <c r="BJ119" s="3">
        <v>140.6</v>
      </c>
      <c r="BK119" s="3">
        <v>158.69999999999999</v>
      </c>
      <c r="BL119" s="3">
        <v>141.30000000000001</v>
      </c>
      <c r="BM119" s="3">
        <v>152.6</v>
      </c>
      <c r="BN119" s="3">
        <v>104.7</v>
      </c>
      <c r="BO119" s="3">
        <v>176.5</v>
      </c>
      <c r="BP119" s="3">
        <v>160.6</v>
      </c>
      <c r="BQ119" s="3">
        <v>121.6</v>
      </c>
      <c r="BR119" s="3">
        <v>107.8</v>
      </c>
      <c r="BS119" s="3">
        <v>121.4</v>
      </c>
      <c r="BT119" s="3">
        <v>151.4</v>
      </c>
      <c r="BU119" s="3">
        <v>124.7</v>
      </c>
      <c r="BV119" s="3">
        <v>120.1</v>
      </c>
      <c r="BW119" s="3">
        <v>174.2</v>
      </c>
      <c r="BX119" s="3">
        <v>213.7</v>
      </c>
      <c r="BY119" s="3">
        <v>140.6</v>
      </c>
      <c r="BZ119" s="3">
        <v>180.1</v>
      </c>
      <c r="CA119" s="3">
        <v>171</v>
      </c>
      <c r="CB119" s="3">
        <v>189.7</v>
      </c>
      <c r="CC119" s="3">
        <v>183.6</v>
      </c>
      <c r="CD119" s="3">
        <v>178.9</v>
      </c>
      <c r="CE119" s="3">
        <v>146.19999999999999</v>
      </c>
      <c r="CF119" s="3">
        <v>68.2</v>
      </c>
      <c r="CG119" s="3">
        <v>119.6</v>
      </c>
      <c r="CH119" s="3">
        <v>121</v>
      </c>
      <c r="CI119" s="3">
        <v>175.2</v>
      </c>
      <c r="CJ119" s="3">
        <v>144.19999999999999</v>
      </c>
      <c r="CK119" s="3">
        <v>124.7</v>
      </c>
      <c r="CL119" s="3">
        <v>215.1</v>
      </c>
      <c r="CM119" s="3">
        <v>111.5</v>
      </c>
      <c r="CN119" s="3">
        <v>105.8</v>
      </c>
    </row>
    <row r="120" spans="1:92" x14ac:dyDescent="0.25">
      <c r="A120" s="4">
        <v>35370</v>
      </c>
      <c r="B120" s="3">
        <v>138.30000000000001</v>
      </c>
      <c r="C120" s="3">
        <v>139</v>
      </c>
      <c r="D120" s="3">
        <v>151.4</v>
      </c>
      <c r="E120" s="3">
        <v>132</v>
      </c>
      <c r="F120" s="3">
        <v>154</v>
      </c>
      <c r="G120" s="3">
        <v>157.30000000000001</v>
      </c>
      <c r="H120" s="3">
        <v>155.4</v>
      </c>
      <c r="I120" s="3">
        <v>160.6</v>
      </c>
      <c r="J120" s="3">
        <v>109.1</v>
      </c>
      <c r="K120" s="3">
        <v>133.69999999999999</v>
      </c>
      <c r="L120" s="3">
        <v>122.6</v>
      </c>
      <c r="M120" s="3">
        <v>124</v>
      </c>
      <c r="N120" s="3">
        <v>121.6</v>
      </c>
      <c r="O120" s="3">
        <v>167.7</v>
      </c>
      <c r="P120" s="3">
        <v>138.4</v>
      </c>
      <c r="Q120" s="3">
        <v>166.7</v>
      </c>
      <c r="R120" s="3">
        <v>152.19999999999999</v>
      </c>
      <c r="S120" s="3">
        <v>154.1</v>
      </c>
      <c r="T120" s="3">
        <v>147.9</v>
      </c>
      <c r="U120" s="3">
        <v>151.69999999999999</v>
      </c>
      <c r="V120" s="3">
        <v>119</v>
      </c>
      <c r="W120" s="3">
        <v>174.7</v>
      </c>
      <c r="X120" s="3">
        <v>157.5</v>
      </c>
      <c r="Y120" s="3">
        <v>144.30000000000001</v>
      </c>
      <c r="Z120" s="3">
        <v>135.4</v>
      </c>
      <c r="AA120" s="3">
        <v>107</v>
      </c>
      <c r="AB120" s="3">
        <v>148.30000000000001</v>
      </c>
      <c r="AC120" s="3">
        <v>104.7</v>
      </c>
      <c r="AD120" s="3">
        <v>88.9</v>
      </c>
      <c r="AE120" s="3">
        <v>147.30000000000001</v>
      </c>
      <c r="AF120" s="3">
        <v>129.5</v>
      </c>
      <c r="AG120" s="3">
        <v>126.5</v>
      </c>
      <c r="AH120" s="3">
        <v>134.5</v>
      </c>
      <c r="AI120" s="3">
        <v>145</v>
      </c>
      <c r="AJ120" s="3">
        <v>175.7</v>
      </c>
      <c r="AK120" s="3">
        <v>193.3</v>
      </c>
      <c r="AL120" s="3">
        <v>175.7</v>
      </c>
      <c r="AM120" s="3">
        <v>179.7</v>
      </c>
      <c r="AN120" s="3">
        <v>185.2</v>
      </c>
      <c r="AO120" s="3">
        <v>147.19999999999999</v>
      </c>
      <c r="AP120" s="3">
        <v>158.30000000000001</v>
      </c>
      <c r="AQ120" s="3">
        <v>175.3</v>
      </c>
      <c r="AR120" s="3">
        <v>148.4</v>
      </c>
      <c r="AS120" s="3">
        <v>194.5</v>
      </c>
      <c r="AT120" s="3">
        <v>176.6</v>
      </c>
      <c r="AU120" s="3">
        <v>211.8</v>
      </c>
      <c r="AV120" s="3">
        <v>156.9</v>
      </c>
      <c r="AW120" s="3">
        <v>106.3</v>
      </c>
      <c r="AX120" s="3">
        <v>144.4</v>
      </c>
      <c r="AY120" s="3">
        <v>247.3</v>
      </c>
      <c r="AZ120" s="3">
        <v>168.2</v>
      </c>
      <c r="BA120" s="3">
        <v>151.6</v>
      </c>
      <c r="BB120" s="3">
        <v>182.9</v>
      </c>
      <c r="BC120" s="3">
        <v>130.6</v>
      </c>
      <c r="BD120" s="3">
        <v>144.9</v>
      </c>
      <c r="BE120" s="3">
        <v>124.3</v>
      </c>
      <c r="BF120" s="3">
        <v>129.69999999999999</v>
      </c>
      <c r="BG120" s="3">
        <v>141.30000000000001</v>
      </c>
      <c r="BH120" s="3">
        <v>141.9</v>
      </c>
      <c r="BI120" s="3">
        <v>104.8</v>
      </c>
      <c r="BJ120" s="3">
        <v>142.69999999999999</v>
      </c>
      <c r="BK120" s="3">
        <v>158.9</v>
      </c>
      <c r="BL120" s="3">
        <v>141.80000000000001</v>
      </c>
      <c r="BM120" s="3">
        <v>152.6</v>
      </c>
      <c r="BN120" s="3">
        <v>104.7</v>
      </c>
      <c r="BO120" s="3">
        <v>176.7</v>
      </c>
      <c r="BP120" s="3">
        <v>160.6</v>
      </c>
      <c r="BQ120" s="3">
        <v>122.8</v>
      </c>
      <c r="BR120" s="3">
        <v>109.8</v>
      </c>
      <c r="BS120" s="3">
        <v>121.6</v>
      </c>
      <c r="BT120" s="3">
        <v>152.5</v>
      </c>
      <c r="BU120" s="3">
        <v>125.8</v>
      </c>
      <c r="BV120" s="3">
        <v>120.2</v>
      </c>
      <c r="BW120" s="3">
        <v>174.8</v>
      </c>
      <c r="BX120" s="3">
        <v>214</v>
      </c>
      <c r="BY120" s="3">
        <v>137.80000000000001</v>
      </c>
      <c r="BZ120" s="3">
        <v>180.8</v>
      </c>
      <c r="CA120" s="3">
        <v>172.6</v>
      </c>
      <c r="CB120" s="3">
        <v>189.7</v>
      </c>
      <c r="CC120" s="3">
        <v>183.6</v>
      </c>
      <c r="CD120" s="3">
        <v>178.8</v>
      </c>
      <c r="CE120" s="3">
        <v>145.80000000000001</v>
      </c>
      <c r="CF120" s="3">
        <v>68</v>
      </c>
      <c r="CG120" s="3">
        <v>118.9</v>
      </c>
      <c r="CH120" s="3">
        <v>121.1</v>
      </c>
      <c r="CI120" s="3">
        <v>179.2</v>
      </c>
      <c r="CJ120" s="3">
        <v>144.1</v>
      </c>
      <c r="CK120" s="3">
        <v>124.7</v>
      </c>
      <c r="CL120" s="3">
        <v>215.8</v>
      </c>
      <c r="CM120" s="3">
        <v>111.9</v>
      </c>
      <c r="CN120" s="3">
        <v>105.9</v>
      </c>
    </row>
    <row r="121" spans="1:92" x14ac:dyDescent="0.25">
      <c r="A121" s="4">
        <v>35400</v>
      </c>
      <c r="B121" s="3">
        <v>137.5</v>
      </c>
      <c r="C121" s="3">
        <v>138.69999999999999</v>
      </c>
      <c r="D121" s="3">
        <v>150.6</v>
      </c>
      <c r="E121" s="3">
        <v>134.4</v>
      </c>
      <c r="F121" s="3">
        <v>157.69999999999999</v>
      </c>
      <c r="G121" s="3">
        <v>160.6</v>
      </c>
      <c r="H121" s="3">
        <v>152.80000000000001</v>
      </c>
      <c r="I121" s="3">
        <v>160.80000000000001</v>
      </c>
      <c r="J121" s="3">
        <v>109.2</v>
      </c>
      <c r="K121" s="3">
        <v>133.1</v>
      </c>
      <c r="L121" s="3">
        <v>121.6</v>
      </c>
      <c r="M121" s="3">
        <v>123.1</v>
      </c>
      <c r="N121" s="3">
        <v>120.6</v>
      </c>
      <c r="O121" s="3">
        <v>166.3</v>
      </c>
      <c r="P121" s="3">
        <v>137.80000000000001</v>
      </c>
      <c r="Q121" s="3">
        <v>164.7</v>
      </c>
      <c r="R121" s="3">
        <v>152.6</v>
      </c>
      <c r="S121" s="3">
        <v>154.4</v>
      </c>
      <c r="T121" s="3">
        <v>147.4</v>
      </c>
      <c r="U121" s="3">
        <v>150.4</v>
      </c>
      <c r="V121" s="3">
        <v>117.6</v>
      </c>
      <c r="W121" s="3">
        <v>174.9</v>
      </c>
      <c r="X121" s="3">
        <v>157</v>
      </c>
      <c r="Y121" s="3">
        <v>144.19999999999999</v>
      </c>
      <c r="Z121" s="3">
        <v>133.80000000000001</v>
      </c>
      <c r="AA121" s="3">
        <v>103.4</v>
      </c>
      <c r="AB121" s="3">
        <v>147.69999999999999</v>
      </c>
      <c r="AC121" s="3">
        <v>110</v>
      </c>
      <c r="AD121" s="3">
        <v>96.1</v>
      </c>
      <c r="AE121" s="3">
        <v>146.69999999999999</v>
      </c>
      <c r="AF121" s="3">
        <v>129.19999999999999</v>
      </c>
      <c r="AG121" s="3">
        <v>126.4</v>
      </c>
      <c r="AH121" s="3">
        <v>133.4</v>
      </c>
      <c r="AI121" s="3">
        <v>144.80000000000001</v>
      </c>
      <c r="AJ121" s="3">
        <v>176.4</v>
      </c>
      <c r="AK121" s="3">
        <v>194.3</v>
      </c>
      <c r="AL121" s="3">
        <v>175.8</v>
      </c>
      <c r="AM121" s="3">
        <v>179.7</v>
      </c>
      <c r="AN121" s="3">
        <v>185.5</v>
      </c>
      <c r="AO121" s="3">
        <v>146.4</v>
      </c>
      <c r="AP121" s="3">
        <v>157</v>
      </c>
      <c r="AQ121" s="3">
        <v>175.7</v>
      </c>
      <c r="AR121" s="3">
        <v>146.30000000000001</v>
      </c>
      <c r="AS121" s="3">
        <v>198.5</v>
      </c>
      <c r="AT121" s="3">
        <v>178.3</v>
      </c>
      <c r="AU121" s="3">
        <v>211.8</v>
      </c>
      <c r="AV121" s="3">
        <v>157.80000000000001</v>
      </c>
      <c r="AW121" s="3">
        <v>106.1</v>
      </c>
      <c r="AX121" s="3">
        <v>144.4</v>
      </c>
      <c r="AY121" s="3">
        <v>247.3</v>
      </c>
      <c r="AZ121" s="3">
        <v>168.8</v>
      </c>
      <c r="BA121" s="3">
        <v>151.9</v>
      </c>
      <c r="BB121" s="3">
        <v>182.9</v>
      </c>
      <c r="BC121" s="3">
        <v>130.9</v>
      </c>
      <c r="BD121" s="3">
        <v>144.19999999999999</v>
      </c>
      <c r="BE121" s="3">
        <v>124.3</v>
      </c>
      <c r="BF121" s="3">
        <v>134.6</v>
      </c>
      <c r="BG121" s="3">
        <v>145.30000000000001</v>
      </c>
      <c r="BH121" s="3">
        <v>144.4</v>
      </c>
      <c r="BI121" s="3">
        <v>104.3</v>
      </c>
      <c r="BJ121" s="3">
        <v>142.80000000000001</v>
      </c>
      <c r="BK121" s="3">
        <v>158.6</v>
      </c>
      <c r="BL121" s="3">
        <v>141.4</v>
      </c>
      <c r="BM121" s="3">
        <v>152.6</v>
      </c>
      <c r="BN121" s="3">
        <v>104.7</v>
      </c>
      <c r="BO121" s="3">
        <v>177.4</v>
      </c>
      <c r="BP121" s="3">
        <v>160.69999999999999</v>
      </c>
      <c r="BQ121" s="3">
        <v>123</v>
      </c>
      <c r="BR121" s="3">
        <v>109.1</v>
      </c>
      <c r="BS121" s="3">
        <v>122.4</v>
      </c>
      <c r="BT121" s="3">
        <v>152.9</v>
      </c>
      <c r="BU121" s="3">
        <v>125.7</v>
      </c>
      <c r="BV121" s="3">
        <v>120.9</v>
      </c>
      <c r="BW121" s="3">
        <v>175.1</v>
      </c>
      <c r="BX121" s="3">
        <v>214.7</v>
      </c>
      <c r="BY121" s="3">
        <v>136.5</v>
      </c>
      <c r="BZ121" s="3">
        <v>181.9</v>
      </c>
      <c r="CA121" s="3">
        <v>178.5</v>
      </c>
      <c r="CB121" s="3">
        <v>191.8</v>
      </c>
      <c r="CC121" s="3">
        <v>183.6</v>
      </c>
      <c r="CD121" s="3">
        <v>178.9</v>
      </c>
      <c r="CE121" s="3">
        <v>145.69999999999999</v>
      </c>
      <c r="CF121" s="3">
        <v>67.7</v>
      </c>
      <c r="CG121" s="3">
        <v>119.5</v>
      </c>
      <c r="CH121" s="3">
        <v>120.6</v>
      </c>
      <c r="CI121" s="3">
        <v>179</v>
      </c>
      <c r="CJ121" s="3">
        <v>144.4</v>
      </c>
      <c r="CK121" s="3">
        <v>124.6</v>
      </c>
      <c r="CL121" s="3">
        <v>216</v>
      </c>
      <c r="CM121" s="3">
        <v>113.1</v>
      </c>
      <c r="CN121" s="3">
        <v>106.3</v>
      </c>
    </row>
    <row r="122" spans="1:92" x14ac:dyDescent="0.25">
      <c r="A122" s="4">
        <v>35431</v>
      </c>
      <c r="B122" s="3">
        <v>138.1</v>
      </c>
      <c r="C122" s="3">
        <v>139.80000000000001</v>
      </c>
      <c r="D122" s="3">
        <v>150.9</v>
      </c>
      <c r="E122" s="3">
        <v>132.69999999999999</v>
      </c>
      <c r="F122" s="3">
        <v>160.19999999999999</v>
      </c>
      <c r="G122" s="3">
        <v>165.7</v>
      </c>
      <c r="H122" s="3">
        <v>150</v>
      </c>
      <c r="I122" s="3">
        <v>159.5</v>
      </c>
      <c r="J122" s="3">
        <v>114.7</v>
      </c>
      <c r="K122" s="3">
        <v>133.30000000000001</v>
      </c>
      <c r="L122" s="3">
        <v>122.9</v>
      </c>
      <c r="M122" s="3">
        <v>123.9</v>
      </c>
      <c r="N122" s="3">
        <v>122.4</v>
      </c>
      <c r="O122" s="3">
        <v>167.7</v>
      </c>
      <c r="P122" s="3">
        <v>139.5</v>
      </c>
      <c r="Q122" s="3">
        <v>165.3</v>
      </c>
      <c r="R122" s="3">
        <v>152.4</v>
      </c>
      <c r="S122" s="3">
        <v>154.4</v>
      </c>
      <c r="T122" s="3">
        <v>143.80000000000001</v>
      </c>
      <c r="U122" s="3">
        <v>148</v>
      </c>
      <c r="V122" s="3">
        <v>118.8</v>
      </c>
      <c r="W122" s="3">
        <v>176.1</v>
      </c>
      <c r="X122" s="3">
        <v>157.69999999999999</v>
      </c>
      <c r="Y122" s="3">
        <v>144.5</v>
      </c>
      <c r="Z122" s="3">
        <v>132</v>
      </c>
      <c r="AA122" s="3">
        <v>99.2</v>
      </c>
      <c r="AB122" s="3">
        <v>147.1</v>
      </c>
      <c r="AC122" s="3">
        <v>122.1</v>
      </c>
      <c r="AD122" s="3">
        <v>111.5</v>
      </c>
      <c r="AE122" s="3">
        <v>148.19999999999999</v>
      </c>
      <c r="AF122" s="3">
        <v>126.1</v>
      </c>
      <c r="AG122" s="3">
        <v>122.7</v>
      </c>
      <c r="AH122" s="3">
        <v>135.30000000000001</v>
      </c>
      <c r="AI122" s="3">
        <v>145.69999999999999</v>
      </c>
      <c r="AJ122" s="3">
        <v>176.6</v>
      </c>
      <c r="AK122" s="3">
        <v>195.4</v>
      </c>
      <c r="AL122" s="3">
        <v>176.3</v>
      </c>
      <c r="AM122" s="3">
        <v>180.5</v>
      </c>
      <c r="AN122" s="3">
        <v>185.3</v>
      </c>
      <c r="AO122" s="3">
        <v>150.4</v>
      </c>
      <c r="AP122" s="3">
        <v>158.1</v>
      </c>
      <c r="AQ122" s="3">
        <v>175.8</v>
      </c>
      <c r="AR122" s="3">
        <v>147.80000000000001</v>
      </c>
      <c r="AS122" s="3">
        <v>202.5</v>
      </c>
      <c r="AT122" s="3">
        <v>180.6</v>
      </c>
      <c r="AU122" s="3">
        <v>212.6</v>
      </c>
      <c r="AV122" s="3">
        <v>163.80000000000001</v>
      </c>
      <c r="AW122" s="3">
        <v>106.1</v>
      </c>
      <c r="AX122" s="3">
        <v>144.4</v>
      </c>
      <c r="AY122" s="3">
        <v>247.3</v>
      </c>
      <c r="AZ122" s="3">
        <v>175.4</v>
      </c>
      <c r="BA122" s="3">
        <v>151.9</v>
      </c>
      <c r="BB122" s="3">
        <v>185</v>
      </c>
      <c r="BC122" s="3">
        <v>131</v>
      </c>
      <c r="BD122" s="3">
        <v>142.5</v>
      </c>
      <c r="BE122" s="3">
        <v>124.3</v>
      </c>
      <c r="BF122" s="3">
        <v>135.30000000000001</v>
      </c>
      <c r="BG122" s="3">
        <v>135.6</v>
      </c>
      <c r="BH122" s="3">
        <v>137.30000000000001</v>
      </c>
      <c r="BI122" s="3">
        <v>100.9</v>
      </c>
      <c r="BJ122" s="3">
        <v>140.5</v>
      </c>
      <c r="BK122" s="3">
        <v>155.9</v>
      </c>
      <c r="BL122" s="3">
        <v>143.5</v>
      </c>
      <c r="BM122" s="3">
        <v>152.6</v>
      </c>
      <c r="BN122" s="3">
        <v>104.4</v>
      </c>
      <c r="BO122" s="3">
        <v>178.9</v>
      </c>
      <c r="BP122" s="3">
        <v>162</v>
      </c>
      <c r="BQ122" s="3">
        <v>114.9</v>
      </c>
      <c r="BR122" s="3">
        <v>100.1</v>
      </c>
      <c r="BS122" s="3">
        <v>116.5</v>
      </c>
      <c r="BT122" s="3">
        <v>149.30000000000001</v>
      </c>
      <c r="BU122" s="3">
        <v>119.8</v>
      </c>
      <c r="BV122" s="3">
        <v>119</v>
      </c>
      <c r="BW122" s="3">
        <v>175.2</v>
      </c>
      <c r="BX122" s="3">
        <v>215.6</v>
      </c>
      <c r="BY122" s="3">
        <v>139.5</v>
      </c>
      <c r="BZ122" s="3">
        <v>183.4</v>
      </c>
      <c r="CA122" s="3">
        <v>177.3</v>
      </c>
      <c r="CB122" s="3">
        <v>193.3</v>
      </c>
      <c r="CC122" s="3">
        <v>185.5</v>
      </c>
      <c r="CD122" s="3">
        <v>180.8</v>
      </c>
      <c r="CE122" s="3">
        <v>146.30000000000001</v>
      </c>
      <c r="CF122" s="3">
        <v>66.099999999999994</v>
      </c>
      <c r="CG122" s="3">
        <v>117.2</v>
      </c>
      <c r="CH122" s="3">
        <v>120.6</v>
      </c>
      <c r="CI122" s="3">
        <v>179.7</v>
      </c>
      <c r="CJ122" s="3">
        <v>145.9</v>
      </c>
      <c r="CK122" s="3">
        <v>124.4</v>
      </c>
      <c r="CL122" s="3">
        <v>217</v>
      </c>
      <c r="CM122" s="3">
        <v>113.7</v>
      </c>
      <c r="CN122" s="3">
        <v>106.5</v>
      </c>
    </row>
    <row r="123" spans="1:92" x14ac:dyDescent="0.25">
      <c r="A123" s="4">
        <v>35462</v>
      </c>
      <c r="B123" s="3">
        <v>137</v>
      </c>
      <c r="C123" s="3">
        <v>140.4</v>
      </c>
      <c r="D123" s="3">
        <v>152.9</v>
      </c>
      <c r="E123" s="3">
        <v>135.5</v>
      </c>
      <c r="F123" s="3">
        <v>160</v>
      </c>
      <c r="G123" s="3">
        <v>165.7</v>
      </c>
      <c r="H123" s="3">
        <v>148.80000000000001</v>
      </c>
      <c r="I123" s="3">
        <v>159.30000000000001</v>
      </c>
      <c r="J123" s="3">
        <v>114.1</v>
      </c>
      <c r="K123" s="3">
        <v>133.19999999999999</v>
      </c>
      <c r="L123" s="3">
        <v>126.1</v>
      </c>
      <c r="M123" s="3">
        <v>129</v>
      </c>
      <c r="N123" s="3">
        <v>123.7</v>
      </c>
      <c r="O123" s="3">
        <v>166.9</v>
      </c>
      <c r="P123" s="3">
        <v>139.5</v>
      </c>
      <c r="Q123" s="3">
        <v>164</v>
      </c>
      <c r="R123" s="3">
        <v>152.30000000000001</v>
      </c>
      <c r="S123" s="3">
        <v>154.5</v>
      </c>
      <c r="T123" s="3">
        <v>143.4</v>
      </c>
      <c r="U123" s="3">
        <v>149.5</v>
      </c>
      <c r="V123" s="3">
        <v>116.7</v>
      </c>
      <c r="W123" s="3">
        <v>181.1</v>
      </c>
      <c r="X123" s="3">
        <v>156.9</v>
      </c>
      <c r="Y123" s="3">
        <v>144.9</v>
      </c>
      <c r="Z123" s="3">
        <v>128.1</v>
      </c>
      <c r="AA123" s="3">
        <v>92.3</v>
      </c>
      <c r="AB123" s="3">
        <v>144.19999999999999</v>
      </c>
      <c r="AC123" s="3">
        <v>116.7</v>
      </c>
      <c r="AD123" s="3">
        <v>104.3</v>
      </c>
      <c r="AE123" s="3">
        <v>148.69999999999999</v>
      </c>
      <c r="AF123" s="3">
        <v>124.4</v>
      </c>
      <c r="AG123" s="3">
        <v>120.8</v>
      </c>
      <c r="AH123" s="3">
        <v>135.1</v>
      </c>
      <c r="AI123" s="3">
        <v>145.69999999999999</v>
      </c>
      <c r="AJ123" s="3">
        <v>177.3</v>
      </c>
      <c r="AK123" s="3">
        <v>195.4</v>
      </c>
      <c r="AL123" s="3">
        <v>176.7</v>
      </c>
      <c r="AM123" s="3">
        <v>182.3</v>
      </c>
      <c r="AN123" s="3">
        <v>185.8</v>
      </c>
      <c r="AO123" s="3">
        <v>155.19999999999999</v>
      </c>
      <c r="AP123" s="3">
        <v>158.30000000000001</v>
      </c>
      <c r="AQ123" s="3">
        <v>176.3</v>
      </c>
      <c r="AR123" s="3">
        <v>147.9</v>
      </c>
      <c r="AS123" s="3">
        <v>203.4</v>
      </c>
      <c r="AT123" s="3">
        <v>180.9</v>
      </c>
      <c r="AU123" s="3">
        <v>212.6</v>
      </c>
      <c r="AV123" s="3">
        <v>165.3</v>
      </c>
      <c r="AW123" s="3">
        <v>107.2</v>
      </c>
      <c r="AX123" s="3">
        <v>144.4</v>
      </c>
      <c r="AY123" s="3">
        <v>247.3</v>
      </c>
      <c r="AZ123" s="3">
        <v>175.5</v>
      </c>
      <c r="BA123" s="3">
        <v>153</v>
      </c>
      <c r="BB123" s="3">
        <v>185.4</v>
      </c>
      <c r="BC123" s="3">
        <v>131</v>
      </c>
      <c r="BD123" s="3">
        <v>143.19999999999999</v>
      </c>
      <c r="BE123" s="3">
        <v>124.3</v>
      </c>
      <c r="BF123" s="3">
        <v>129.80000000000001</v>
      </c>
      <c r="BG123" s="3">
        <v>138</v>
      </c>
      <c r="BH123" s="3">
        <v>140.1</v>
      </c>
      <c r="BI123" s="3">
        <v>100.9</v>
      </c>
      <c r="BJ123" s="3">
        <v>140.5</v>
      </c>
      <c r="BK123" s="3">
        <v>155.4</v>
      </c>
      <c r="BL123" s="3">
        <v>144.1</v>
      </c>
      <c r="BM123" s="3">
        <v>152.6</v>
      </c>
      <c r="BN123" s="3">
        <v>104.4</v>
      </c>
      <c r="BO123" s="3">
        <v>179.2</v>
      </c>
      <c r="BP123" s="3">
        <v>162.5</v>
      </c>
      <c r="BQ123" s="3">
        <v>116.4</v>
      </c>
      <c r="BR123" s="3">
        <v>102.1</v>
      </c>
      <c r="BS123" s="3">
        <v>119</v>
      </c>
      <c r="BT123" s="3">
        <v>152.4</v>
      </c>
      <c r="BU123" s="3">
        <v>119.2</v>
      </c>
      <c r="BV123" s="3">
        <v>118.6</v>
      </c>
      <c r="BW123" s="3">
        <v>176</v>
      </c>
      <c r="BX123" s="3">
        <v>216.1</v>
      </c>
      <c r="BY123" s="3">
        <v>141.5</v>
      </c>
      <c r="BZ123" s="3">
        <v>184.6</v>
      </c>
      <c r="CA123" s="3">
        <v>176.6</v>
      </c>
      <c r="CB123" s="3">
        <v>193.3</v>
      </c>
      <c r="CC123" s="3">
        <v>187.5</v>
      </c>
      <c r="CD123" s="3">
        <v>180.8</v>
      </c>
      <c r="CE123" s="3">
        <v>146.80000000000001</v>
      </c>
      <c r="CF123" s="3">
        <v>66</v>
      </c>
      <c r="CG123" s="3">
        <v>118.5</v>
      </c>
      <c r="CH123" s="3">
        <v>121.4</v>
      </c>
      <c r="CI123" s="3">
        <v>180.1</v>
      </c>
      <c r="CJ123" s="3">
        <v>146.69999999999999</v>
      </c>
      <c r="CK123" s="3">
        <v>124.4</v>
      </c>
      <c r="CL123" s="3">
        <v>217.2</v>
      </c>
      <c r="CM123" s="3">
        <v>114.1</v>
      </c>
      <c r="CN123" s="3">
        <v>106.6</v>
      </c>
    </row>
    <row r="124" spans="1:92" x14ac:dyDescent="0.25">
      <c r="A124" s="4">
        <v>35490</v>
      </c>
      <c r="B124" s="3">
        <v>136.80000000000001</v>
      </c>
      <c r="C124" s="3">
        <v>140.69999999999999</v>
      </c>
      <c r="D124" s="3">
        <v>151.80000000000001</v>
      </c>
      <c r="E124" s="3">
        <v>134.6</v>
      </c>
      <c r="F124" s="3">
        <v>160.6</v>
      </c>
      <c r="G124" s="3">
        <v>166.5</v>
      </c>
      <c r="H124" s="3">
        <v>148.1</v>
      </c>
      <c r="I124" s="3">
        <v>156.5</v>
      </c>
      <c r="J124" s="3">
        <v>109.8</v>
      </c>
      <c r="K124" s="3">
        <v>132.4</v>
      </c>
      <c r="L124" s="3">
        <v>123.1</v>
      </c>
      <c r="M124" s="3">
        <v>123.3</v>
      </c>
      <c r="N124" s="3">
        <v>123.4</v>
      </c>
      <c r="O124" s="3">
        <v>167.2</v>
      </c>
      <c r="P124" s="3">
        <v>139.30000000000001</v>
      </c>
      <c r="Q124" s="3">
        <v>167.8</v>
      </c>
      <c r="R124" s="3">
        <v>151.9</v>
      </c>
      <c r="S124" s="3">
        <v>153.5</v>
      </c>
      <c r="T124" s="3">
        <v>145</v>
      </c>
      <c r="U124" s="3">
        <v>149.30000000000001</v>
      </c>
      <c r="V124" s="3">
        <v>117.9</v>
      </c>
      <c r="W124" s="3">
        <v>182</v>
      </c>
      <c r="X124" s="3">
        <v>156.80000000000001</v>
      </c>
      <c r="Y124" s="3">
        <v>145.4</v>
      </c>
      <c r="Z124" s="3">
        <v>127.8</v>
      </c>
      <c r="AA124" s="3">
        <v>94.3</v>
      </c>
      <c r="AB124" s="3">
        <v>143.1</v>
      </c>
      <c r="AC124" s="3">
        <v>109.9</v>
      </c>
      <c r="AD124" s="3">
        <v>96.3</v>
      </c>
      <c r="AE124" s="3">
        <v>145.6</v>
      </c>
      <c r="AF124" s="3">
        <v>126</v>
      </c>
      <c r="AG124" s="3">
        <v>122.6</v>
      </c>
      <c r="AH124" s="3">
        <v>135.19999999999999</v>
      </c>
      <c r="AI124" s="3">
        <v>145.80000000000001</v>
      </c>
      <c r="AJ124" s="3">
        <v>177.6</v>
      </c>
      <c r="AK124" s="3">
        <v>195.5</v>
      </c>
      <c r="AL124" s="3">
        <v>177</v>
      </c>
      <c r="AM124" s="3">
        <v>182.2</v>
      </c>
      <c r="AN124" s="3">
        <v>186.2</v>
      </c>
      <c r="AO124" s="3">
        <v>153.80000000000001</v>
      </c>
      <c r="AP124" s="3">
        <v>158.19999999999999</v>
      </c>
      <c r="AQ124" s="3">
        <v>176.9</v>
      </c>
      <c r="AR124" s="3">
        <v>147.4</v>
      </c>
      <c r="AS124" s="3">
        <v>204</v>
      </c>
      <c r="AT124" s="3">
        <v>180.9</v>
      </c>
      <c r="AU124" s="3">
        <v>212.8</v>
      </c>
      <c r="AV124" s="3">
        <v>165.9</v>
      </c>
      <c r="AW124" s="3">
        <v>106.5</v>
      </c>
      <c r="AX124" s="3">
        <v>144.4</v>
      </c>
      <c r="AY124" s="3">
        <v>247.3</v>
      </c>
      <c r="AZ124" s="3">
        <v>175.8</v>
      </c>
      <c r="BA124" s="3">
        <v>154.19999999999999</v>
      </c>
      <c r="BB124" s="3">
        <v>185.2</v>
      </c>
      <c r="BC124" s="3">
        <v>130.80000000000001</v>
      </c>
      <c r="BD124" s="3">
        <v>143.80000000000001</v>
      </c>
      <c r="BE124" s="3">
        <v>124.3</v>
      </c>
      <c r="BF124" s="3">
        <v>122.9</v>
      </c>
      <c r="BG124" s="3">
        <v>144.80000000000001</v>
      </c>
      <c r="BH124" s="3">
        <v>145.19999999999999</v>
      </c>
      <c r="BI124" s="3">
        <v>102.4</v>
      </c>
      <c r="BJ124" s="3">
        <v>142.69999999999999</v>
      </c>
      <c r="BK124" s="3">
        <v>155.80000000000001</v>
      </c>
      <c r="BL124" s="3">
        <v>144</v>
      </c>
      <c r="BM124" s="3">
        <v>152.6</v>
      </c>
      <c r="BN124" s="3">
        <v>103.7</v>
      </c>
      <c r="BO124" s="3">
        <v>179.7</v>
      </c>
      <c r="BP124" s="3">
        <v>162.6</v>
      </c>
      <c r="BQ124" s="3">
        <v>119.4</v>
      </c>
      <c r="BR124" s="3">
        <v>103.9</v>
      </c>
      <c r="BS124" s="3">
        <v>121.9</v>
      </c>
      <c r="BT124" s="3">
        <v>156.4</v>
      </c>
      <c r="BU124" s="3">
        <v>120.2</v>
      </c>
      <c r="BV124" s="3">
        <v>120.2</v>
      </c>
      <c r="BW124" s="3">
        <v>177</v>
      </c>
      <c r="BX124" s="3">
        <v>216.6</v>
      </c>
      <c r="BY124" s="3">
        <v>142.1</v>
      </c>
      <c r="BZ124" s="3">
        <v>184.9</v>
      </c>
      <c r="CA124" s="3">
        <v>175.1</v>
      </c>
      <c r="CB124" s="3">
        <v>193.3</v>
      </c>
      <c r="CC124" s="3">
        <v>187.5</v>
      </c>
      <c r="CD124" s="3">
        <v>180.9</v>
      </c>
      <c r="CE124" s="3">
        <v>147.19999999999999</v>
      </c>
      <c r="CF124" s="3">
        <v>65.900000000000006</v>
      </c>
      <c r="CG124" s="3">
        <v>118.2</v>
      </c>
      <c r="CH124" s="3">
        <v>121.6</v>
      </c>
      <c r="CI124" s="3">
        <v>180.3</v>
      </c>
      <c r="CJ124" s="3">
        <v>147.6</v>
      </c>
      <c r="CK124" s="3">
        <v>124.4</v>
      </c>
      <c r="CL124" s="3">
        <v>217.3</v>
      </c>
      <c r="CM124" s="3">
        <v>114.5</v>
      </c>
      <c r="CN124" s="3">
        <v>106.7</v>
      </c>
    </row>
    <row r="125" spans="1:92" x14ac:dyDescent="0.25">
      <c r="A125" s="4">
        <v>35521</v>
      </c>
      <c r="B125" s="3">
        <v>135.19999999999999</v>
      </c>
      <c r="C125" s="3">
        <v>142.1</v>
      </c>
      <c r="D125" s="3">
        <v>151.69999999999999</v>
      </c>
      <c r="E125" s="3">
        <v>133.30000000000001</v>
      </c>
      <c r="F125" s="3">
        <v>160.6</v>
      </c>
      <c r="G125" s="3">
        <v>168.2</v>
      </c>
      <c r="H125" s="3">
        <v>152.9</v>
      </c>
      <c r="I125" s="3">
        <v>159.9</v>
      </c>
      <c r="J125" s="3">
        <v>112.7</v>
      </c>
      <c r="K125" s="3">
        <v>133.1</v>
      </c>
      <c r="L125" s="3">
        <v>122.8</v>
      </c>
      <c r="M125" s="3">
        <v>122.1</v>
      </c>
      <c r="N125" s="3">
        <v>124</v>
      </c>
      <c r="O125" s="3">
        <v>163</v>
      </c>
      <c r="P125" s="3">
        <v>140.69999999999999</v>
      </c>
      <c r="Q125" s="3">
        <v>166.6</v>
      </c>
      <c r="R125" s="3">
        <v>152.30000000000001</v>
      </c>
      <c r="S125" s="3">
        <v>152.9</v>
      </c>
      <c r="T125" s="3">
        <v>142.80000000000001</v>
      </c>
      <c r="U125" s="3">
        <v>149.5</v>
      </c>
      <c r="V125" s="3">
        <v>125.9</v>
      </c>
      <c r="W125" s="3">
        <v>180.7</v>
      </c>
      <c r="X125" s="3">
        <v>156.80000000000001</v>
      </c>
      <c r="Y125" s="3">
        <v>146.4</v>
      </c>
      <c r="Z125" s="3">
        <v>126.9</v>
      </c>
      <c r="AA125" s="3">
        <v>93.7</v>
      </c>
      <c r="AB125" s="3">
        <v>142</v>
      </c>
      <c r="AC125" s="3">
        <v>110.5</v>
      </c>
      <c r="AD125" s="3">
        <v>96.1</v>
      </c>
      <c r="AE125" s="3">
        <v>148.9</v>
      </c>
      <c r="AF125" s="3">
        <v>128</v>
      </c>
      <c r="AG125" s="3">
        <v>124.8</v>
      </c>
      <c r="AH125" s="3">
        <v>135.5</v>
      </c>
      <c r="AI125" s="3">
        <v>146.5</v>
      </c>
      <c r="AJ125" s="3">
        <v>178.8</v>
      </c>
      <c r="AK125" s="3">
        <v>197.2</v>
      </c>
      <c r="AL125" s="3">
        <v>177.8</v>
      </c>
      <c r="AM125" s="3">
        <v>182.7</v>
      </c>
      <c r="AN125" s="3">
        <v>186.8</v>
      </c>
      <c r="AO125" s="3">
        <v>154</v>
      </c>
      <c r="AP125" s="3">
        <v>159</v>
      </c>
      <c r="AQ125" s="3">
        <v>177.8</v>
      </c>
      <c r="AR125" s="3">
        <v>148.19999999999999</v>
      </c>
      <c r="AS125" s="3">
        <v>206.5</v>
      </c>
      <c r="AT125" s="3">
        <v>182.6</v>
      </c>
      <c r="AU125" s="3">
        <v>216.6</v>
      </c>
      <c r="AV125" s="3">
        <v>166.3</v>
      </c>
      <c r="AW125" s="3">
        <v>106.3</v>
      </c>
      <c r="AX125" s="3">
        <v>154.5</v>
      </c>
      <c r="AY125" s="3">
        <v>257.8</v>
      </c>
      <c r="AZ125" s="3">
        <v>176.7</v>
      </c>
      <c r="BA125" s="3">
        <v>154.1</v>
      </c>
      <c r="BB125" s="3">
        <v>185.9</v>
      </c>
      <c r="BC125" s="3">
        <v>130.6</v>
      </c>
      <c r="BD125" s="3">
        <v>143.5</v>
      </c>
      <c r="BE125" s="3">
        <v>124.2</v>
      </c>
      <c r="BF125" s="3">
        <v>119.2</v>
      </c>
      <c r="BG125" s="3">
        <v>142</v>
      </c>
      <c r="BH125" s="3">
        <v>142.5</v>
      </c>
      <c r="BI125" s="3">
        <v>102.5</v>
      </c>
      <c r="BJ125" s="3">
        <v>142.69999999999999</v>
      </c>
      <c r="BK125" s="3">
        <v>156.4</v>
      </c>
      <c r="BL125" s="3">
        <v>144.69999999999999</v>
      </c>
      <c r="BM125" s="3">
        <v>153</v>
      </c>
      <c r="BN125" s="3">
        <v>103.7</v>
      </c>
      <c r="BO125" s="3">
        <v>180.7</v>
      </c>
      <c r="BP125" s="3">
        <v>163.6</v>
      </c>
      <c r="BQ125" s="3">
        <v>119</v>
      </c>
      <c r="BR125" s="3">
        <v>106.4</v>
      </c>
      <c r="BS125" s="3">
        <v>124.8</v>
      </c>
      <c r="BT125" s="3">
        <v>156.1</v>
      </c>
      <c r="BU125" s="3">
        <v>120.8</v>
      </c>
      <c r="BV125" s="3">
        <v>120.7</v>
      </c>
      <c r="BW125" s="3">
        <v>178.5</v>
      </c>
      <c r="BX125" s="3">
        <v>219.4</v>
      </c>
      <c r="BY125" s="3">
        <v>141.69999999999999</v>
      </c>
      <c r="BZ125" s="3">
        <v>185.6</v>
      </c>
      <c r="CA125" s="3">
        <v>173.9</v>
      </c>
      <c r="CB125" s="3">
        <v>194</v>
      </c>
      <c r="CC125" s="3">
        <v>187.7</v>
      </c>
      <c r="CD125" s="3">
        <v>182.5</v>
      </c>
      <c r="CE125" s="3">
        <v>148.19999999999999</v>
      </c>
      <c r="CF125" s="3">
        <v>65.400000000000006</v>
      </c>
      <c r="CG125" s="3">
        <v>119.6</v>
      </c>
      <c r="CH125" s="3">
        <v>121.1</v>
      </c>
      <c r="CI125" s="3">
        <v>181.5</v>
      </c>
      <c r="CJ125" s="3">
        <v>146.69999999999999</v>
      </c>
      <c r="CK125" s="3">
        <v>127.1</v>
      </c>
      <c r="CL125" s="3">
        <v>219</v>
      </c>
      <c r="CM125" s="3">
        <v>115.4</v>
      </c>
      <c r="CN125" s="3">
        <v>107.3</v>
      </c>
    </row>
    <row r="126" spans="1:92" x14ac:dyDescent="0.25">
      <c r="A126" s="4">
        <v>35551</v>
      </c>
      <c r="B126" s="3">
        <v>135.80000000000001</v>
      </c>
      <c r="C126" s="3">
        <v>142.69999999999999</v>
      </c>
      <c r="D126" s="3">
        <v>151.80000000000001</v>
      </c>
      <c r="E126" s="3">
        <v>134.6</v>
      </c>
      <c r="F126" s="3">
        <v>160.5</v>
      </c>
      <c r="G126" s="3">
        <v>166.8</v>
      </c>
      <c r="H126" s="3">
        <v>154.5</v>
      </c>
      <c r="I126" s="3">
        <v>165.3</v>
      </c>
      <c r="J126" s="3">
        <v>113.7</v>
      </c>
      <c r="K126" s="3">
        <v>133.5</v>
      </c>
      <c r="L126" s="3">
        <v>122</v>
      </c>
      <c r="M126" s="3">
        <v>121.2</v>
      </c>
      <c r="N126" s="3">
        <v>123.2</v>
      </c>
      <c r="O126" s="3">
        <v>165.9</v>
      </c>
      <c r="P126" s="3">
        <v>140.30000000000001</v>
      </c>
      <c r="Q126" s="3">
        <v>168.9</v>
      </c>
      <c r="R126" s="3">
        <v>146.69999999999999</v>
      </c>
      <c r="S126" s="3">
        <v>153</v>
      </c>
      <c r="T126" s="3">
        <v>144.6</v>
      </c>
      <c r="U126" s="3">
        <v>149</v>
      </c>
      <c r="V126" s="3">
        <v>127.8</v>
      </c>
      <c r="W126" s="3">
        <v>180.9</v>
      </c>
      <c r="X126" s="3">
        <v>156.6</v>
      </c>
      <c r="Y126" s="3">
        <v>147.6</v>
      </c>
      <c r="Z126" s="3">
        <v>126</v>
      </c>
      <c r="AA126" s="3">
        <v>89</v>
      </c>
      <c r="AB126" s="3">
        <v>142.5</v>
      </c>
      <c r="AC126" s="3">
        <v>114.7</v>
      </c>
      <c r="AD126" s="3">
        <v>101.3</v>
      </c>
      <c r="AE126" s="3">
        <v>149.9</v>
      </c>
      <c r="AF126" s="3">
        <v>132</v>
      </c>
      <c r="AG126" s="3">
        <v>129.4</v>
      </c>
      <c r="AH126" s="3">
        <v>135.69999999999999</v>
      </c>
      <c r="AI126" s="3">
        <v>146.9</v>
      </c>
      <c r="AJ126" s="3">
        <v>179.3</v>
      </c>
      <c r="AK126" s="3">
        <v>198.3</v>
      </c>
      <c r="AL126" s="3">
        <v>178.2</v>
      </c>
      <c r="AM126" s="3">
        <v>183.6</v>
      </c>
      <c r="AN126" s="3">
        <v>188</v>
      </c>
      <c r="AO126" s="3">
        <v>154.30000000000001</v>
      </c>
      <c r="AP126" s="3">
        <v>160.19999999999999</v>
      </c>
      <c r="AQ126" s="3">
        <v>178.4</v>
      </c>
      <c r="AR126" s="3">
        <v>149.69999999999999</v>
      </c>
      <c r="AS126" s="3">
        <v>207.3</v>
      </c>
      <c r="AT126" s="3">
        <v>183</v>
      </c>
      <c r="AU126" s="3">
        <v>217.1</v>
      </c>
      <c r="AV126" s="3">
        <v>167</v>
      </c>
      <c r="AW126" s="3">
        <v>107.5</v>
      </c>
      <c r="AX126" s="3">
        <v>154.5</v>
      </c>
      <c r="AY126" s="3">
        <v>257.8</v>
      </c>
      <c r="AZ126" s="3">
        <v>177.3</v>
      </c>
      <c r="BA126" s="3">
        <v>154.4</v>
      </c>
      <c r="BB126" s="3">
        <v>186.3</v>
      </c>
      <c r="BC126" s="3">
        <v>126.9</v>
      </c>
      <c r="BD126" s="3">
        <v>142.6</v>
      </c>
      <c r="BE126" s="3">
        <v>124.2</v>
      </c>
      <c r="BF126" s="3">
        <v>119.3</v>
      </c>
      <c r="BG126" s="3">
        <v>141.69999999999999</v>
      </c>
      <c r="BH126" s="3">
        <v>145.1</v>
      </c>
      <c r="BI126" s="3">
        <v>103</v>
      </c>
      <c r="BJ126" s="3">
        <v>142.9</v>
      </c>
      <c r="BK126" s="3">
        <v>157</v>
      </c>
      <c r="BL126" s="3">
        <v>144.4</v>
      </c>
      <c r="BM126" s="3">
        <v>153</v>
      </c>
      <c r="BN126" s="3">
        <v>103.7</v>
      </c>
      <c r="BO126" s="3">
        <v>181.1</v>
      </c>
      <c r="BP126" s="3">
        <v>164</v>
      </c>
      <c r="BQ126" s="3">
        <v>119.6</v>
      </c>
      <c r="BR126" s="3">
        <v>106.9</v>
      </c>
      <c r="BS126" s="3">
        <v>124.6</v>
      </c>
      <c r="BT126" s="3">
        <v>156.69999999999999</v>
      </c>
      <c r="BU126" s="3">
        <v>121.7</v>
      </c>
      <c r="BV126" s="3">
        <v>120.7</v>
      </c>
      <c r="BW126" s="3">
        <v>178.6</v>
      </c>
      <c r="BX126" s="3">
        <v>220.3</v>
      </c>
      <c r="BY126" s="3">
        <v>141.30000000000001</v>
      </c>
      <c r="BZ126" s="3">
        <v>186.1</v>
      </c>
      <c r="CA126" s="3">
        <v>174.5</v>
      </c>
      <c r="CB126" s="3">
        <v>194</v>
      </c>
      <c r="CC126" s="3">
        <v>187.7</v>
      </c>
      <c r="CD126" s="3">
        <v>182.7</v>
      </c>
      <c r="CE126" s="3">
        <v>149.6</v>
      </c>
      <c r="CF126" s="3">
        <v>65.5</v>
      </c>
      <c r="CG126" s="3">
        <v>119.5</v>
      </c>
      <c r="CH126" s="3">
        <v>121.1</v>
      </c>
      <c r="CI126" s="3">
        <v>182.3</v>
      </c>
      <c r="CJ126" s="3">
        <v>145.5</v>
      </c>
      <c r="CK126" s="3">
        <v>127.1</v>
      </c>
      <c r="CL126" s="3">
        <v>220.1</v>
      </c>
      <c r="CM126" s="3">
        <v>116</v>
      </c>
      <c r="CN126" s="3">
        <v>107.9</v>
      </c>
    </row>
    <row r="127" spans="1:92" x14ac:dyDescent="0.25">
      <c r="A127" s="4">
        <v>35582</v>
      </c>
      <c r="B127" s="3">
        <v>138.1</v>
      </c>
      <c r="C127" s="3">
        <v>141.69999999999999</v>
      </c>
      <c r="D127" s="3">
        <v>153.4</v>
      </c>
      <c r="E127" s="3">
        <v>130.69999999999999</v>
      </c>
      <c r="F127" s="3">
        <v>157.1</v>
      </c>
      <c r="G127" s="3">
        <v>162.80000000000001</v>
      </c>
      <c r="H127" s="3">
        <v>151</v>
      </c>
      <c r="I127" s="3">
        <v>168.4</v>
      </c>
      <c r="J127" s="3">
        <v>113.7</v>
      </c>
      <c r="K127" s="3">
        <v>133.69999999999999</v>
      </c>
      <c r="L127" s="3">
        <v>124.1</v>
      </c>
      <c r="M127" s="3">
        <v>125</v>
      </c>
      <c r="N127" s="3">
        <v>123.7</v>
      </c>
      <c r="O127" s="3">
        <v>167.1</v>
      </c>
      <c r="P127" s="3">
        <v>140</v>
      </c>
      <c r="Q127" s="3">
        <v>169</v>
      </c>
      <c r="R127" s="3">
        <v>143.69999999999999</v>
      </c>
      <c r="S127" s="3">
        <v>153.1</v>
      </c>
      <c r="T127" s="3">
        <v>146</v>
      </c>
      <c r="U127" s="3">
        <v>149.9</v>
      </c>
      <c r="V127" s="3">
        <v>128.6</v>
      </c>
      <c r="W127" s="3">
        <v>181.5</v>
      </c>
      <c r="X127" s="3">
        <v>155</v>
      </c>
      <c r="Y127" s="3">
        <v>148.1</v>
      </c>
      <c r="Z127" s="3">
        <v>124.9</v>
      </c>
      <c r="AA127" s="3">
        <v>84.7</v>
      </c>
      <c r="AB127" s="3">
        <v>142.6</v>
      </c>
      <c r="AC127" s="3">
        <v>123.5</v>
      </c>
      <c r="AD127" s="3">
        <v>112.8</v>
      </c>
      <c r="AE127" s="3">
        <v>149.69999999999999</v>
      </c>
      <c r="AF127" s="3">
        <v>136.80000000000001</v>
      </c>
      <c r="AG127" s="3">
        <v>134.69999999999999</v>
      </c>
      <c r="AH127" s="3">
        <v>135.69999999999999</v>
      </c>
      <c r="AI127" s="3">
        <v>147.4</v>
      </c>
      <c r="AJ127" s="3">
        <v>179.7</v>
      </c>
      <c r="AK127" s="3">
        <v>198.5</v>
      </c>
      <c r="AL127" s="3">
        <v>178.8</v>
      </c>
      <c r="AM127" s="3">
        <v>184.6</v>
      </c>
      <c r="AN127" s="3">
        <v>189.7</v>
      </c>
      <c r="AO127" s="3">
        <v>153</v>
      </c>
      <c r="AP127" s="3">
        <v>159.6</v>
      </c>
      <c r="AQ127" s="3">
        <v>179.1</v>
      </c>
      <c r="AR127" s="3">
        <v>148.5</v>
      </c>
      <c r="AS127" s="3">
        <v>207.7</v>
      </c>
      <c r="AT127" s="3">
        <v>183.1</v>
      </c>
      <c r="AU127" s="3">
        <v>217.3</v>
      </c>
      <c r="AV127" s="3">
        <v>176</v>
      </c>
      <c r="AW127" s="3">
        <v>107.7</v>
      </c>
      <c r="AX127" s="3">
        <v>154.5</v>
      </c>
      <c r="AY127" s="3">
        <v>257.8</v>
      </c>
      <c r="AZ127" s="3">
        <v>177.9</v>
      </c>
      <c r="BA127" s="3">
        <v>154.80000000000001</v>
      </c>
      <c r="BB127" s="3">
        <v>186.4</v>
      </c>
      <c r="BC127" s="3">
        <v>126.1</v>
      </c>
      <c r="BD127" s="3">
        <v>141.69999999999999</v>
      </c>
      <c r="BE127" s="3">
        <v>124.2</v>
      </c>
      <c r="BF127" s="3">
        <v>117.6</v>
      </c>
      <c r="BG127" s="3">
        <v>141.9</v>
      </c>
      <c r="BH127" s="3">
        <v>144.6</v>
      </c>
      <c r="BI127" s="3">
        <v>101.2</v>
      </c>
      <c r="BJ127" s="3">
        <v>142.69999999999999</v>
      </c>
      <c r="BK127" s="3">
        <v>157.4</v>
      </c>
      <c r="BL127" s="3">
        <v>145.4</v>
      </c>
      <c r="BM127" s="3">
        <v>153</v>
      </c>
      <c r="BN127" s="3">
        <v>103.1</v>
      </c>
      <c r="BO127" s="3">
        <v>181.8</v>
      </c>
      <c r="BP127" s="3">
        <v>164</v>
      </c>
      <c r="BQ127" s="3">
        <v>119.3</v>
      </c>
      <c r="BR127" s="3">
        <v>106.5</v>
      </c>
      <c r="BS127" s="3">
        <v>122.4</v>
      </c>
      <c r="BT127" s="3">
        <v>156.19999999999999</v>
      </c>
      <c r="BU127" s="3">
        <v>121.6</v>
      </c>
      <c r="BV127" s="3">
        <v>120</v>
      </c>
      <c r="BW127" s="3">
        <v>178.7</v>
      </c>
      <c r="BX127" s="3">
        <v>221.2</v>
      </c>
      <c r="BY127" s="3">
        <v>142.19999999999999</v>
      </c>
      <c r="BZ127" s="3">
        <v>186.8</v>
      </c>
      <c r="CA127" s="3">
        <v>175.8</v>
      </c>
      <c r="CB127" s="3">
        <v>194</v>
      </c>
      <c r="CC127" s="3">
        <v>187.7</v>
      </c>
      <c r="CD127" s="3">
        <v>183.2</v>
      </c>
      <c r="CE127" s="3">
        <v>150.4</v>
      </c>
      <c r="CF127" s="3">
        <v>65.2</v>
      </c>
      <c r="CG127" s="3">
        <v>119.6</v>
      </c>
      <c r="CH127" s="3">
        <v>121.5</v>
      </c>
      <c r="CI127" s="3">
        <v>182.4</v>
      </c>
      <c r="CJ127" s="3">
        <v>144.5</v>
      </c>
      <c r="CK127" s="3">
        <v>127.1</v>
      </c>
      <c r="CL127" s="3">
        <v>220.8</v>
      </c>
      <c r="CM127" s="3">
        <v>116.6</v>
      </c>
      <c r="CN127" s="3">
        <v>108.2</v>
      </c>
    </row>
    <row r="128" spans="1:92" x14ac:dyDescent="0.25">
      <c r="A128" s="4">
        <v>35612</v>
      </c>
      <c r="B128" s="3">
        <v>137.69999999999999</v>
      </c>
      <c r="C128" s="3">
        <v>141.80000000000001</v>
      </c>
      <c r="D128" s="3">
        <v>153.80000000000001</v>
      </c>
      <c r="E128" s="3">
        <v>131.30000000000001</v>
      </c>
      <c r="F128" s="3">
        <v>154.30000000000001</v>
      </c>
      <c r="G128" s="3">
        <v>154.9</v>
      </c>
      <c r="H128" s="3">
        <v>150.80000000000001</v>
      </c>
      <c r="I128" s="3">
        <v>163.9</v>
      </c>
      <c r="J128" s="3">
        <v>114.2</v>
      </c>
      <c r="K128" s="3">
        <v>133.6</v>
      </c>
      <c r="L128" s="3">
        <v>124.1</v>
      </c>
      <c r="M128" s="3">
        <v>124.9</v>
      </c>
      <c r="N128" s="3">
        <v>123.8</v>
      </c>
      <c r="O128" s="3">
        <v>165.6</v>
      </c>
      <c r="P128" s="3">
        <v>140</v>
      </c>
      <c r="Q128" s="3">
        <v>168.1</v>
      </c>
      <c r="R128" s="3">
        <v>143.5</v>
      </c>
      <c r="S128" s="3">
        <v>153.19999999999999</v>
      </c>
      <c r="T128" s="3">
        <v>144.4</v>
      </c>
      <c r="U128" s="3">
        <v>149.9</v>
      </c>
      <c r="V128" s="3">
        <v>132.6</v>
      </c>
      <c r="W128" s="3">
        <v>181.1</v>
      </c>
      <c r="X128" s="3">
        <v>155.9</v>
      </c>
      <c r="Y128" s="3">
        <v>148.30000000000001</v>
      </c>
      <c r="Z128" s="3">
        <v>125</v>
      </c>
      <c r="AA128" s="3">
        <v>83.1</v>
      </c>
      <c r="AB128" s="3">
        <v>143.30000000000001</v>
      </c>
      <c r="AC128" s="3">
        <v>120.4</v>
      </c>
      <c r="AD128" s="3">
        <v>108.8</v>
      </c>
      <c r="AE128" s="3">
        <v>150</v>
      </c>
      <c r="AF128" s="3">
        <v>132.19999999999999</v>
      </c>
      <c r="AG128" s="3">
        <v>129.5</v>
      </c>
      <c r="AH128" s="3">
        <v>136</v>
      </c>
      <c r="AI128" s="3">
        <v>147.5</v>
      </c>
      <c r="AJ128" s="3">
        <v>180.4</v>
      </c>
      <c r="AK128" s="3">
        <v>199.5</v>
      </c>
      <c r="AL128" s="3">
        <v>179.2</v>
      </c>
      <c r="AM128" s="3">
        <v>185.8</v>
      </c>
      <c r="AN128" s="3">
        <v>191.2</v>
      </c>
      <c r="AO128" s="3">
        <v>153.5</v>
      </c>
      <c r="AP128" s="3">
        <v>160</v>
      </c>
      <c r="AQ128" s="3">
        <v>179.8</v>
      </c>
      <c r="AR128" s="3">
        <v>148.69999999999999</v>
      </c>
      <c r="AS128" s="3">
        <v>207.9</v>
      </c>
      <c r="AT128" s="3">
        <v>183.1</v>
      </c>
      <c r="AU128" s="3">
        <v>217.2</v>
      </c>
      <c r="AV128" s="3">
        <v>183.3</v>
      </c>
      <c r="AW128" s="3">
        <v>109.2</v>
      </c>
      <c r="AX128" s="3">
        <v>154.5</v>
      </c>
      <c r="AY128" s="3">
        <v>257.8</v>
      </c>
      <c r="AZ128" s="3">
        <v>178.4</v>
      </c>
      <c r="BA128" s="3">
        <v>154.69999999999999</v>
      </c>
      <c r="BB128" s="3">
        <v>186.2</v>
      </c>
      <c r="BC128" s="3">
        <v>126.6</v>
      </c>
      <c r="BD128" s="3">
        <v>140.69999999999999</v>
      </c>
      <c r="BE128" s="3">
        <v>124.2</v>
      </c>
      <c r="BF128" s="3">
        <v>114.8</v>
      </c>
      <c r="BG128" s="3">
        <v>139.69999999999999</v>
      </c>
      <c r="BH128" s="3">
        <v>140.30000000000001</v>
      </c>
      <c r="BI128" s="3">
        <v>98.6</v>
      </c>
      <c r="BJ128" s="3">
        <v>139.4</v>
      </c>
      <c r="BK128" s="3">
        <v>157.5</v>
      </c>
      <c r="BL128" s="3">
        <v>145.5</v>
      </c>
      <c r="BM128" s="3">
        <v>153</v>
      </c>
      <c r="BN128" s="3">
        <v>103.5</v>
      </c>
      <c r="BO128" s="3">
        <v>182.2</v>
      </c>
      <c r="BP128" s="3">
        <v>164.1</v>
      </c>
      <c r="BQ128" s="3">
        <v>113.2</v>
      </c>
      <c r="BR128" s="3">
        <v>99.4</v>
      </c>
      <c r="BS128" s="3">
        <v>116.5</v>
      </c>
      <c r="BT128" s="3">
        <v>153.1</v>
      </c>
      <c r="BU128" s="3">
        <v>118.1</v>
      </c>
      <c r="BV128" s="3">
        <v>118.9</v>
      </c>
      <c r="BW128" s="3">
        <v>179.3</v>
      </c>
      <c r="BX128" s="3">
        <v>222.2</v>
      </c>
      <c r="BY128" s="3">
        <v>142</v>
      </c>
      <c r="BZ128" s="3">
        <v>187.4</v>
      </c>
      <c r="CA128" s="3">
        <v>183</v>
      </c>
      <c r="CB128" s="3">
        <v>191.2</v>
      </c>
      <c r="CC128" s="3">
        <v>187.7</v>
      </c>
      <c r="CD128" s="3">
        <v>184.2</v>
      </c>
      <c r="CE128" s="3">
        <v>151.1</v>
      </c>
      <c r="CF128" s="3">
        <v>65.099999999999994</v>
      </c>
      <c r="CG128" s="3">
        <v>119.9</v>
      </c>
      <c r="CH128" s="3">
        <v>120.8</v>
      </c>
      <c r="CI128" s="3">
        <v>182.3</v>
      </c>
      <c r="CJ128" s="3">
        <v>144.1</v>
      </c>
      <c r="CK128" s="3">
        <v>125.7</v>
      </c>
      <c r="CL128" s="3">
        <v>221.7</v>
      </c>
      <c r="CM128" s="3">
        <v>118</v>
      </c>
      <c r="CN128" s="3">
        <v>109.2</v>
      </c>
    </row>
    <row r="129" spans="1:92" x14ac:dyDescent="0.25">
      <c r="A129" s="4">
        <v>35643</v>
      </c>
      <c r="B129" s="3">
        <v>138.4</v>
      </c>
      <c r="C129" s="3">
        <v>141.69999999999999</v>
      </c>
      <c r="D129" s="3">
        <v>154</v>
      </c>
      <c r="E129" s="3">
        <v>129.4</v>
      </c>
      <c r="F129" s="3">
        <v>151.80000000000001</v>
      </c>
      <c r="G129" s="3">
        <v>148.19999999999999</v>
      </c>
      <c r="H129" s="3">
        <v>148.1</v>
      </c>
      <c r="I129" s="3">
        <v>163.4</v>
      </c>
      <c r="J129" s="3">
        <v>114.3</v>
      </c>
      <c r="K129" s="3">
        <v>133.5</v>
      </c>
      <c r="L129" s="3">
        <v>125.4</v>
      </c>
      <c r="M129" s="3">
        <v>129.80000000000001</v>
      </c>
      <c r="N129" s="3">
        <v>121.6</v>
      </c>
      <c r="O129" s="3">
        <v>166.1</v>
      </c>
      <c r="P129" s="3">
        <v>138.9</v>
      </c>
      <c r="Q129" s="3">
        <v>169.5</v>
      </c>
      <c r="R129" s="3">
        <v>144.30000000000001</v>
      </c>
      <c r="S129" s="3">
        <v>152.9</v>
      </c>
      <c r="T129" s="3">
        <v>144.30000000000001</v>
      </c>
      <c r="U129" s="3">
        <v>152.19999999999999</v>
      </c>
      <c r="V129" s="3">
        <v>134.19999999999999</v>
      </c>
      <c r="W129" s="3">
        <v>180</v>
      </c>
      <c r="X129" s="3">
        <v>156</v>
      </c>
      <c r="Y129" s="3">
        <v>148.5</v>
      </c>
      <c r="Z129" s="3">
        <v>141.6</v>
      </c>
      <c r="AA129" s="3">
        <v>145.19999999999999</v>
      </c>
      <c r="AB129" s="3">
        <v>143.4</v>
      </c>
      <c r="AC129" s="3">
        <v>112.1</v>
      </c>
      <c r="AD129" s="3">
        <v>97.4</v>
      </c>
      <c r="AE129" s="3">
        <v>151.30000000000001</v>
      </c>
      <c r="AF129" s="3">
        <v>134.9</v>
      </c>
      <c r="AG129" s="3">
        <v>132.6</v>
      </c>
      <c r="AH129" s="3">
        <v>135.4</v>
      </c>
      <c r="AI129" s="3">
        <v>147.69999999999999</v>
      </c>
      <c r="AJ129" s="3">
        <v>180.5</v>
      </c>
      <c r="AK129" s="3">
        <v>200.3</v>
      </c>
      <c r="AL129" s="3">
        <v>179.5</v>
      </c>
      <c r="AM129" s="3">
        <v>185.8</v>
      </c>
      <c r="AN129" s="3">
        <v>191.5</v>
      </c>
      <c r="AO129" s="3">
        <v>152.80000000000001</v>
      </c>
      <c r="AP129" s="3">
        <v>160.6</v>
      </c>
      <c r="AQ129" s="3">
        <v>180.3</v>
      </c>
      <c r="AR129" s="3">
        <v>149.4</v>
      </c>
      <c r="AS129" s="3">
        <v>210.5</v>
      </c>
      <c r="AT129" s="3">
        <v>185.4</v>
      </c>
      <c r="AU129" s="3">
        <v>217.7</v>
      </c>
      <c r="AV129" s="3">
        <v>189.2</v>
      </c>
      <c r="AW129" s="3">
        <v>110.2</v>
      </c>
      <c r="AX129" s="3">
        <v>154.4</v>
      </c>
      <c r="AY129" s="3">
        <v>257.8</v>
      </c>
      <c r="AZ129" s="3">
        <v>179</v>
      </c>
      <c r="BA129" s="3">
        <v>155.19999999999999</v>
      </c>
      <c r="BB129" s="3">
        <v>186.5</v>
      </c>
      <c r="BC129" s="3">
        <v>125.9</v>
      </c>
      <c r="BD129" s="3">
        <v>140.5</v>
      </c>
      <c r="BE129" s="3">
        <v>124.2</v>
      </c>
      <c r="BF129" s="3">
        <v>117.5</v>
      </c>
      <c r="BG129" s="3">
        <v>142.19999999999999</v>
      </c>
      <c r="BH129" s="3">
        <v>143.69999999999999</v>
      </c>
      <c r="BI129" s="3">
        <v>99.5</v>
      </c>
      <c r="BJ129" s="3">
        <v>140.9</v>
      </c>
      <c r="BK129" s="3">
        <v>157.30000000000001</v>
      </c>
      <c r="BL129" s="3">
        <v>145.6</v>
      </c>
      <c r="BM129" s="3">
        <v>153</v>
      </c>
      <c r="BN129" s="3">
        <v>103.9</v>
      </c>
      <c r="BO129" s="3">
        <v>182.8</v>
      </c>
      <c r="BP129" s="3">
        <v>164.3</v>
      </c>
      <c r="BQ129" s="3">
        <v>115.4</v>
      </c>
      <c r="BR129" s="3">
        <v>101.4</v>
      </c>
      <c r="BS129" s="3">
        <v>122.6</v>
      </c>
      <c r="BT129" s="3">
        <v>153.9</v>
      </c>
      <c r="BU129" s="3">
        <v>119.3</v>
      </c>
      <c r="BV129" s="3">
        <v>121</v>
      </c>
      <c r="BW129" s="3">
        <v>179.5</v>
      </c>
      <c r="BX129" s="3">
        <v>222.6</v>
      </c>
      <c r="BY129" s="3">
        <v>142.1</v>
      </c>
      <c r="BZ129" s="3">
        <v>188.3</v>
      </c>
      <c r="CA129" s="3">
        <v>186.8</v>
      </c>
      <c r="CB129" s="3">
        <v>191.2</v>
      </c>
      <c r="CC129" s="3">
        <v>187.7</v>
      </c>
      <c r="CD129" s="3">
        <v>184.4</v>
      </c>
      <c r="CE129" s="3">
        <v>151.30000000000001</v>
      </c>
      <c r="CF129" s="3">
        <v>64.900000000000006</v>
      </c>
      <c r="CG129" s="3">
        <v>119.7</v>
      </c>
      <c r="CH129" s="3">
        <v>120.4</v>
      </c>
      <c r="CI129" s="3">
        <v>183</v>
      </c>
      <c r="CJ129" s="3">
        <v>144.30000000000001</v>
      </c>
      <c r="CK129" s="3">
        <v>125.7</v>
      </c>
      <c r="CL129" s="3">
        <v>222.7</v>
      </c>
      <c r="CM129" s="3">
        <v>119.8</v>
      </c>
      <c r="CN129" s="3">
        <v>109.8</v>
      </c>
    </row>
    <row r="130" spans="1:92" x14ac:dyDescent="0.25">
      <c r="A130" s="4">
        <v>35674</v>
      </c>
      <c r="B130" s="3">
        <v>136.9</v>
      </c>
      <c r="C130" s="3">
        <v>141.69999999999999</v>
      </c>
      <c r="D130" s="3">
        <v>153.19999999999999</v>
      </c>
      <c r="E130" s="3">
        <v>131.80000000000001</v>
      </c>
      <c r="F130" s="3">
        <v>152</v>
      </c>
      <c r="G130" s="3">
        <v>152.80000000000001</v>
      </c>
      <c r="H130" s="3">
        <v>147.19999999999999</v>
      </c>
      <c r="I130" s="3">
        <v>161.9</v>
      </c>
      <c r="J130" s="3">
        <v>115</v>
      </c>
      <c r="K130" s="3">
        <v>134.5</v>
      </c>
      <c r="L130" s="3">
        <v>127.4</v>
      </c>
      <c r="M130" s="3">
        <v>132.30000000000001</v>
      </c>
      <c r="N130" s="3">
        <v>123.2</v>
      </c>
      <c r="O130" s="3">
        <v>166</v>
      </c>
      <c r="P130" s="3">
        <v>138.80000000000001</v>
      </c>
      <c r="Q130" s="3">
        <v>169.4</v>
      </c>
      <c r="R130" s="3">
        <v>143.80000000000001</v>
      </c>
      <c r="S130" s="3">
        <v>152.9</v>
      </c>
      <c r="T130" s="3">
        <v>143.80000000000001</v>
      </c>
      <c r="U130" s="3">
        <v>153.30000000000001</v>
      </c>
      <c r="V130" s="3">
        <v>133.9</v>
      </c>
      <c r="W130" s="3">
        <v>180.5</v>
      </c>
      <c r="X130" s="3">
        <v>155.69999999999999</v>
      </c>
      <c r="Y130" s="3">
        <v>149.19999999999999</v>
      </c>
      <c r="Z130" s="3">
        <v>135.80000000000001</v>
      </c>
      <c r="AA130" s="3">
        <v>128</v>
      </c>
      <c r="AB130" s="3">
        <v>141.69999999999999</v>
      </c>
      <c r="AC130" s="3">
        <v>110.8</v>
      </c>
      <c r="AD130" s="3">
        <v>95.8</v>
      </c>
      <c r="AE130" s="3">
        <v>151.30000000000001</v>
      </c>
      <c r="AF130" s="3">
        <v>133</v>
      </c>
      <c r="AG130" s="3">
        <v>130.6</v>
      </c>
      <c r="AH130" s="3">
        <v>135.19999999999999</v>
      </c>
      <c r="AI130" s="3">
        <v>148.4</v>
      </c>
      <c r="AJ130" s="3">
        <v>181</v>
      </c>
      <c r="AK130" s="3">
        <v>201.5</v>
      </c>
      <c r="AL130" s="3">
        <v>180.1</v>
      </c>
      <c r="AM130" s="3">
        <v>186.2</v>
      </c>
      <c r="AN130" s="3">
        <v>191.6</v>
      </c>
      <c r="AO130" s="3">
        <v>153.80000000000001</v>
      </c>
      <c r="AP130" s="3">
        <v>160.4</v>
      </c>
      <c r="AQ130" s="3">
        <v>180.4</v>
      </c>
      <c r="AR130" s="3">
        <v>149</v>
      </c>
      <c r="AS130" s="3">
        <v>211</v>
      </c>
      <c r="AT130" s="3">
        <v>185.8</v>
      </c>
      <c r="AU130" s="3">
        <v>217.9</v>
      </c>
      <c r="AV130" s="3">
        <v>195.3</v>
      </c>
      <c r="AW130" s="3">
        <v>111.7</v>
      </c>
      <c r="AX130" s="3">
        <v>154.4</v>
      </c>
      <c r="AY130" s="3">
        <v>257.8</v>
      </c>
      <c r="AZ130" s="3">
        <v>179.4</v>
      </c>
      <c r="BA130" s="3">
        <v>155.19999999999999</v>
      </c>
      <c r="BB130" s="3">
        <v>186.9</v>
      </c>
      <c r="BC130" s="3">
        <v>125.6</v>
      </c>
      <c r="BD130" s="3">
        <v>136.5</v>
      </c>
      <c r="BE130" s="3">
        <v>120.8</v>
      </c>
      <c r="BF130" s="3">
        <v>115.9</v>
      </c>
      <c r="BG130" s="3">
        <v>142.6</v>
      </c>
      <c r="BH130" s="3">
        <v>145.69999999999999</v>
      </c>
      <c r="BI130" s="3">
        <v>100.6</v>
      </c>
      <c r="BJ130" s="3">
        <v>143.9</v>
      </c>
      <c r="BK130" s="3">
        <v>156.69999999999999</v>
      </c>
      <c r="BL130" s="3">
        <v>145.19999999999999</v>
      </c>
      <c r="BM130" s="3">
        <v>153</v>
      </c>
      <c r="BN130" s="3">
        <v>104.5</v>
      </c>
      <c r="BO130" s="3">
        <v>183.6</v>
      </c>
      <c r="BP130" s="3">
        <v>167.7</v>
      </c>
      <c r="BQ130" s="3">
        <v>121.1</v>
      </c>
      <c r="BR130" s="3">
        <v>108.8</v>
      </c>
      <c r="BS130" s="3">
        <v>123.1</v>
      </c>
      <c r="BT130" s="3">
        <v>156.69999999999999</v>
      </c>
      <c r="BU130" s="3">
        <v>121.9</v>
      </c>
      <c r="BV130" s="3">
        <v>121.7</v>
      </c>
      <c r="BW130" s="3">
        <v>180.3</v>
      </c>
      <c r="BX130" s="3">
        <v>223</v>
      </c>
      <c r="BY130" s="3">
        <v>142</v>
      </c>
      <c r="BZ130" s="3">
        <v>188.2</v>
      </c>
      <c r="CA130" s="3">
        <v>189</v>
      </c>
      <c r="CB130" s="3">
        <v>191.2</v>
      </c>
      <c r="CC130" s="3">
        <v>187.7</v>
      </c>
      <c r="CD130" s="3">
        <v>184.4</v>
      </c>
      <c r="CE130" s="3">
        <v>151.19999999999999</v>
      </c>
      <c r="CF130" s="3">
        <v>64.099999999999994</v>
      </c>
      <c r="CG130" s="3">
        <v>118.8</v>
      </c>
      <c r="CH130" s="3">
        <v>120.5</v>
      </c>
      <c r="CI130" s="3">
        <v>183.7</v>
      </c>
      <c r="CJ130" s="3">
        <v>143.9</v>
      </c>
      <c r="CK130" s="3">
        <v>125.7</v>
      </c>
      <c r="CL130" s="3">
        <v>225.9</v>
      </c>
      <c r="CM130" s="3">
        <v>120.4</v>
      </c>
      <c r="CN130" s="3">
        <v>110.1</v>
      </c>
    </row>
    <row r="131" spans="1:92" x14ac:dyDescent="0.25">
      <c r="A131" s="4">
        <v>35704</v>
      </c>
      <c r="B131" s="3">
        <v>136.4</v>
      </c>
      <c r="C131" s="3">
        <v>141.19999999999999</v>
      </c>
      <c r="D131" s="3">
        <v>155.4</v>
      </c>
      <c r="E131" s="3">
        <v>131.69999999999999</v>
      </c>
      <c r="F131" s="3">
        <v>148.1</v>
      </c>
      <c r="G131" s="3">
        <v>146.30000000000001</v>
      </c>
      <c r="H131" s="3">
        <v>152.19999999999999</v>
      </c>
      <c r="I131" s="3">
        <v>159.4</v>
      </c>
      <c r="J131" s="3">
        <v>111.4</v>
      </c>
      <c r="K131" s="3">
        <v>134.69999999999999</v>
      </c>
      <c r="L131" s="3">
        <v>128.30000000000001</v>
      </c>
      <c r="M131" s="3">
        <v>131.9</v>
      </c>
      <c r="N131" s="3">
        <v>125.2</v>
      </c>
      <c r="O131" s="3">
        <v>167.5</v>
      </c>
      <c r="P131" s="3">
        <v>140.30000000000001</v>
      </c>
      <c r="Q131" s="3">
        <v>169</v>
      </c>
      <c r="R131" s="3">
        <v>144.5</v>
      </c>
      <c r="S131" s="3">
        <v>153.19999999999999</v>
      </c>
      <c r="T131" s="3">
        <v>144.9</v>
      </c>
      <c r="U131" s="3">
        <v>154.1</v>
      </c>
      <c r="V131" s="3">
        <v>134</v>
      </c>
      <c r="W131" s="3">
        <v>181.4</v>
      </c>
      <c r="X131" s="3">
        <v>155.30000000000001</v>
      </c>
      <c r="Y131" s="3">
        <v>149.4</v>
      </c>
      <c r="Z131" s="3">
        <v>133.5</v>
      </c>
      <c r="AA131" s="3">
        <v>118.2</v>
      </c>
      <c r="AB131" s="3">
        <v>142.19999999999999</v>
      </c>
      <c r="AC131" s="3">
        <v>112.4</v>
      </c>
      <c r="AD131" s="3">
        <v>98</v>
      </c>
      <c r="AE131" s="3">
        <v>150.9</v>
      </c>
      <c r="AF131" s="3">
        <v>134.9</v>
      </c>
      <c r="AG131" s="3">
        <v>132.80000000000001</v>
      </c>
      <c r="AH131" s="3">
        <v>134.80000000000001</v>
      </c>
      <c r="AI131" s="3">
        <v>148.69999999999999</v>
      </c>
      <c r="AJ131" s="3">
        <v>181.5</v>
      </c>
      <c r="AK131" s="3">
        <v>201.8</v>
      </c>
      <c r="AL131" s="3">
        <v>180.5</v>
      </c>
      <c r="AM131" s="3">
        <v>186.7</v>
      </c>
      <c r="AN131" s="3">
        <v>192.1</v>
      </c>
      <c r="AO131" s="3">
        <v>154.1</v>
      </c>
      <c r="AP131" s="3">
        <v>160.69999999999999</v>
      </c>
      <c r="AQ131" s="3">
        <v>180.8</v>
      </c>
      <c r="AR131" s="3">
        <v>149.19999999999999</v>
      </c>
      <c r="AS131" s="3">
        <v>211.3</v>
      </c>
      <c r="AT131" s="3">
        <v>185.8</v>
      </c>
      <c r="AU131" s="3">
        <v>218.3</v>
      </c>
      <c r="AV131" s="3">
        <v>196.8</v>
      </c>
      <c r="AW131" s="3">
        <v>112.5</v>
      </c>
      <c r="AX131" s="3">
        <v>154.4</v>
      </c>
      <c r="AY131" s="3">
        <v>257.8</v>
      </c>
      <c r="AZ131" s="3">
        <v>181.4</v>
      </c>
      <c r="BA131" s="3">
        <v>154.9</v>
      </c>
      <c r="BB131" s="3">
        <v>187.4</v>
      </c>
      <c r="BC131" s="3">
        <v>129.9</v>
      </c>
      <c r="BD131" s="3">
        <v>135.9</v>
      </c>
      <c r="BE131" s="3">
        <v>120.8</v>
      </c>
      <c r="BF131" s="3">
        <v>118.4</v>
      </c>
      <c r="BG131" s="3">
        <v>141.80000000000001</v>
      </c>
      <c r="BH131" s="3">
        <v>143.69999999999999</v>
      </c>
      <c r="BI131" s="3">
        <v>101.2</v>
      </c>
      <c r="BJ131" s="3">
        <v>143.1</v>
      </c>
      <c r="BK131" s="3">
        <v>157.4</v>
      </c>
      <c r="BL131" s="3">
        <v>146.1</v>
      </c>
      <c r="BM131" s="3">
        <v>153</v>
      </c>
      <c r="BN131" s="3">
        <v>104.5</v>
      </c>
      <c r="BO131" s="3">
        <v>184</v>
      </c>
      <c r="BP131" s="3">
        <v>168.1</v>
      </c>
      <c r="BQ131" s="3">
        <v>121.5</v>
      </c>
      <c r="BR131" s="3">
        <v>108</v>
      </c>
      <c r="BS131" s="3">
        <v>122.7</v>
      </c>
      <c r="BT131" s="3">
        <v>156.80000000000001</v>
      </c>
      <c r="BU131" s="3">
        <v>122</v>
      </c>
      <c r="BV131" s="3">
        <v>120</v>
      </c>
      <c r="BW131" s="3">
        <v>180.6</v>
      </c>
      <c r="BX131" s="3">
        <v>225.7</v>
      </c>
      <c r="BY131" s="3">
        <v>141.19999999999999</v>
      </c>
      <c r="BZ131" s="3">
        <v>188.7</v>
      </c>
      <c r="CA131" s="3">
        <v>187.5</v>
      </c>
      <c r="CB131" s="3">
        <v>197.1</v>
      </c>
      <c r="CC131" s="3">
        <v>187.7</v>
      </c>
      <c r="CD131" s="3">
        <v>186.7</v>
      </c>
      <c r="CE131" s="3">
        <v>150.6</v>
      </c>
      <c r="CF131" s="3">
        <v>63.9</v>
      </c>
      <c r="CG131" s="3">
        <v>118.8</v>
      </c>
      <c r="CH131" s="3">
        <v>119.9</v>
      </c>
      <c r="CI131" s="3">
        <v>184.1</v>
      </c>
      <c r="CJ131" s="3">
        <v>144</v>
      </c>
      <c r="CK131" s="3">
        <v>127.3</v>
      </c>
      <c r="CL131" s="3">
        <v>226.5</v>
      </c>
      <c r="CM131" s="3">
        <v>120.7</v>
      </c>
      <c r="CN131" s="3">
        <v>110.3</v>
      </c>
    </row>
    <row r="132" spans="1:92" x14ac:dyDescent="0.25">
      <c r="A132" s="4">
        <v>35735</v>
      </c>
      <c r="B132" s="3">
        <v>135</v>
      </c>
      <c r="C132" s="3">
        <v>142.6</v>
      </c>
      <c r="D132" s="3">
        <v>153.19999999999999</v>
      </c>
      <c r="E132" s="3">
        <v>130.9</v>
      </c>
      <c r="F132" s="3">
        <v>149.9</v>
      </c>
      <c r="G132" s="3">
        <v>144.9</v>
      </c>
      <c r="H132" s="3">
        <v>152.1</v>
      </c>
      <c r="I132" s="3">
        <v>160.30000000000001</v>
      </c>
      <c r="J132" s="3">
        <v>109.9</v>
      </c>
      <c r="K132" s="3">
        <v>134.30000000000001</v>
      </c>
      <c r="L132" s="3">
        <v>128.30000000000001</v>
      </c>
      <c r="M132" s="3">
        <v>131.30000000000001</v>
      </c>
      <c r="N132" s="3">
        <v>125.9</v>
      </c>
      <c r="O132" s="3">
        <v>166.4</v>
      </c>
      <c r="P132" s="3">
        <v>139.30000000000001</v>
      </c>
      <c r="Q132" s="3">
        <v>166.6</v>
      </c>
      <c r="R132" s="3">
        <v>142.5</v>
      </c>
      <c r="S132" s="3">
        <v>153.19999999999999</v>
      </c>
      <c r="T132" s="3">
        <v>144.19999999999999</v>
      </c>
      <c r="U132" s="3">
        <v>153.19999999999999</v>
      </c>
      <c r="V132" s="3">
        <v>133.4</v>
      </c>
      <c r="W132" s="3">
        <v>178.1</v>
      </c>
      <c r="X132" s="3">
        <v>154.5</v>
      </c>
      <c r="Y132" s="3">
        <v>149.30000000000001</v>
      </c>
      <c r="Z132" s="3">
        <v>131.69999999999999</v>
      </c>
      <c r="AA132" s="3">
        <v>113.2</v>
      </c>
      <c r="AB132" s="3">
        <v>141.5</v>
      </c>
      <c r="AC132" s="3">
        <v>114.5</v>
      </c>
      <c r="AD132" s="3">
        <v>101</v>
      </c>
      <c r="AE132" s="3">
        <v>149.80000000000001</v>
      </c>
      <c r="AF132" s="3">
        <v>134.80000000000001</v>
      </c>
      <c r="AG132" s="3">
        <v>132.80000000000001</v>
      </c>
      <c r="AH132" s="3">
        <v>133.6</v>
      </c>
      <c r="AI132" s="3">
        <v>146.80000000000001</v>
      </c>
      <c r="AJ132" s="3">
        <v>182.6</v>
      </c>
      <c r="AK132" s="3">
        <v>202.1</v>
      </c>
      <c r="AL132" s="3">
        <v>181</v>
      </c>
      <c r="AM132" s="3">
        <v>186.2</v>
      </c>
      <c r="AN132" s="3">
        <v>192.4</v>
      </c>
      <c r="AO132" s="3">
        <v>152</v>
      </c>
      <c r="AP132" s="3">
        <v>159.6</v>
      </c>
      <c r="AQ132" s="3">
        <v>181.2</v>
      </c>
      <c r="AR132" s="3">
        <v>147.5</v>
      </c>
      <c r="AS132" s="3">
        <v>211.4</v>
      </c>
      <c r="AT132" s="3">
        <v>185.8</v>
      </c>
      <c r="AU132" s="3">
        <v>218.5</v>
      </c>
      <c r="AV132" s="3">
        <v>197.5</v>
      </c>
      <c r="AW132" s="3">
        <v>113.3</v>
      </c>
      <c r="AX132" s="3">
        <v>154.4</v>
      </c>
      <c r="AY132" s="3">
        <v>257.8</v>
      </c>
      <c r="AZ132" s="3">
        <v>181.8</v>
      </c>
      <c r="BA132" s="3">
        <v>155.30000000000001</v>
      </c>
      <c r="BB132" s="3">
        <v>187.7</v>
      </c>
      <c r="BC132" s="3">
        <v>130</v>
      </c>
      <c r="BD132" s="3">
        <v>134.9</v>
      </c>
      <c r="BE132" s="3">
        <v>120.8</v>
      </c>
      <c r="BF132" s="3">
        <v>118.3</v>
      </c>
      <c r="BG132" s="3">
        <v>145.5</v>
      </c>
      <c r="BH132" s="3">
        <v>146.30000000000001</v>
      </c>
      <c r="BI132" s="3">
        <v>100.1</v>
      </c>
      <c r="BJ132" s="3">
        <v>144.5</v>
      </c>
      <c r="BK132" s="3">
        <v>157.30000000000001</v>
      </c>
      <c r="BL132" s="3">
        <v>146</v>
      </c>
      <c r="BM132" s="3">
        <v>153</v>
      </c>
      <c r="BN132" s="3">
        <v>104.3</v>
      </c>
      <c r="BO132" s="3">
        <v>184.6</v>
      </c>
      <c r="BP132" s="3">
        <v>168.3</v>
      </c>
      <c r="BQ132" s="3">
        <v>122.3</v>
      </c>
      <c r="BR132" s="3">
        <v>109.5</v>
      </c>
      <c r="BS132" s="3">
        <v>124.7</v>
      </c>
      <c r="BT132" s="3">
        <v>157.80000000000001</v>
      </c>
      <c r="BU132" s="3">
        <v>123</v>
      </c>
      <c r="BV132" s="3">
        <v>120.5</v>
      </c>
      <c r="BW132" s="3">
        <v>181.7</v>
      </c>
      <c r="BX132" s="3">
        <v>226.5</v>
      </c>
      <c r="BY132" s="3">
        <v>140.1</v>
      </c>
      <c r="BZ132" s="3">
        <v>189.1</v>
      </c>
      <c r="CA132" s="3">
        <v>187.1</v>
      </c>
      <c r="CB132" s="3">
        <v>197.1</v>
      </c>
      <c r="CC132" s="3">
        <v>187.7</v>
      </c>
      <c r="CD132" s="3">
        <v>184.8</v>
      </c>
      <c r="CE132" s="3">
        <v>150.69999999999999</v>
      </c>
      <c r="CF132" s="3">
        <v>63.1</v>
      </c>
      <c r="CG132" s="3">
        <v>118.9</v>
      </c>
      <c r="CH132" s="3">
        <v>119.7</v>
      </c>
      <c r="CI132" s="3">
        <v>184.1</v>
      </c>
      <c r="CJ132" s="3">
        <v>145.69999999999999</v>
      </c>
      <c r="CK132" s="3">
        <v>127.4</v>
      </c>
      <c r="CL132" s="3">
        <v>227.4</v>
      </c>
      <c r="CM132" s="3">
        <v>120.7</v>
      </c>
      <c r="CN132" s="3">
        <v>110.4</v>
      </c>
    </row>
    <row r="133" spans="1:92" x14ac:dyDescent="0.25">
      <c r="A133" s="4">
        <v>35765</v>
      </c>
      <c r="B133" s="3">
        <v>135.9</v>
      </c>
      <c r="C133" s="3">
        <v>142.1</v>
      </c>
      <c r="D133" s="3">
        <v>153.4</v>
      </c>
      <c r="E133" s="3">
        <v>128.69999999999999</v>
      </c>
      <c r="F133" s="3">
        <v>144.1</v>
      </c>
      <c r="G133" s="3">
        <v>141.80000000000001</v>
      </c>
      <c r="H133" s="3">
        <v>135.80000000000001</v>
      </c>
      <c r="I133" s="3">
        <v>158.5</v>
      </c>
      <c r="J133" s="3">
        <v>106.5</v>
      </c>
      <c r="K133" s="3">
        <v>134.69999999999999</v>
      </c>
      <c r="L133" s="3">
        <v>128.30000000000001</v>
      </c>
      <c r="M133" s="3">
        <v>131.4</v>
      </c>
      <c r="N133" s="3">
        <v>125.8</v>
      </c>
      <c r="O133" s="3">
        <v>166.9</v>
      </c>
      <c r="P133" s="3">
        <v>139.6</v>
      </c>
      <c r="Q133" s="3">
        <v>166.5</v>
      </c>
      <c r="R133" s="3">
        <v>146.69999999999999</v>
      </c>
      <c r="S133" s="3">
        <v>153.4</v>
      </c>
      <c r="T133" s="3">
        <v>145.1</v>
      </c>
      <c r="U133" s="3">
        <v>154.6</v>
      </c>
      <c r="V133" s="3">
        <v>132.9</v>
      </c>
      <c r="W133" s="3">
        <v>179.1</v>
      </c>
      <c r="X133" s="3">
        <v>150.1</v>
      </c>
      <c r="Y133" s="3">
        <v>149.5</v>
      </c>
      <c r="Z133" s="3">
        <v>132.4</v>
      </c>
      <c r="AA133" s="3">
        <v>115.7</v>
      </c>
      <c r="AB133" s="3">
        <v>141.6</v>
      </c>
      <c r="AC133" s="3">
        <v>115.8</v>
      </c>
      <c r="AD133" s="3">
        <v>102.6</v>
      </c>
      <c r="AE133" s="3">
        <v>150.5</v>
      </c>
      <c r="AF133" s="3">
        <v>138.5</v>
      </c>
      <c r="AG133" s="3">
        <v>137.1</v>
      </c>
      <c r="AH133" s="3">
        <v>133</v>
      </c>
      <c r="AI133" s="3">
        <v>147.80000000000001</v>
      </c>
      <c r="AJ133" s="3">
        <v>182.8</v>
      </c>
      <c r="AK133" s="3">
        <v>202.1</v>
      </c>
      <c r="AL133" s="3">
        <v>181.4</v>
      </c>
      <c r="AM133" s="3">
        <v>186</v>
      </c>
      <c r="AN133" s="3">
        <v>192.6</v>
      </c>
      <c r="AO133" s="3">
        <v>150.69999999999999</v>
      </c>
      <c r="AP133" s="3">
        <v>158.19999999999999</v>
      </c>
      <c r="AQ133" s="3">
        <v>181.6</v>
      </c>
      <c r="AR133" s="3">
        <v>145.19999999999999</v>
      </c>
      <c r="AS133" s="3">
        <v>216.2</v>
      </c>
      <c r="AT133" s="3">
        <v>187.5</v>
      </c>
      <c r="AU133" s="3">
        <v>218.8</v>
      </c>
      <c r="AV133" s="3">
        <v>202.5</v>
      </c>
      <c r="AW133" s="3">
        <v>113.9</v>
      </c>
      <c r="AX133" s="3">
        <v>154.4</v>
      </c>
      <c r="AY133" s="3">
        <v>257.8</v>
      </c>
      <c r="AZ133" s="3">
        <v>182.3</v>
      </c>
      <c r="BA133" s="3">
        <v>155</v>
      </c>
      <c r="BB133" s="3">
        <v>187.9</v>
      </c>
      <c r="BC133" s="3">
        <v>130.1</v>
      </c>
      <c r="BD133" s="3">
        <v>134</v>
      </c>
      <c r="BE133" s="3">
        <v>120.8</v>
      </c>
      <c r="BF133" s="3">
        <v>116.2</v>
      </c>
      <c r="BG133" s="3">
        <v>149.6</v>
      </c>
      <c r="BH133" s="3">
        <v>149.30000000000001</v>
      </c>
      <c r="BI133" s="3">
        <v>100.6</v>
      </c>
      <c r="BJ133" s="3">
        <v>143.69999999999999</v>
      </c>
      <c r="BK133" s="3">
        <v>157.69999999999999</v>
      </c>
      <c r="BL133" s="3">
        <v>145.80000000000001</v>
      </c>
      <c r="BM133" s="3">
        <v>153</v>
      </c>
      <c r="BN133" s="3">
        <v>104.3</v>
      </c>
      <c r="BO133" s="3">
        <v>185.1</v>
      </c>
      <c r="BP133" s="3">
        <v>168.3</v>
      </c>
      <c r="BQ133" s="3">
        <v>122.8</v>
      </c>
      <c r="BR133" s="3">
        <v>108.4</v>
      </c>
      <c r="BS133" s="3">
        <v>123.8</v>
      </c>
      <c r="BT133" s="3">
        <v>157.80000000000001</v>
      </c>
      <c r="BU133" s="3">
        <v>122.5</v>
      </c>
      <c r="BV133" s="3">
        <v>121.5</v>
      </c>
      <c r="BW133" s="3">
        <v>181.8</v>
      </c>
      <c r="BX133" s="3">
        <v>227.3</v>
      </c>
      <c r="BY133" s="3">
        <v>139.6</v>
      </c>
      <c r="BZ133" s="3">
        <v>189.5</v>
      </c>
      <c r="CA133" s="3">
        <v>186.1</v>
      </c>
      <c r="CB133" s="3">
        <v>199.4</v>
      </c>
      <c r="CC133" s="3">
        <v>187.7</v>
      </c>
      <c r="CD133" s="3">
        <v>184.9</v>
      </c>
      <c r="CE133" s="3">
        <v>150.4</v>
      </c>
      <c r="CF133" s="3">
        <v>63.2</v>
      </c>
      <c r="CG133" s="3">
        <v>119</v>
      </c>
      <c r="CH133" s="3">
        <v>119.9</v>
      </c>
      <c r="CI133" s="3">
        <v>184.2</v>
      </c>
      <c r="CJ133" s="3">
        <v>145.4</v>
      </c>
      <c r="CK133" s="3">
        <v>127.4</v>
      </c>
      <c r="CL133" s="3">
        <v>227.5</v>
      </c>
      <c r="CM133" s="3">
        <v>120.9</v>
      </c>
      <c r="CN133" s="3">
        <v>110.5</v>
      </c>
    </row>
    <row r="134" spans="1:92" x14ac:dyDescent="0.25">
      <c r="A134" s="4">
        <v>35796</v>
      </c>
      <c r="B134" s="3">
        <v>135.30000000000001</v>
      </c>
      <c r="C134" s="3">
        <v>141.1</v>
      </c>
      <c r="D134" s="3">
        <v>152.4</v>
      </c>
      <c r="E134" s="3">
        <v>130.19999999999999</v>
      </c>
      <c r="F134" s="3">
        <v>143.80000000000001</v>
      </c>
      <c r="G134" s="3">
        <v>141.80000000000001</v>
      </c>
      <c r="H134" s="3">
        <v>143</v>
      </c>
      <c r="I134" s="3">
        <v>156.80000000000001</v>
      </c>
      <c r="J134" s="3">
        <v>112.2</v>
      </c>
      <c r="K134" s="3">
        <v>133.6</v>
      </c>
      <c r="L134" s="3">
        <v>128.6</v>
      </c>
      <c r="M134" s="3">
        <v>131.6</v>
      </c>
      <c r="N134" s="3">
        <v>126.1</v>
      </c>
      <c r="O134" s="3">
        <v>167.5</v>
      </c>
      <c r="P134" s="3">
        <v>137.5</v>
      </c>
      <c r="Q134" s="3">
        <v>166.5</v>
      </c>
      <c r="R134" s="3">
        <v>147.69999999999999</v>
      </c>
      <c r="S134" s="3">
        <v>153.4</v>
      </c>
      <c r="T134" s="3">
        <v>144.4</v>
      </c>
      <c r="U134" s="3">
        <v>155.1</v>
      </c>
      <c r="V134" s="3">
        <v>133.19999999999999</v>
      </c>
      <c r="W134" s="3">
        <v>180.7</v>
      </c>
      <c r="X134" s="3">
        <v>150.1</v>
      </c>
      <c r="Y134" s="3">
        <v>148.80000000000001</v>
      </c>
      <c r="Z134" s="3">
        <v>132.1</v>
      </c>
      <c r="AA134" s="3">
        <v>113.7</v>
      </c>
      <c r="AB134" s="3">
        <v>141.9</v>
      </c>
      <c r="AC134" s="3">
        <v>120.7</v>
      </c>
      <c r="AD134" s="3">
        <v>108.7</v>
      </c>
      <c r="AE134" s="3">
        <v>151.1</v>
      </c>
      <c r="AF134" s="3">
        <v>130.5</v>
      </c>
      <c r="AG134" s="3">
        <v>127.8</v>
      </c>
      <c r="AH134" s="3">
        <v>134.1</v>
      </c>
      <c r="AI134" s="3">
        <v>147.69999999999999</v>
      </c>
      <c r="AJ134" s="3">
        <v>183.3</v>
      </c>
      <c r="AK134" s="3">
        <v>203.4</v>
      </c>
      <c r="AL134" s="3">
        <v>182</v>
      </c>
      <c r="AM134" s="3">
        <v>188</v>
      </c>
      <c r="AN134" s="3">
        <v>193.7</v>
      </c>
      <c r="AO134" s="3">
        <v>154.69999999999999</v>
      </c>
      <c r="AP134" s="3">
        <v>160.4</v>
      </c>
      <c r="AQ134" s="3">
        <v>182.5</v>
      </c>
      <c r="AR134" s="3">
        <v>148</v>
      </c>
      <c r="AS134" s="3">
        <v>222.4</v>
      </c>
      <c r="AT134" s="3">
        <v>189.6</v>
      </c>
      <c r="AU134" s="3">
        <v>219.2</v>
      </c>
      <c r="AV134" s="3">
        <v>203.5</v>
      </c>
      <c r="AW134" s="3">
        <v>113.7</v>
      </c>
      <c r="AX134" s="3">
        <v>154.4</v>
      </c>
      <c r="AY134" s="3">
        <v>257.8</v>
      </c>
      <c r="AZ134" s="3">
        <v>184.4</v>
      </c>
      <c r="BA134" s="3">
        <v>155.1</v>
      </c>
      <c r="BB134" s="3">
        <v>187.6</v>
      </c>
      <c r="BC134" s="3">
        <v>130.1</v>
      </c>
      <c r="BD134" s="3">
        <v>133.69999999999999</v>
      </c>
      <c r="BE134" s="3">
        <v>119.3</v>
      </c>
      <c r="BF134" s="3">
        <v>111</v>
      </c>
      <c r="BG134" s="3">
        <v>137.4</v>
      </c>
      <c r="BH134" s="3">
        <v>140.5</v>
      </c>
      <c r="BI134" s="3">
        <v>98.6</v>
      </c>
      <c r="BJ134" s="3">
        <v>139.9</v>
      </c>
      <c r="BK134" s="3">
        <v>157.4</v>
      </c>
      <c r="BL134" s="3">
        <v>146.80000000000001</v>
      </c>
      <c r="BM134" s="3">
        <v>153</v>
      </c>
      <c r="BN134" s="3">
        <v>103.8</v>
      </c>
      <c r="BO134" s="3">
        <v>187</v>
      </c>
      <c r="BP134" s="3">
        <v>168.5</v>
      </c>
      <c r="BQ134" s="3">
        <v>113.4</v>
      </c>
      <c r="BR134" s="3">
        <v>98.3</v>
      </c>
      <c r="BS134" s="3">
        <v>116.7</v>
      </c>
      <c r="BT134" s="3">
        <v>152.69999999999999</v>
      </c>
      <c r="BU134" s="3">
        <v>116.4</v>
      </c>
      <c r="BV134" s="3">
        <v>118.3</v>
      </c>
      <c r="BW134" s="3">
        <v>181.9</v>
      </c>
      <c r="BX134" s="3">
        <v>229.9</v>
      </c>
      <c r="BY134" s="3">
        <v>140.9</v>
      </c>
      <c r="BZ134" s="3">
        <v>191</v>
      </c>
      <c r="CA134" s="3">
        <v>184.9</v>
      </c>
      <c r="CB134" s="3">
        <v>206.4</v>
      </c>
      <c r="CC134" s="3">
        <v>194.2</v>
      </c>
      <c r="CD134" s="3">
        <v>186.2</v>
      </c>
      <c r="CE134" s="3">
        <v>150.1</v>
      </c>
      <c r="CF134" s="3">
        <v>61.5</v>
      </c>
      <c r="CG134" s="3">
        <v>118.9</v>
      </c>
      <c r="CH134" s="3">
        <v>119</v>
      </c>
      <c r="CI134" s="3">
        <v>185.5</v>
      </c>
      <c r="CJ134" s="3">
        <v>145.6</v>
      </c>
      <c r="CK134" s="3">
        <v>127.2</v>
      </c>
      <c r="CL134" s="3">
        <v>227.6</v>
      </c>
      <c r="CM134" s="3">
        <v>121.5</v>
      </c>
      <c r="CN134" s="3">
        <v>110.6</v>
      </c>
    </row>
    <row r="135" spans="1:92" x14ac:dyDescent="0.25">
      <c r="A135" s="4">
        <v>35827</v>
      </c>
      <c r="B135" s="3">
        <v>133.1</v>
      </c>
      <c r="C135" s="3">
        <v>141.80000000000001</v>
      </c>
      <c r="D135" s="3">
        <v>152</v>
      </c>
      <c r="E135" s="3">
        <v>130</v>
      </c>
      <c r="F135" s="3">
        <v>144.19999999999999</v>
      </c>
      <c r="G135" s="3">
        <v>136.5</v>
      </c>
      <c r="H135" s="3">
        <v>141</v>
      </c>
      <c r="I135" s="3">
        <v>153.5</v>
      </c>
      <c r="J135" s="3">
        <v>111.9</v>
      </c>
      <c r="K135" s="3">
        <v>133.4</v>
      </c>
      <c r="L135" s="3">
        <v>126.7</v>
      </c>
      <c r="M135" s="3">
        <v>128.9</v>
      </c>
      <c r="N135" s="3">
        <v>125</v>
      </c>
      <c r="O135" s="3">
        <v>169.3</v>
      </c>
      <c r="P135" s="3">
        <v>139.19999999999999</v>
      </c>
      <c r="Q135" s="3">
        <v>162.80000000000001</v>
      </c>
      <c r="R135" s="3">
        <v>142.9</v>
      </c>
      <c r="S135" s="3">
        <v>153.69999999999999</v>
      </c>
      <c r="T135" s="3">
        <v>143.69999999999999</v>
      </c>
      <c r="U135" s="3">
        <v>166.7</v>
      </c>
      <c r="V135" s="3">
        <v>132.30000000000001</v>
      </c>
      <c r="W135" s="3">
        <v>185.6</v>
      </c>
      <c r="X135" s="3">
        <v>149.30000000000001</v>
      </c>
      <c r="Y135" s="3">
        <v>148.19999999999999</v>
      </c>
      <c r="Z135" s="3">
        <v>127.9</v>
      </c>
      <c r="AA135" s="3">
        <v>101</v>
      </c>
      <c r="AB135" s="3">
        <v>142.9</v>
      </c>
      <c r="AC135" s="3">
        <v>121.5</v>
      </c>
      <c r="AD135" s="3">
        <v>111.4</v>
      </c>
      <c r="AE135" s="3">
        <v>146.80000000000001</v>
      </c>
      <c r="AF135" s="3">
        <v>131.30000000000001</v>
      </c>
      <c r="AG135" s="3">
        <v>128.19999999999999</v>
      </c>
      <c r="AH135" s="3">
        <v>138</v>
      </c>
      <c r="AI135" s="3">
        <v>149.5</v>
      </c>
      <c r="AJ135" s="3">
        <v>183.9</v>
      </c>
      <c r="AK135" s="3">
        <v>204.1</v>
      </c>
      <c r="AL135" s="3">
        <v>182.4</v>
      </c>
      <c r="AM135" s="3">
        <v>189.5</v>
      </c>
      <c r="AN135" s="3">
        <v>194.5</v>
      </c>
      <c r="AO135" s="3">
        <v>157.69999999999999</v>
      </c>
      <c r="AP135" s="3">
        <v>161.80000000000001</v>
      </c>
      <c r="AQ135" s="3">
        <v>183.3</v>
      </c>
      <c r="AR135" s="3">
        <v>149.69999999999999</v>
      </c>
      <c r="AS135" s="3">
        <v>222.7</v>
      </c>
      <c r="AT135" s="3">
        <v>189.8</v>
      </c>
      <c r="AU135" s="3">
        <v>219.1</v>
      </c>
      <c r="AV135" s="3">
        <v>205.3</v>
      </c>
      <c r="AW135" s="3">
        <v>114.5</v>
      </c>
      <c r="AX135" s="3">
        <v>154.4</v>
      </c>
      <c r="AY135" s="3">
        <v>257.8</v>
      </c>
      <c r="AZ135" s="3">
        <v>184.6</v>
      </c>
      <c r="BA135" s="3">
        <v>156.1</v>
      </c>
      <c r="BB135" s="3">
        <v>187.8</v>
      </c>
      <c r="BC135" s="3">
        <v>130.19999999999999</v>
      </c>
      <c r="BD135" s="3">
        <v>134.9</v>
      </c>
      <c r="BE135" s="3">
        <v>119.2</v>
      </c>
      <c r="BF135" s="3">
        <v>106.3</v>
      </c>
      <c r="BG135" s="3">
        <v>140.6</v>
      </c>
      <c r="BH135" s="3">
        <v>144.5</v>
      </c>
      <c r="BI135" s="3">
        <v>98.4</v>
      </c>
      <c r="BJ135" s="3">
        <v>144.5</v>
      </c>
      <c r="BK135" s="3">
        <v>157.80000000000001</v>
      </c>
      <c r="BL135" s="3">
        <v>148</v>
      </c>
      <c r="BM135" s="3">
        <v>153</v>
      </c>
      <c r="BN135" s="3">
        <v>103.6</v>
      </c>
      <c r="BO135" s="3">
        <v>187.4</v>
      </c>
      <c r="BP135" s="3">
        <v>169.1</v>
      </c>
      <c r="BQ135" s="3">
        <v>117.7</v>
      </c>
      <c r="BR135" s="3">
        <v>102.5</v>
      </c>
      <c r="BS135" s="3">
        <v>117.7</v>
      </c>
      <c r="BT135" s="3">
        <v>154</v>
      </c>
      <c r="BU135" s="3">
        <v>116.2</v>
      </c>
      <c r="BV135" s="3">
        <v>121</v>
      </c>
      <c r="BW135" s="3">
        <v>186.1</v>
      </c>
      <c r="BX135" s="3">
        <v>230.7</v>
      </c>
      <c r="BY135" s="3">
        <v>142.30000000000001</v>
      </c>
      <c r="BZ135" s="3">
        <v>191.8</v>
      </c>
      <c r="CA135" s="3">
        <v>183.4</v>
      </c>
      <c r="CB135" s="3">
        <v>206.4</v>
      </c>
      <c r="CC135" s="3">
        <v>194.2</v>
      </c>
      <c r="CD135" s="3">
        <v>186.4</v>
      </c>
      <c r="CE135" s="3">
        <v>150.30000000000001</v>
      </c>
      <c r="CF135" s="3">
        <v>60.8</v>
      </c>
      <c r="CG135" s="3">
        <v>119.3</v>
      </c>
      <c r="CH135" s="3">
        <v>119.3</v>
      </c>
      <c r="CI135" s="3">
        <v>185.9</v>
      </c>
      <c r="CJ135" s="3">
        <v>148.69999999999999</v>
      </c>
      <c r="CK135" s="3">
        <v>127.2</v>
      </c>
      <c r="CL135" s="3">
        <v>227.7</v>
      </c>
      <c r="CM135" s="3">
        <v>121.8</v>
      </c>
      <c r="CN135" s="3">
        <v>110.8</v>
      </c>
    </row>
    <row r="136" spans="1:92" x14ac:dyDescent="0.25">
      <c r="A136" s="4">
        <v>35855</v>
      </c>
      <c r="B136" s="3">
        <v>133.6</v>
      </c>
      <c r="C136" s="3">
        <v>141.80000000000001</v>
      </c>
      <c r="D136" s="3">
        <v>152</v>
      </c>
      <c r="E136" s="3">
        <v>128.9</v>
      </c>
      <c r="F136" s="3">
        <v>142.30000000000001</v>
      </c>
      <c r="G136" s="3">
        <v>135.9</v>
      </c>
      <c r="H136" s="3">
        <v>140.9</v>
      </c>
      <c r="I136" s="3">
        <v>153.9</v>
      </c>
      <c r="J136" s="3">
        <v>107.6</v>
      </c>
      <c r="K136" s="3">
        <v>133.5</v>
      </c>
      <c r="L136" s="3">
        <v>129</v>
      </c>
      <c r="M136" s="3">
        <v>131.5</v>
      </c>
      <c r="N136" s="3">
        <v>127</v>
      </c>
      <c r="O136" s="3">
        <v>169.9</v>
      </c>
      <c r="P136" s="3">
        <v>140.19999999999999</v>
      </c>
      <c r="Q136" s="3">
        <v>162.5</v>
      </c>
      <c r="R136" s="3">
        <v>146.69999999999999</v>
      </c>
      <c r="S136" s="3">
        <v>153.6</v>
      </c>
      <c r="T136" s="3">
        <v>145</v>
      </c>
      <c r="U136" s="3">
        <v>168.7</v>
      </c>
      <c r="V136" s="3">
        <v>131.30000000000001</v>
      </c>
      <c r="W136" s="3">
        <v>186.6</v>
      </c>
      <c r="X136" s="3">
        <v>147.6</v>
      </c>
      <c r="Y136" s="3">
        <v>147.69999999999999</v>
      </c>
      <c r="Z136" s="3">
        <v>131.5</v>
      </c>
      <c r="AA136" s="3">
        <v>106.4</v>
      </c>
      <c r="AB136" s="3">
        <v>145.5</v>
      </c>
      <c r="AC136" s="3">
        <v>119.4</v>
      </c>
      <c r="AD136" s="3">
        <v>108</v>
      </c>
      <c r="AE136" s="3">
        <v>148.19999999999999</v>
      </c>
      <c r="AF136" s="3">
        <v>130.69999999999999</v>
      </c>
      <c r="AG136" s="3">
        <v>127.5</v>
      </c>
      <c r="AH136" s="3">
        <v>138.1</v>
      </c>
      <c r="AI136" s="3">
        <v>148.4</v>
      </c>
      <c r="AJ136" s="3">
        <v>184.3</v>
      </c>
      <c r="AK136" s="3">
        <v>204.6</v>
      </c>
      <c r="AL136" s="3">
        <v>182.8</v>
      </c>
      <c r="AM136" s="3">
        <v>189.7</v>
      </c>
      <c r="AN136" s="3">
        <v>195.1</v>
      </c>
      <c r="AO136" s="3">
        <v>156.9</v>
      </c>
      <c r="AP136" s="3">
        <v>163.1</v>
      </c>
      <c r="AQ136" s="3">
        <v>183.9</v>
      </c>
      <c r="AR136" s="3">
        <v>151.19999999999999</v>
      </c>
      <c r="AS136" s="3">
        <v>222.7</v>
      </c>
      <c r="AT136" s="3">
        <v>189.9</v>
      </c>
      <c r="AU136" s="3">
        <v>219.5</v>
      </c>
      <c r="AV136" s="3">
        <v>206.1</v>
      </c>
      <c r="AW136" s="3">
        <v>114.3</v>
      </c>
      <c r="AX136" s="3">
        <v>154.4</v>
      </c>
      <c r="AY136" s="3">
        <v>257.8</v>
      </c>
      <c r="AZ136" s="3">
        <v>184.8</v>
      </c>
      <c r="BA136" s="3">
        <v>156.5</v>
      </c>
      <c r="BB136" s="3">
        <v>187.7</v>
      </c>
      <c r="BC136" s="3">
        <v>130.1</v>
      </c>
      <c r="BD136" s="3">
        <v>136</v>
      </c>
      <c r="BE136" s="3">
        <v>119.1</v>
      </c>
      <c r="BF136" s="3">
        <v>101.6</v>
      </c>
      <c r="BG136" s="3">
        <v>147.19999999999999</v>
      </c>
      <c r="BH136" s="3">
        <v>147.69999999999999</v>
      </c>
      <c r="BI136" s="3">
        <v>99.3</v>
      </c>
      <c r="BJ136" s="3">
        <v>145.5</v>
      </c>
      <c r="BK136" s="3">
        <v>158.6</v>
      </c>
      <c r="BL136" s="3">
        <v>147.69999999999999</v>
      </c>
      <c r="BM136" s="3">
        <v>153</v>
      </c>
      <c r="BN136" s="3">
        <v>103.7</v>
      </c>
      <c r="BO136" s="3">
        <v>187.7</v>
      </c>
      <c r="BP136" s="3">
        <v>169.3</v>
      </c>
      <c r="BQ136" s="3">
        <v>121.2</v>
      </c>
      <c r="BR136" s="3">
        <v>105</v>
      </c>
      <c r="BS136" s="3">
        <v>119.1</v>
      </c>
      <c r="BT136" s="3">
        <v>157.1</v>
      </c>
      <c r="BU136" s="3">
        <v>117.5</v>
      </c>
      <c r="BV136" s="3">
        <v>121.1</v>
      </c>
      <c r="BW136" s="3">
        <v>186.8</v>
      </c>
      <c r="BX136" s="3">
        <v>231.3</v>
      </c>
      <c r="BY136" s="3">
        <v>142.30000000000001</v>
      </c>
      <c r="BZ136" s="3">
        <v>192</v>
      </c>
      <c r="CA136" s="3">
        <v>182.3</v>
      </c>
      <c r="CB136" s="3">
        <v>206.4</v>
      </c>
      <c r="CC136" s="3">
        <v>194.2</v>
      </c>
      <c r="CD136" s="3">
        <v>186.5</v>
      </c>
      <c r="CE136" s="3">
        <v>150.19999999999999</v>
      </c>
      <c r="CF136" s="3">
        <v>59.8</v>
      </c>
      <c r="CG136" s="3">
        <v>120.6</v>
      </c>
      <c r="CH136" s="3">
        <v>119.3</v>
      </c>
      <c r="CI136" s="3">
        <v>187</v>
      </c>
      <c r="CJ136" s="3">
        <v>145.4</v>
      </c>
      <c r="CK136" s="3">
        <v>127.2</v>
      </c>
      <c r="CL136" s="3">
        <v>228</v>
      </c>
      <c r="CM136" s="3">
        <v>122</v>
      </c>
      <c r="CN136" s="3">
        <v>111</v>
      </c>
    </row>
    <row r="137" spans="1:92" x14ac:dyDescent="0.25">
      <c r="A137" s="4">
        <v>35886</v>
      </c>
      <c r="B137" s="3">
        <v>133.9</v>
      </c>
      <c r="C137" s="3">
        <v>141.9</v>
      </c>
      <c r="D137" s="3">
        <v>151.69999999999999</v>
      </c>
      <c r="E137" s="3">
        <v>128.6</v>
      </c>
      <c r="F137" s="3">
        <v>147.19999999999999</v>
      </c>
      <c r="G137" s="3">
        <v>146.30000000000001</v>
      </c>
      <c r="H137" s="3">
        <v>135.9</v>
      </c>
      <c r="I137" s="3">
        <v>150.19999999999999</v>
      </c>
      <c r="J137" s="3">
        <v>110.5</v>
      </c>
      <c r="K137" s="3">
        <v>133.6</v>
      </c>
      <c r="L137" s="3">
        <v>129.80000000000001</v>
      </c>
      <c r="M137" s="3">
        <v>131.30000000000001</v>
      </c>
      <c r="N137" s="3">
        <v>128.9</v>
      </c>
      <c r="O137" s="3">
        <v>170</v>
      </c>
      <c r="P137" s="3">
        <v>138.30000000000001</v>
      </c>
      <c r="Q137" s="3">
        <v>161</v>
      </c>
      <c r="R137" s="3">
        <v>143.19999999999999</v>
      </c>
      <c r="S137" s="3">
        <v>153.5</v>
      </c>
      <c r="T137" s="3">
        <v>143.69999999999999</v>
      </c>
      <c r="U137" s="3">
        <v>169.2</v>
      </c>
      <c r="V137" s="3">
        <v>131.80000000000001</v>
      </c>
      <c r="W137" s="3">
        <v>184.7</v>
      </c>
      <c r="X137" s="3">
        <v>149</v>
      </c>
      <c r="Y137" s="3">
        <v>148.5</v>
      </c>
      <c r="Z137" s="3">
        <v>133.80000000000001</v>
      </c>
      <c r="AA137" s="3">
        <v>105.4</v>
      </c>
      <c r="AB137" s="3">
        <v>149.69999999999999</v>
      </c>
      <c r="AC137" s="3">
        <v>118.3</v>
      </c>
      <c r="AD137" s="3">
        <v>106.4</v>
      </c>
      <c r="AE137" s="3">
        <v>148.4</v>
      </c>
      <c r="AF137" s="3">
        <v>133.19999999999999</v>
      </c>
      <c r="AG137" s="3">
        <v>130.19999999999999</v>
      </c>
      <c r="AH137" s="3">
        <v>138.6</v>
      </c>
      <c r="AI137" s="3">
        <v>150.4</v>
      </c>
      <c r="AJ137" s="3">
        <v>185</v>
      </c>
      <c r="AK137" s="3">
        <v>207</v>
      </c>
      <c r="AL137" s="3">
        <v>183.6</v>
      </c>
      <c r="AM137" s="3">
        <v>190.2</v>
      </c>
      <c r="AN137" s="3">
        <v>195.7</v>
      </c>
      <c r="AO137" s="3">
        <v>157.19999999999999</v>
      </c>
      <c r="AP137" s="3">
        <v>162.80000000000001</v>
      </c>
      <c r="AQ137" s="3">
        <v>184.4</v>
      </c>
      <c r="AR137" s="3">
        <v>150.5</v>
      </c>
      <c r="AS137" s="3">
        <v>226.2</v>
      </c>
      <c r="AT137" s="3">
        <v>193.6</v>
      </c>
      <c r="AU137" s="3">
        <v>222.7</v>
      </c>
      <c r="AV137" s="3">
        <v>217.6</v>
      </c>
      <c r="AW137" s="3">
        <v>115.5</v>
      </c>
      <c r="AX137" s="3">
        <v>167.4</v>
      </c>
      <c r="AY137" s="3">
        <v>273.3</v>
      </c>
      <c r="AZ137" s="3">
        <v>189.7</v>
      </c>
      <c r="BA137" s="3">
        <v>156.80000000000001</v>
      </c>
      <c r="BB137" s="3">
        <v>188.4</v>
      </c>
      <c r="BC137" s="3">
        <v>130.1</v>
      </c>
      <c r="BD137" s="3">
        <v>136</v>
      </c>
      <c r="BE137" s="3">
        <v>119</v>
      </c>
      <c r="BF137" s="3">
        <v>102</v>
      </c>
      <c r="BG137" s="3">
        <v>143.19999999999999</v>
      </c>
      <c r="BH137" s="3">
        <v>145.30000000000001</v>
      </c>
      <c r="BI137" s="3">
        <v>100</v>
      </c>
      <c r="BJ137" s="3">
        <v>143.1</v>
      </c>
      <c r="BK137" s="3">
        <v>158.69999999999999</v>
      </c>
      <c r="BL137" s="3">
        <v>148.30000000000001</v>
      </c>
      <c r="BM137" s="3">
        <v>153.9</v>
      </c>
      <c r="BN137" s="3">
        <v>103.4</v>
      </c>
      <c r="BO137" s="3">
        <v>188.4</v>
      </c>
      <c r="BP137" s="3">
        <v>170.6</v>
      </c>
      <c r="BQ137" s="3">
        <v>119</v>
      </c>
      <c r="BR137" s="3">
        <v>105.8</v>
      </c>
      <c r="BS137" s="3">
        <v>121.6</v>
      </c>
      <c r="BT137" s="3">
        <v>157.5</v>
      </c>
      <c r="BU137" s="3">
        <v>119.2</v>
      </c>
      <c r="BV137" s="3">
        <v>121.1</v>
      </c>
      <c r="BW137" s="3">
        <v>187.2</v>
      </c>
      <c r="BX137" s="3">
        <v>234.5</v>
      </c>
      <c r="BY137" s="3">
        <v>141.80000000000001</v>
      </c>
      <c r="BZ137" s="3">
        <v>192.6</v>
      </c>
      <c r="CA137" s="3">
        <v>192.8</v>
      </c>
      <c r="CB137" s="3">
        <v>213.3</v>
      </c>
      <c r="CC137" s="3">
        <v>194.4</v>
      </c>
      <c r="CD137" s="3">
        <v>187.9</v>
      </c>
      <c r="CE137" s="3">
        <v>150.4</v>
      </c>
      <c r="CF137" s="3">
        <v>58.7</v>
      </c>
      <c r="CG137" s="3">
        <v>120.8</v>
      </c>
      <c r="CH137" s="3">
        <v>119.2</v>
      </c>
      <c r="CI137" s="3">
        <v>187.7</v>
      </c>
      <c r="CJ137" s="3">
        <v>144.4</v>
      </c>
      <c r="CK137" s="3">
        <v>130.6</v>
      </c>
      <c r="CL137" s="3">
        <v>230.3</v>
      </c>
      <c r="CM137" s="3">
        <v>122.1</v>
      </c>
      <c r="CN137" s="3">
        <v>110.8</v>
      </c>
    </row>
    <row r="138" spans="1:92" x14ac:dyDescent="0.25">
      <c r="A138" s="4">
        <v>35916</v>
      </c>
      <c r="B138" s="3">
        <v>132.9</v>
      </c>
      <c r="C138" s="3">
        <v>140.4</v>
      </c>
      <c r="D138" s="3">
        <v>153.4</v>
      </c>
      <c r="E138" s="3">
        <v>129.1</v>
      </c>
      <c r="F138" s="3">
        <v>151.5</v>
      </c>
      <c r="G138" s="3">
        <v>156.69999999999999</v>
      </c>
      <c r="H138" s="3">
        <v>138.19999999999999</v>
      </c>
      <c r="I138" s="3">
        <v>147.9</v>
      </c>
      <c r="J138" s="3">
        <v>111.5</v>
      </c>
      <c r="K138" s="3">
        <v>133.6</v>
      </c>
      <c r="L138" s="3">
        <v>131.6</v>
      </c>
      <c r="M138" s="3">
        <v>132.19999999999999</v>
      </c>
      <c r="N138" s="3">
        <v>131.6</v>
      </c>
      <c r="O138" s="3">
        <v>170.2</v>
      </c>
      <c r="P138" s="3">
        <v>140.5</v>
      </c>
      <c r="Q138" s="3">
        <v>161.5</v>
      </c>
      <c r="R138" s="3">
        <v>139.69999999999999</v>
      </c>
      <c r="S138" s="3">
        <v>153.6</v>
      </c>
      <c r="T138" s="3">
        <v>141.19999999999999</v>
      </c>
      <c r="U138" s="3">
        <v>169</v>
      </c>
      <c r="V138" s="3">
        <v>132.1</v>
      </c>
      <c r="W138" s="3">
        <v>187.1</v>
      </c>
      <c r="X138" s="3">
        <v>149.5</v>
      </c>
      <c r="Y138" s="3">
        <v>149.9</v>
      </c>
      <c r="Z138" s="3">
        <v>135.80000000000001</v>
      </c>
      <c r="AA138" s="3">
        <v>111</v>
      </c>
      <c r="AB138" s="3">
        <v>149.5</v>
      </c>
      <c r="AC138" s="3">
        <v>132.6</v>
      </c>
      <c r="AD138" s="3">
        <v>124.8</v>
      </c>
      <c r="AE138" s="3">
        <v>150.9</v>
      </c>
      <c r="AF138" s="3">
        <v>139.19999999999999</v>
      </c>
      <c r="AG138" s="3">
        <v>136.9</v>
      </c>
      <c r="AH138" s="3">
        <v>139.80000000000001</v>
      </c>
      <c r="AI138" s="3">
        <v>150.9</v>
      </c>
      <c r="AJ138" s="3">
        <v>185.8</v>
      </c>
      <c r="AK138" s="3">
        <v>208.2</v>
      </c>
      <c r="AL138" s="3">
        <v>184.3</v>
      </c>
      <c r="AM138" s="3">
        <v>191.8</v>
      </c>
      <c r="AN138" s="3">
        <v>197.6</v>
      </c>
      <c r="AO138" s="3">
        <v>157.69999999999999</v>
      </c>
      <c r="AP138" s="3">
        <v>163.69999999999999</v>
      </c>
      <c r="AQ138" s="3">
        <v>185.5</v>
      </c>
      <c r="AR138" s="3">
        <v>151.4</v>
      </c>
      <c r="AS138" s="3">
        <v>227</v>
      </c>
      <c r="AT138" s="3">
        <v>193.7</v>
      </c>
      <c r="AU138" s="3">
        <v>223.1</v>
      </c>
      <c r="AV138" s="3">
        <v>218.6</v>
      </c>
      <c r="AW138" s="3">
        <v>117.5</v>
      </c>
      <c r="AX138" s="3">
        <v>167.4</v>
      </c>
      <c r="AY138" s="3">
        <v>273.3</v>
      </c>
      <c r="AZ138" s="3">
        <v>190.8</v>
      </c>
      <c r="BA138" s="3">
        <v>156.80000000000001</v>
      </c>
      <c r="BB138" s="3">
        <v>188.9</v>
      </c>
      <c r="BC138" s="3">
        <v>127.1</v>
      </c>
      <c r="BD138" s="3">
        <v>134.5</v>
      </c>
      <c r="BE138" s="3">
        <v>118.9</v>
      </c>
      <c r="BF138" s="3">
        <v>102.5</v>
      </c>
      <c r="BG138" s="3">
        <v>145.30000000000001</v>
      </c>
      <c r="BH138" s="3">
        <v>147.69999999999999</v>
      </c>
      <c r="BI138" s="3">
        <v>100.5</v>
      </c>
      <c r="BJ138" s="3">
        <v>145.4</v>
      </c>
      <c r="BK138" s="3">
        <v>159.4</v>
      </c>
      <c r="BL138" s="3">
        <v>148</v>
      </c>
      <c r="BM138" s="3">
        <v>153.9</v>
      </c>
      <c r="BN138" s="3">
        <v>103.3</v>
      </c>
      <c r="BO138" s="3">
        <v>189.1</v>
      </c>
      <c r="BP138" s="3">
        <v>170.8</v>
      </c>
      <c r="BQ138" s="3">
        <v>121.2</v>
      </c>
      <c r="BR138" s="3">
        <v>107.9</v>
      </c>
      <c r="BS138" s="3">
        <v>121.1</v>
      </c>
      <c r="BT138" s="3">
        <v>158.69999999999999</v>
      </c>
      <c r="BU138" s="3">
        <v>119.8</v>
      </c>
      <c r="BV138" s="3">
        <v>121.2</v>
      </c>
      <c r="BW138" s="3">
        <v>188.5</v>
      </c>
      <c r="BX138" s="3">
        <v>235.2</v>
      </c>
      <c r="BY138" s="3">
        <v>141.69999999999999</v>
      </c>
      <c r="BZ138" s="3">
        <v>193.7</v>
      </c>
      <c r="CA138" s="3">
        <v>193.6</v>
      </c>
      <c r="CB138" s="3">
        <v>213.3</v>
      </c>
      <c r="CC138" s="3">
        <v>194.5</v>
      </c>
      <c r="CD138" s="3">
        <v>190.4</v>
      </c>
      <c r="CE138" s="3">
        <v>151</v>
      </c>
      <c r="CF138" s="3">
        <v>58.3</v>
      </c>
      <c r="CG138" s="3">
        <v>120.8</v>
      </c>
      <c r="CH138" s="3">
        <v>119.3</v>
      </c>
      <c r="CI138" s="3">
        <v>187.8</v>
      </c>
      <c r="CJ138" s="3">
        <v>143.80000000000001</v>
      </c>
      <c r="CK138" s="3">
        <v>130.69999999999999</v>
      </c>
      <c r="CL138" s="3">
        <v>233</v>
      </c>
      <c r="CM138" s="3">
        <v>122.1</v>
      </c>
      <c r="CN138" s="3">
        <v>111.4</v>
      </c>
    </row>
    <row r="139" spans="1:92" x14ac:dyDescent="0.25">
      <c r="A139" s="4">
        <v>35947</v>
      </c>
      <c r="B139" s="3">
        <v>135.4</v>
      </c>
      <c r="C139" s="3">
        <v>139.80000000000001</v>
      </c>
      <c r="D139" s="3">
        <v>155.80000000000001</v>
      </c>
      <c r="E139" s="3">
        <v>128.5</v>
      </c>
      <c r="F139" s="3">
        <v>151.19999999999999</v>
      </c>
      <c r="G139" s="3">
        <v>160.9</v>
      </c>
      <c r="H139" s="3">
        <v>131.30000000000001</v>
      </c>
      <c r="I139" s="3">
        <v>147.30000000000001</v>
      </c>
      <c r="J139" s="3">
        <v>111.9</v>
      </c>
      <c r="K139" s="3">
        <v>133.30000000000001</v>
      </c>
      <c r="L139" s="3">
        <v>133.4</v>
      </c>
      <c r="M139" s="3">
        <v>133.69999999999999</v>
      </c>
      <c r="N139" s="3">
        <v>133.6</v>
      </c>
      <c r="O139" s="3">
        <v>169.7</v>
      </c>
      <c r="P139" s="3">
        <v>140.4</v>
      </c>
      <c r="Q139" s="3">
        <v>161.19999999999999</v>
      </c>
      <c r="R139" s="3">
        <v>143</v>
      </c>
      <c r="S139" s="3">
        <v>153.5</v>
      </c>
      <c r="T139" s="3">
        <v>142.1</v>
      </c>
      <c r="U139" s="3">
        <v>169.2</v>
      </c>
      <c r="V139" s="3">
        <v>132.5</v>
      </c>
      <c r="W139" s="3">
        <v>186.1</v>
      </c>
      <c r="X139" s="3">
        <v>149.80000000000001</v>
      </c>
      <c r="Y139" s="3">
        <v>151.5</v>
      </c>
      <c r="Z139" s="3">
        <v>141.5</v>
      </c>
      <c r="AA139" s="3">
        <v>124.8</v>
      </c>
      <c r="AB139" s="3">
        <v>150.1</v>
      </c>
      <c r="AC139" s="3">
        <v>118</v>
      </c>
      <c r="AD139" s="3">
        <v>106.1</v>
      </c>
      <c r="AE139" s="3">
        <v>148.30000000000001</v>
      </c>
      <c r="AF139" s="3">
        <v>140.69999999999999</v>
      </c>
      <c r="AG139" s="3">
        <v>138.6</v>
      </c>
      <c r="AH139" s="3">
        <v>139.80000000000001</v>
      </c>
      <c r="AI139" s="3">
        <v>150.4</v>
      </c>
      <c r="AJ139" s="3">
        <v>186.1</v>
      </c>
      <c r="AK139" s="3">
        <v>208.5</v>
      </c>
      <c r="AL139" s="3">
        <v>185</v>
      </c>
      <c r="AM139" s="3">
        <v>191.8</v>
      </c>
      <c r="AN139" s="3">
        <v>198</v>
      </c>
      <c r="AO139" s="3">
        <v>156.69999999999999</v>
      </c>
      <c r="AP139" s="3">
        <v>163.5</v>
      </c>
      <c r="AQ139" s="3">
        <v>186</v>
      </c>
      <c r="AR139" s="3">
        <v>150.9</v>
      </c>
      <c r="AS139" s="3">
        <v>227.3</v>
      </c>
      <c r="AT139" s="3">
        <v>193.7</v>
      </c>
      <c r="AU139" s="3">
        <v>223.4</v>
      </c>
      <c r="AV139" s="3">
        <v>219.6</v>
      </c>
      <c r="AW139" s="3">
        <v>117.8</v>
      </c>
      <c r="AX139" s="3">
        <v>167.4</v>
      </c>
      <c r="AY139" s="3">
        <v>273.3</v>
      </c>
      <c r="AZ139" s="3">
        <v>192.2</v>
      </c>
      <c r="BA139" s="3">
        <v>156.19999999999999</v>
      </c>
      <c r="BB139" s="3">
        <v>189</v>
      </c>
      <c r="BC139" s="3">
        <v>127.4</v>
      </c>
      <c r="BD139" s="3">
        <v>133.1</v>
      </c>
      <c r="BE139" s="3">
        <v>118.8</v>
      </c>
      <c r="BF139" s="3">
        <v>100.1</v>
      </c>
      <c r="BG139" s="3">
        <v>145.19999999999999</v>
      </c>
      <c r="BH139" s="3">
        <v>145.5</v>
      </c>
      <c r="BI139" s="3">
        <v>99.1</v>
      </c>
      <c r="BJ139" s="3">
        <v>145.30000000000001</v>
      </c>
      <c r="BK139" s="3">
        <v>159.69999999999999</v>
      </c>
      <c r="BL139" s="3">
        <v>148</v>
      </c>
      <c r="BM139" s="3">
        <v>153.9</v>
      </c>
      <c r="BN139" s="3">
        <v>103.1</v>
      </c>
      <c r="BO139" s="3">
        <v>189.8</v>
      </c>
      <c r="BP139" s="3">
        <v>170.8</v>
      </c>
      <c r="BQ139" s="3">
        <v>120.3</v>
      </c>
      <c r="BR139" s="3">
        <v>107.2</v>
      </c>
      <c r="BS139" s="3">
        <v>120.8</v>
      </c>
      <c r="BT139" s="3">
        <v>158.9</v>
      </c>
      <c r="BU139" s="3">
        <v>120.1</v>
      </c>
      <c r="BV139" s="3">
        <v>121.9</v>
      </c>
      <c r="BW139" s="3">
        <v>189.3</v>
      </c>
      <c r="BX139" s="3">
        <v>236.1</v>
      </c>
      <c r="BY139" s="3">
        <v>141.1</v>
      </c>
      <c r="BZ139" s="3">
        <v>194.4</v>
      </c>
      <c r="CA139" s="3">
        <v>192.7</v>
      </c>
      <c r="CB139" s="3">
        <v>213.3</v>
      </c>
      <c r="CC139" s="3">
        <v>195.5</v>
      </c>
      <c r="CD139" s="3">
        <v>190.4</v>
      </c>
      <c r="CE139" s="3">
        <v>151.4</v>
      </c>
      <c r="CF139" s="3">
        <v>57.3</v>
      </c>
      <c r="CG139" s="3">
        <v>120.3</v>
      </c>
      <c r="CH139" s="3">
        <v>119.1</v>
      </c>
      <c r="CI139" s="3">
        <v>187.7</v>
      </c>
      <c r="CJ139" s="3">
        <v>142.80000000000001</v>
      </c>
      <c r="CK139" s="3">
        <v>130.69999999999999</v>
      </c>
      <c r="CL139" s="3">
        <v>232.6</v>
      </c>
      <c r="CM139" s="3">
        <v>123</v>
      </c>
      <c r="CN139" s="3">
        <v>112.2</v>
      </c>
    </row>
    <row r="140" spans="1:92" x14ac:dyDescent="0.25">
      <c r="A140" s="4">
        <v>35977</v>
      </c>
      <c r="B140" s="3">
        <v>135.69999999999999</v>
      </c>
      <c r="C140" s="3">
        <v>141.6</v>
      </c>
      <c r="D140" s="3">
        <v>155.80000000000001</v>
      </c>
      <c r="E140" s="3">
        <v>131.5</v>
      </c>
      <c r="F140" s="3">
        <v>147.6</v>
      </c>
      <c r="G140" s="3">
        <v>154.30000000000001</v>
      </c>
      <c r="H140" s="3">
        <v>128.80000000000001</v>
      </c>
      <c r="I140" s="3">
        <v>148.19999999999999</v>
      </c>
      <c r="J140" s="3">
        <v>113.8</v>
      </c>
      <c r="K140" s="3">
        <v>133.4</v>
      </c>
      <c r="L140" s="3">
        <v>137</v>
      </c>
      <c r="M140" s="3">
        <v>136.4</v>
      </c>
      <c r="N140" s="3">
        <v>138</v>
      </c>
      <c r="O140" s="3">
        <v>170.4</v>
      </c>
      <c r="P140" s="3">
        <v>142.4</v>
      </c>
      <c r="Q140" s="3">
        <v>160.5</v>
      </c>
      <c r="R140" s="3">
        <v>145.69999999999999</v>
      </c>
      <c r="S140" s="3">
        <v>153.9</v>
      </c>
      <c r="T140" s="3">
        <v>143.4</v>
      </c>
      <c r="U140" s="3">
        <v>169.4</v>
      </c>
      <c r="V140" s="3">
        <v>128.6</v>
      </c>
      <c r="W140" s="3">
        <v>186</v>
      </c>
      <c r="X140" s="3">
        <v>149.6</v>
      </c>
      <c r="Y140" s="3">
        <v>153.19999999999999</v>
      </c>
      <c r="Z140" s="3">
        <v>138.80000000000001</v>
      </c>
      <c r="AA140" s="3">
        <v>121.2</v>
      </c>
      <c r="AB140" s="3">
        <v>148.1</v>
      </c>
      <c r="AC140" s="3">
        <v>112.1</v>
      </c>
      <c r="AD140" s="3">
        <v>97.4</v>
      </c>
      <c r="AE140" s="3">
        <v>150.30000000000001</v>
      </c>
      <c r="AF140" s="3">
        <v>136.19999999999999</v>
      </c>
      <c r="AG140" s="3">
        <v>133.4</v>
      </c>
      <c r="AH140" s="3">
        <v>139.9</v>
      </c>
      <c r="AI140" s="3">
        <v>150</v>
      </c>
      <c r="AJ140" s="3">
        <v>186.8</v>
      </c>
      <c r="AK140" s="3">
        <v>209.5</v>
      </c>
      <c r="AL140" s="3">
        <v>185.5</v>
      </c>
      <c r="AM140" s="3">
        <v>192.7</v>
      </c>
      <c r="AN140" s="3">
        <v>198.8</v>
      </c>
      <c r="AO140" s="3">
        <v>157.9</v>
      </c>
      <c r="AP140" s="3">
        <v>163.9</v>
      </c>
      <c r="AQ140" s="3">
        <v>186.5</v>
      </c>
      <c r="AR140" s="3">
        <v>151.19999999999999</v>
      </c>
      <c r="AS140" s="3">
        <v>227.6</v>
      </c>
      <c r="AT140" s="3">
        <v>193.7</v>
      </c>
      <c r="AU140" s="3">
        <v>223.8</v>
      </c>
      <c r="AV140" s="3">
        <v>225.7</v>
      </c>
      <c r="AW140" s="3">
        <v>119.9</v>
      </c>
      <c r="AX140" s="3">
        <v>167.4</v>
      </c>
      <c r="AY140" s="3">
        <v>273.3</v>
      </c>
      <c r="AZ140" s="3">
        <v>192.7</v>
      </c>
      <c r="BA140" s="3">
        <v>156</v>
      </c>
      <c r="BB140" s="3">
        <v>190.1</v>
      </c>
      <c r="BC140" s="3">
        <v>127.7</v>
      </c>
      <c r="BD140" s="3">
        <v>132.5</v>
      </c>
      <c r="BE140" s="3">
        <v>118.8</v>
      </c>
      <c r="BF140" s="3">
        <v>97.9</v>
      </c>
      <c r="BG140" s="3">
        <v>143.5</v>
      </c>
      <c r="BH140" s="3">
        <v>142</v>
      </c>
      <c r="BI140" s="3">
        <v>97.6</v>
      </c>
      <c r="BJ140" s="3">
        <v>144.19999999999999</v>
      </c>
      <c r="BK140" s="3">
        <v>159.19999999999999</v>
      </c>
      <c r="BL140" s="3">
        <v>148.1</v>
      </c>
      <c r="BM140" s="3">
        <v>153.9</v>
      </c>
      <c r="BN140" s="3">
        <v>102.8</v>
      </c>
      <c r="BO140" s="3">
        <v>190.2</v>
      </c>
      <c r="BP140" s="3">
        <v>171.1</v>
      </c>
      <c r="BQ140" s="3">
        <v>111.9</v>
      </c>
      <c r="BR140" s="3">
        <v>97</v>
      </c>
      <c r="BS140" s="3">
        <v>116.3</v>
      </c>
      <c r="BT140" s="3">
        <v>155.19999999999999</v>
      </c>
      <c r="BU140" s="3">
        <v>116.3</v>
      </c>
      <c r="BV140" s="3">
        <v>121.1</v>
      </c>
      <c r="BW140" s="3">
        <v>189.9</v>
      </c>
      <c r="BX140" s="3">
        <v>237.9</v>
      </c>
      <c r="BY140" s="3">
        <v>139.69999999999999</v>
      </c>
      <c r="BZ140" s="3">
        <v>194.8</v>
      </c>
      <c r="CA140" s="3">
        <v>193.8</v>
      </c>
      <c r="CB140" s="3">
        <v>213.3</v>
      </c>
      <c r="CC140" s="3">
        <v>196.2</v>
      </c>
      <c r="CD140" s="3">
        <v>190.9</v>
      </c>
      <c r="CE140" s="3">
        <v>151.4</v>
      </c>
      <c r="CF140" s="3">
        <v>56.3</v>
      </c>
      <c r="CG140" s="3">
        <v>120.7</v>
      </c>
      <c r="CH140" s="3">
        <v>119</v>
      </c>
      <c r="CI140" s="3">
        <v>187.6</v>
      </c>
      <c r="CJ140" s="3">
        <v>142.69999999999999</v>
      </c>
      <c r="CK140" s="3">
        <v>130.1</v>
      </c>
      <c r="CL140" s="3">
        <v>232.8</v>
      </c>
      <c r="CM140" s="3">
        <v>123.4</v>
      </c>
      <c r="CN140" s="3">
        <v>113.6</v>
      </c>
    </row>
    <row r="141" spans="1:92" x14ac:dyDescent="0.25">
      <c r="A141" s="4">
        <v>36008</v>
      </c>
      <c r="B141" s="3">
        <v>136.1</v>
      </c>
      <c r="C141" s="3">
        <v>142.69999999999999</v>
      </c>
      <c r="D141" s="3">
        <v>155.9</v>
      </c>
      <c r="E141" s="3">
        <v>130.4</v>
      </c>
      <c r="F141" s="3">
        <v>145.1</v>
      </c>
      <c r="G141" s="3">
        <v>155.19999999999999</v>
      </c>
      <c r="H141" s="3">
        <v>123.9</v>
      </c>
      <c r="I141" s="3">
        <v>149.19999999999999</v>
      </c>
      <c r="J141" s="3">
        <v>113.7</v>
      </c>
      <c r="K141" s="3">
        <v>133.5</v>
      </c>
      <c r="L141" s="3">
        <v>137.80000000000001</v>
      </c>
      <c r="M141" s="3">
        <v>136.80000000000001</v>
      </c>
      <c r="N141" s="3">
        <v>139.19999999999999</v>
      </c>
      <c r="O141" s="3">
        <v>170.7</v>
      </c>
      <c r="P141" s="3">
        <v>140.80000000000001</v>
      </c>
      <c r="Q141" s="3">
        <v>160.30000000000001</v>
      </c>
      <c r="R141" s="3">
        <v>142.9</v>
      </c>
      <c r="S141" s="3">
        <v>153.9</v>
      </c>
      <c r="T141" s="3">
        <v>144</v>
      </c>
      <c r="U141" s="3">
        <v>170</v>
      </c>
      <c r="V141" s="3">
        <v>128.5</v>
      </c>
      <c r="W141" s="3">
        <v>186.3</v>
      </c>
      <c r="X141" s="3">
        <v>148.9</v>
      </c>
      <c r="Y141" s="3">
        <v>153.4</v>
      </c>
      <c r="Z141" s="3">
        <v>162.19999999999999</v>
      </c>
      <c r="AA141" s="3">
        <v>177.8</v>
      </c>
      <c r="AB141" s="3">
        <v>150.4</v>
      </c>
      <c r="AC141" s="3">
        <v>116.3</v>
      </c>
      <c r="AD141" s="3">
        <v>102.4</v>
      </c>
      <c r="AE141" s="3">
        <v>152.30000000000001</v>
      </c>
      <c r="AF141" s="3">
        <v>136.69999999999999</v>
      </c>
      <c r="AG141" s="3">
        <v>134.1</v>
      </c>
      <c r="AH141" s="3">
        <v>139.30000000000001</v>
      </c>
      <c r="AI141" s="3">
        <v>150.1</v>
      </c>
      <c r="AJ141" s="3">
        <v>188</v>
      </c>
      <c r="AK141" s="3">
        <v>210.7</v>
      </c>
      <c r="AL141" s="3">
        <v>186</v>
      </c>
      <c r="AM141" s="3">
        <v>192.9</v>
      </c>
      <c r="AN141" s="3">
        <v>199.3</v>
      </c>
      <c r="AO141" s="3">
        <v>157.30000000000001</v>
      </c>
      <c r="AP141" s="3">
        <v>164.5</v>
      </c>
      <c r="AQ141" s="3">
        <v>187.1</v>
      </c>
      <c r="AR141" s="3">
        <v>151.80000000000001</v>
      </c>
      <c r="AS141" s="3">
        <v>227.8</v>
      </c>
      <c r="AT141" s="3">
        <v>193.9</v>
      </c>
      <c r="AU141" s="3">
        <v>224.3</v>
      </c>
      <c r="AV141" s="3">
        <v>227.5</v>
      </c>
      <c r="AW141" s="3">
        <v>121.3</v>
      </c>
      <c r="AX141" s="3">
        <v>167.4</v>
      </c>
      <c r="AY141" s="3">
        <v>273.3</v>
      </c>
      <c r="AZ141" s="3">
        <v>193.4</v>
      </c>
      <c r="BA141" s="3">
        <v>156.19999999999999</v>
      </c>
      <c r="BB141" s="3">
        <v>190.5</v>
      </c>
      <c r="BC141" s="3">
        <v>127.8</v>
      </c>
      <c r="BD141" s="3">
        <v>132.5</v>
      </c>
      <c r="BE141" s="3">
        <v>118.8</v>
      </c>
      <c r="BF141" s="3">
        <v>96.5</v>
      </c>
      <c r="BG141" s="3">
        <v>143.30000000000001</v>
      </c>
      <c r="BH141" s="3">
        <v>144.9</v>
      </c>
      <c r="BI141" s="3">
        <v>97.7</v>
      </c>
      <c r="BJ141" s="3">
        <v>144.9</v>
      </c>
      <c r="BK141" s="3">
        <v>159.6</v>
      </c>
      <c r="BL141" s="3">
        <v>149.1</v>
      </c>
      <c r="BM141" s="3">
        <v>153.9</v>
      </c>
      <c r="BN141" s="3">
        <v>101.7</v>
      </c>
      <c r="BO141" s="3">
        <v>190.9</v>
      </c>
      <c r="BP141" s="3">
        <v>171</v>
      </c>
      <c r="BQ141" s="3">
        <v>114.8</v>
      </c>
      <c r="BR141" s="3">
        <v>100.1</v>
      </c>
      <c r="BS141" s="3">
        <v>119.2</v>
      </c>
      <c r="BT141" s="3">
        <v>156.6</v>
      </c>
      <c r="BU141" s="3">
        <v>117.3</v>
      </c>
      <c r="BV141" s="3">
        <v>122.2</v>
      </c>
      <c r="BW141" s="3">
        <v>190.7</v>
      </c>
      <c r="BX141" s="3">
        <v>238.8</v>
      </c>
      <c r="BY141" s="3">
        <v>139.1</v>
      </c>
      <c r="BZ141" s="3">
        <v>196.4</v>
      </c>
      <c r="CA141" s="3">
        <v>193.7</v>
      </c>
      <c r="CB141" s="3">
        <v>213.3</v>
      </c>
      <c r="CC141" s="3">
        <v>196.2</v>
      </c>
      <c r="CD141" s="3">
        <v>191.2</v>
      </c>
      <c r="CE141" s="3">
        <v>151.69999999999999</v>
      </c>
      <c r="CF141" s="3">
        <v>55.2</v>
      </c>
      <c r="CG141" s="3">
        <v>121.4</v>
      </c>
      <c r="CH141" s="3">
        <v>118.8</v>
      </c>
      <c r="CI141" s="3">
        <v>188.1</v>
      </c>
      <c r="CJ141" s="3">
        <v>142.4</v>
      </c>
      <c r="CK141" s="3">
        <v>130.1</v>
      </c>
      <c r="CL141" s="3">
        <v>233.8</v>
      </c>
      <c r="CM141" s="3">
        <v>123.3</v>
      </c>
      <c r="CN141" s="3">
        <v>115.2</v>
      </c>
    </row>
    <row r="142" spans="1:92" x14ac:dyDescent="0.25">
      <c r="A142" s="4">
        <v>36039</v>
      </c>
      <c r="B142" s="3">
        <v>136.69999999999999</v>
      </c>
      <c r="C142" s="3">
        <v>143.9</v>
      </c>
      <c r="D142" s="3">
        <v>154.9</v>
      </c>
      <c r="E142" s="3">
        <v>129.80000000000001</v>
      </c>
      <c r="F142" s="3">
        <v>141.1</v>
      </c>
      <c r="G142" s="3">
        <v>144.6</v>
      </c>
      <c r="H142" s="3">
        <v>125.6</v>
      </c>
      <c r="I142" s="3">
        <v>148.69999999999999</v>
      </c>
      <c r="J142" s="3">
        <v>114.1</v>
      </c>
      <c r="K142" s="3">
        <v>133.9</v>
      </c>
      <c r="L142" s="3">
        <v>141.1</v>
      </c>
      <c r="M142" s="3">
        <v>140.19999999999999</v>
      </c>
      <c r="N142" s="3">
        <v>142.5</v>
      </c>
      <c r="O142" s="3">
        <v>169.6</v>
      </c>
      <c r="P142" s="3">
        <v>141.30000000000001</v>
      </c>
      <c r="Q142" s="3">
        <v>161.19999999999999</v>
      </c>
      <c r="R142" s="3">
        <v>145.9</v>
      </c>
      <c r="S142" s="3">
        <v>153.69999999999999</v>
      </c>
      <c r="T142" s="3">
        <v>145.5</v>
      </c>
      <c r="U142" s="3">
        <v>169.9</v>
      </c>
      <c r="V142" s="3">
        <v>125.4</v>
      </c>
      <c r="W142" s="3">
        <v>187.1</v>
      </c>
      <c r="X142" s="3">
        <v>149.6</v>
      </c>
      <c r="Y142" s="3">
        <v>153.9</v>
      </c>
      <c r="Z142" s="3">
        <v>160.1</v>
      </c>
      <c r="AA142" s="3">
        <v>171.2</v>
      </c>
      <c r="AB142" s="3">
        <v>151.1</v>
      </c>
      <c r="AC142" s="3">
        <v>112.3</v>
      </c>
      <c r="AD142" s="3">
        <v>97</v>
      </c>
      <c r="AE142" s="3">
        <v>152.30000000000001</v>
      </c>
      <c r="AF142" s="3">
        <v>130.6</v>
      </c>
      <c r="AG142" s="3">
        <v>127</v>
      </c>
      <c r="AH142" s="3">
        <v>140.4</v>
      </c>
      <c r="AI142" s="3">
        <v>151.1</v>
      </c>
      <c r="AJ142" s="3">
        <v>188.4</v>
      </c>
      <c r="AK142" s="3">
        <v>211.9</v>
      </c>
      <c r="AL142" s="3">
        <v>186.5</v>
      </c>
      <c r="AM142" s="3">
        <v>193.1</v>
      </c>
      <c r="AN142" s="3">
        <v>199.6</v>
      </c>
      <c r="AO142" s="3">
        <v>157.1</v>
      </c>
      <c r="AP142" s="3">
        <v>164.7</v>
      </c>
      <c r="AQ142" s="3">
        <v>187.1</v>
      </c>
      <c r="AR142" s="3">
        <v>152.1</v>
      </c>
      <c r="AS142" s="3">
        <v>227.8</v>
      </c>
      <c r="AT142" s="3">
        <v>193.9</v>
      </c>
      <c r="AU142" s="3">
        <v>225</v>
      </c>
      <c r="AV142" s="3">
        <v>229.6</v>
      </c>
      <c r="AW142" s="3">
        <v>122.2</v>
      </c>
      <c r="AX142" s="3">
        <v>167.4</v>
      </c>
      <c r="AY142" s="3">
        <v>273.3</v>
      </c>
      <c r="AZ142" s="3">
        <v>194.2</v>
      </c>
      <c r="BA142" s="3">
        <v>155.4</v>
      </c>
      <c r="BB142" s="3">
        <v>190.7</v>
      </c>
      <c r="BC142" s="3">
        <v>128.9</v>
      </c>
      <c r="BD142" s="3">
        <v>132.5</v>
      </c>
      <c r="BE142" s="3">
        <v>118.8</v>
      </c>
      <c r="BF142" s="3">
        <v>99</v>
      </c>
      <c r="BG142" s="3">
        <v>145.5</v>
      </c>
      <c r="BH142" s="3">
        <v>146.69999999999999</v>
      </c>
      <c r="BI142" s="3">
        <v>97.7</v>
      </c>
      <c r="BJ142" s="3">
        <v>145.80000000000001</v>
      </c>
      <c r="BK142" s="3">
        <v>159.80000000000001</v>
      </c>
      <c r="BL142" s="3">
        <v>149.1</v>
      </c>
      <c r="BM142" s="3">
        <v>153.9</v>
      </c>
      <c r="BN142" s="3">
        <v>101.5</v>
      </c>
      <c r="BO142" s="3">
        <v>191.7</v>
      </c>
      <c r="BP142" s="3">
        <v>174.8</v>
      </c>
      <c r="BQ142" s="3">
        <v>120.1</v>
      </c>
      <c r="BR142" s="3">
        <v>108.4</v>
      </c>
      <c r="BS142" s="3">
        <v>120.7</v>
      </c>
      <c r="BT142" s="3">
        <v>160</v>
      </c>
      <c r="BU142" s="3">
        <v>119.9</v>
      </c>
      <c r="BV142" s="3">
        <v>122.9</v>
      </c>
      <c r="BW142" s="3">
        <v>190.9</v>
      </c>
      <c r="BX142" s="3">
        <v>239.1</v>
      </c>
      <c r="BY142" s="3">
        <v>139.19999999999999</v>
      </c>
      <c r="BZ142" s="3">
        <v>196.8</v>
      </c>
      <c r="CA142" s="3">
        <v>192.7</v>
      </c>
      <c r="CB142" s="3">
        <v>213.3</v>
      </c>
      <c r="CC142" s="3">
        <v>195.5</v>
      </c>
      <c r="CD142" s="3">
        <v>191.2</v>
      </c>
      <c r="CE142" s="3">
        <v>151.80000000000001</v>
      </c>
      <c r="CF142" s="3">
        <v>54.2</v>
      </c>
      <c r="CG142" s="3">
        <v>121.3</v>
      </c>
      <c r="CH142" s="3">
        <v>119.1</v>
      </c>
      <c r="CI142" s="3">
        <v>188.8</v>
      </c>
      <c r="CJ142" s="3">
        <v>140.9</v>
      </c>
      <c r="CK142" s="3">
        <v>130.1</v>
      </c>
      <c r="CL142" s="3">
        <v>237.1</v>
      </c>
      <c r="CM142" s="3">
        <v>123.9</v>
      </c>
      <c r="CN142" s="3">
        <v>115.9</v>
      </c>
    </row>
    <row r="143" spans="1:92" x14ac:dyDescent="0.25">
      <c r="A143" s="4">
        <v>36069</v>
      </c>
      <c r="B143" s="3">
        <v>137.6</v>
      </c>
      <c r="C143" s="3">
        <v>140.6</v>
      </c>
      <c r="D143" s="3">
        <v>157</v>
      </c>
      <c r="E143" s="3">
        <v>129.6</v>
      </c>
      <c r="F143" s="3">
        <v>140.80000000000001</v>
      </c>
      <c r="G143" s="3">
        <v>143.4</v>
      </c>
      <c r="H143" s="3">
        <v>128.19999999999999</v>
      </c>
      <c r="I143" s="3">
        <v>149</v>
      </c>
      <c r="J143" s="3">
        <v>110.3</v>
      </c>
      <c r="K143" s="3">
        <v>133.80000000000001</v>
      </c>
      <c r="L143" s="3">
        <v>144</v>
      </c>
      <c r="M143" s="3">
        <v>144.80000000000001</v>
      </c>
      <c r="N143" s="3">
        <v>143.80000000000001</v>
      </c>
      <c r="O143" s="3">
        <v>170.3</v>
      </c>
      <c r="P143" s="3">
        <v>140.80000000000001</v>
      </c>
      <c r="Q143" s="3">
        <v>160.30000000000001</v>
      </c>
      <c r="R143" s="3">
        <v>149</v>
      </c>
      <c r="S143" s="3">
        <v>154.19999999999999</v>
      </c>
      <c r="T143" s="3">
        <v>143.9</v>
      </c>
      <c r="U143" s="3">
        <v>170.2</v>
      </c>
      <c r="V143" s="3">
        <v>126.5</v>
      </c>
      <c r="W143" s="3">
        <v>187.4</v>
      </c>
      <c r="X143" s="3">
        <v>149</v>
      </c>
      <c r="Y143" s="3">
        <v>154.4</v>
      </c>
      <c r="Z143" s="3">
        <v>158.80000000000001</v>
      </c>
      <c r="AA143" s="3">
        <v>167.6</v>
      </c>
      <c r="AB143" s="3">
        <v>151.30000000000001</v>
      </c>
      <c r="AC143" s="3">
        <v>117.1</v>
      </c>
      <c r="AD143" s="3">
        <v>103.6</v>
      </c>
      <c r="AE143" s="3">
        <v>151.9</v>
      </c>
      <c r="AF143" s="3">
        <v>129.80000000000001</v>
      </c>
      <c r="AG143" s="3">
        <v>125.9</v>
      </c>
      <c r="AH143" s="3">
        <v>141.1</v>
      </c>
      <c r="AI143" s="3">
        <v>150.6</v>
      </c>
      <c r="AJ143" s="3">
        <v>189.4</v>
      </c>
      <c r="AK143" s="3">
        <v>211.9</v>
      </c>
      <c r="AL143" s="3">
        <v>186.9</v>
      </c>
      <c r="AM143" s="3">
        <v>193.5</v>
      </c>
      <c r="AN143" s="3">
        <v>200</v>
      </c>
      <c r="AO143" s="3">
        <v>157.5</v>
      </c>
      <c r="AP143" s="3">
        <v>165</v>
      </c>
      <c r="AQ143" s="3">
        <v>187.5</v>
      </c>
      <c r="AR143" s="3">
        <v>152.30000000000001</v>
      </c>
      <c r="AS143" s="3">
        <v>228.1</v>
      </c>
      <c r="AT143" s="3">
        <v>194</v>
      </c>
      <c r="AU143" s="3">
        <v>225.5</v>
      </c>
      <c r="AV143" s="3">
        <v>230.5</v>
      </c>
      <c r="AW143" s="3">
        <v>123.1</v>
      </c>
      <c r="AX143" s="3">
        <v>167.4</v>
      </c>
      <c r="AY143" s="3">
        <v>273.3</v>
      </c>
      <c r="AZ143" s="3">
        <v>195.8</v>
      </c>
      <c r="BA143" s="3">
        <v>155.69999999999999</v>
      </c>
      <c r="BB143" s="3">
        <v>191.1</v>
      </c>
      <c r="BC143" s="3">
        <v>133.1</v>
      </c>
      <c r="BD143" s="3">
        <v>132.5</v>
      </c>
      <c r="BE143" s="3">
        <v>118.8</v>
      </c>
      <c r="BF143" s="3">
        <v>101.2</v>
      </c>
      <c r="BG143" s="3">
        <v>143.9</v>
      </c>
      <c r="BH143" s="3">
        <v>144</v>
      </c>
      <c r="BI143" s="3">
        <v>98.1</v>
      </c>
      <c r="BJ143" s="3">
        <v>143.9</v>
      </c>
      <c r="BK143" s="3">
        <v>160.9</v>
      </c>
      <c r="BL143" s="3">
        <v>149.4</v>
      </c>
      <c r="BM143" s="3">
        <v>153.9</v>
      </c>
      <c r="BN143" s="3">
        <v>101.5</v>
      </c>
      <c r="BO143" s="3">
        <v>192.3</v>
      </c>
      <c r="BP143" s="3">
        <v>178</v>
      </c>
      <c r="BQ143" s="3">
        <v>119.6</v>
      </c>
      <c r="BR143" s="3">
        <v>106.1</v>
      </c>
      <c r="BS143" s="3">
        <v>119.5</v>
      </c>
      <c r="BT143" s="3">
        <v>159.30000000000001</v>
      </c>
      <c r="BU143" s="3">
        <v>120.1</v>
      </c>
      <c r="BV143" s="3">
        <v>122.7</v>
      </c>
      <c r="BW143" s="3">
        <v>191.1</v>
      </c>
      <c r="BX143" s="3">
        <v>242.3</v>
      </c>
      <c r="BY143" s="3">
        <v>137.9</v>
      </c>
      <c r="BZ143" s="3">
        <v>197</v>
      </c>
      <c r="CA143" s="3">
        <v>192.2</v>
      </c>
      <c r="CB143" s="3">
        <v>211.3</v>
      </c>
      <c r="CC143" s="3">
        <v>195.7</v>
      </c>
      <c r="CD143" s="3">
        <v>190</v>
      </c>
      <c r="CE143" s="3">
        <v>151.30000000000001</v>
      </c>
      <c r="CF143" s="3">
        <v>53.1</v>
      </c>
      <c r="CG143" s="3">
        <v>120.7</v>
      </c>
      <c r="CH143" s="3">
        <v>118.6</v>
      </c>
      <c r="CI143" s="3">
        <v>191.1</v>
      </c>
      <c r="CJ143" s="3">
        <v>141.9</v>
      </c>
      <c r="CK143" s="3">
        <v>130.69999999999999</v>
      </c>
      <c r="CL143" s="3">
        <v>238.3</v>
      </c>
      <c r="CM143" s="3">
        <v>124.2</v>
      </c>
      <c r="CN143" s="3">
        <v>116.2</v>
      </c>
    </row>
    <row r="144" spans="1:92" x14ac:dyDescent="0.25">
      <c r="A144" s="4">
        <v>36100</v>
      </c>
      <c r="B144" s="3">
        <v>136.19999999999999</v>
      </c>
      <c r="C144" s="3">
        <v>141.6</v>
      </c>
      <c r="D144" s="3">
        <v>157</v>
      </c>
      <c r="E144" s="3">
        <v>128</v>
      </c>
      <c r="F144" s="3">
        <v>140.69999999999999</v>
      </c>
      <c r="G144" s="3">
        <v>138.80000000000001</v>
      </c>
      <c r="H144" s="3">
        <v>126.4</v>
      </c>
      <c r="I144" s="3">
        <v>146.6</v>
      </c>
      <c r="J144" s="3">
        <v>108.5</v>
      </c>
      <c r="K144" s="3">
        <v>133.1</v>
      </c>
      <c r="L144" s="3">
        <v>144.19999999999999</v>
      </c>
      <c r="M144" s="3">
        <v>145.30000000000001</v>
      </c>
      <c r="N144" s="3">
        <v>143.6</v>
      </c>
      <c r="O144" s="3">
        <v>165.2</v>
      </c>
      <c r="P144" s="3">
        <v>140.80000000000001</v>
      </c>
      <c r="Q144" s="3">
        <v>160.69999999999999</v>
      </c>
      <c r="R144" s="3">
        <v>148.69999999999999</v>
      </c>
      <c r="S144" s="3">
        <v>152.69999999999999</v>
      </c>
      <c r="T144" s="3">
        <v>142.6</v>
      </c>
      <c r="U144" s="3">
        <v>169.5</v>
      </c>
      <c r="V144" s="3">
        <v>126.9</v>
      </c>
      <c r="W144" s="3">
        <v>187.1</v>
      </c>
      <c r="X144" s="3">
        <v>148.6</v>
      </c>
      <c r="Y144" s="3">
        <v>154.19999999999999</v>
      </c>
      <c r="Z144" s="3">
        <v>163.9</v>
      </c>
      <c r="AA144" s="3">
        <v>176.8</v>
      </c>
      <c r="AB144" s="3">
        <v>153.69999999999999</v>
      </c>
      <c r="AC144" s="3">
        <v>112.3</v>
      </c>
      <c r="AD144" s="3">
        <v>98.8</v>
      </c>
      <c r="AE144" s="3">
        <v>147.19999999999999</v>
      </c>
      <c r="AF144" s="3">
        <v>134.4</v>
      </c>
      <c r="AG144" s="3">
        <v>131.30000000000001</v>
      </c>
      <c r="AH144" s="3">
        <v>140.9</v>
      </c>
      <c r="AI144" s="3">
        <v>150.9</v>
      </c>
      <c r="AJ144" s="3">
        <v>190.1</v>
      </c>
      <c r="AK144" s="3">
        <v>212.1</v>
      </c>
      <c r="AL144" s="3">
        <v>187.4</v>
      </c>
      <c r="AM144" s="3">
        <v>193.4</v>
      </c>
      <c r="AN144" s="3">
        <v>200.4</v>
      </c>
      <c r="AO144" s="3">
        <v>156.1</v>
      </c>
      <c r="AP144" s="3">
        <v>163.80000000000001</v>
      </c>
      <c r="AQ144" s="3">
        <v>188.1</v>
      </c>
      <c r="AR144" s="3">
        <v>150.30000000000001</v>
      </c>
      <c r="AS144" s="3">
        <v>228.1</v>
      </c>
      <c r="AT144" s="3">
        <v>194</v>
      </c>
      <c r="AU144" s="3">
        <v>225.8</v>
      </c>
      <c r="AV144" s="3">
        <v>224.7</v>
      </c>
      <c r="AW144" s="3">
        <v>124.2</v>
      </c>
      <c r="AX144" s="3">
        <v>167.6</v>
      </c>
      <c r="AY144" s="3">
        <v>273.3</v>
      </c>
      <c r="AZ144" s="3">
        <v>196.5</v>
      </c>
      <c r="BA144" s="3">
        <v>156</v>
      </c>
      <c r="BB144" s="3">
        <v>191.4</v>
      </c>
      <c r="BC144" s="3">
        <v>133.19999999999999</v>
      </c>
      <c r="BD144" s="3">
        <v>132.5</v>
      </c>
      <c r="BE144" s="3">
        <v>118.8</v>
      </c>
      <c r="BF144" s="3">
        <v>98.7</v>
      </c>
      <c r="BG144" s="3">
        <v>147.9</v>
      </c>
      <c r="BH144" s="3">
        <v>146.4</v>
      </c>
      <c r="BI144" s="3">
        <v>98.1</v>
      </c>
      <c r="BJ144" s="3">
        <v>146</v>
      </c>
      <c r="BK144" s="3">
        <v>160.80000000000001</v>
      </c>
      <c r="BL144" s="3">
        <v>149.69999999999999</v>
      </c>
      <c r="BM144" s="3">
        <v>153.9</v>
      </c>
      <c r="BN144" s="3">
        <v>101.5</v>
      </c>
      <c r="BO144" s="3">
        <v>192.8</v>
      </c>
      <c r="BP144" s="3">
        <v>178</v>
      </c>
      <c r="BQ144" s="3">
        <v>121.4</v>
      </c>
      <c r="BR144" s="3">
        <v>106.7</v>
      </c>
      <c r="BS144" s="3">
        <v>120.8</v>
      </c>
      <c r="BT144" s="3">
        <v>159.6</v>
      </c>
      <c r="BU144" s="3">
        <v>120.2</v>
      </c>
      <c r="BV144" s="3">
        <v>123.8</v>
      </c>
      <c r="BW144" s="3">
        <v>190.7</v>
      </c>
      <c r="BX144" s="3">
        <v>243.1</v>
      </c>
      <c r="BY144" s="3">
        <v>136.6</v>
      </c>
      <c r="BZ144" s="3">
        <v>197</v>
      </c>
      <c r="CA144" s="3">
        <v>190.7</v>
      </c>
      <c r="CB144" s="3">
        <v>211.3</v>
      </c>
      <c r="CC144" s="3">
        <v>195.7</v>
      </c>
      <c r="CD144" s="3">
        <v>190.5</v>
      </c>
      <c r="CE144" s="3">
        <v>151.6</v>
      </c>
      <c r="CF144" s="3">
        <v>52.8</v>
      </c>
      <c r="CG144" s="3">
        <v>121</v>
      </c>
      <c r="CH144" s="3">
        <v>118.8</v>
      </c>
      <c r="CI144" s="3">
        <v>191.6</v>
      </c>
      <c r="CJ144" s="3">
        <v>141.69999999999999</v>
      </c>
      <c r="CK144" s="3">
        <v>130.69999999999999</v>
      </c>
      <c r="CL144" s="3">
        <v>238.2</v>
      </c>
      <c r="CM144" s="3">
        <v>124.4</v>
      </c>
      <c r="CN144" s="3">
        <v>116.3</v>
      </c>
    </row>
    <row r="145" spans="1:92" x14ac:dyDescent="0.25">
      <c r="A145" s="4">
        <v>36130</v>
      </c>
      <c r="B145" s="3">
        <v>136.30000000000001</v>
      </c>
      <c r="C145" s="3">
        <v>143.69999999999999</v>
      </c>
      <c r="D145" s="3">
        <v>157.19999999999999</v>
      </c>
      <c r="E145" s="3">
        <v>129.5</v>
      </c>
      <c r="F145" s="3">
        <v>136.80000000000001</v>
      </c>
      <c r="G145" s="3">
        <v>134.80000000000001</v>
      </c>
      <c r="H145" s="3">
        <v>127.7</v>
      </c>
      <c r="I145" s="3">
        <v>147.9</v>
      </c>
      <c r="J145" s="3">
        <v>107.7</v>
      </c>
      <c r="K145" s="3">
        <v>134.1</v>
      </c>
      <c r="L145" s="3">
        <v>145.1</v>
      </c>
      <c r="M145" s="3">
        <v>146.19999999999999</v>
      </c>
      <c r="N145" s="3">
        <v>144.6</v>
      </c>
      <c r="O145" s="3">
        <v>165.9</v>
      </c>
      <c r="P145" s="3">
        <v>141.19999999999999</v>
      </c>
      <c r="Q145" s="3">
        <v>158.6</v>
      </c>
      <c r="R145" s="3">
        <v>153.1</v>
      </c>
      <c r="S145" s="3">
        <v>152.80000000000001</v>
      </c>
      <c r="T145" s="3">
        <v>139.19999999999999</v>
      </c>
      <c r="U145" s="3">
        <v>170</v>
      </c>
      <c r="V145" s="3">
        <v>123.1</v>
      </c>
      <c r="W145" s="3">
        <v>185.6</v>
      </c>
      <c r="X145" s="3">
        <v>143.69999999999999</v>
      </c>
      <c r="Y145" s="3">
        <v>154</v>
      </c>
      <c r="Z145" s="3">
        <v>171.7</v>
      </c>
      <c r="AA145" s="3">
        <v>197</v>
      </c>
      <c r="AB145" s="3">
        <v>153.80000000000001</v>
      </c>
      <c r="AC145" s="3">
        <v>122.3</v>
      </c>
      <c r="AD145" s="3">
        <v>111.8</v>
      </c>
      <c r="AE145" s="3">
        <v>148.69999999999999</v>
      </c>
      <c r="AF145" s="3">
        <v>135.9</v>
      </c>
      <c r="AG145" s="3">
        <v>132.9</v>
      </c>
      <c r="AH145" s="3">
        <v>141.30000000000001</v>
      </c>
      <c r="AI145" s="3">
        <v>150.80000000000001</v>
      </c>
      <c r="AJ145" s="3">
        <v>190.7</v>
      </c>
      <c r="AK145" s="3">
        <v>212.3</v>
      </c>
      <c r="AL145" s="3">
        <v>187.9</v>
      </c>
      <c r="AM145" s="3">
        <v>193.8</v>
      </c>
      <c r="AN145" s="3">
        <v>201</v>
      </c>
      <c r="AO145" s="3">
        <v>155.80000000000001</v>
      </c>
      <c r="AP145" s="3">
        <v>163.19999999999999</v>
      </c>
      <c r="AQ145" s="3">
        <v>188.5</v>
      </c>
      <c r="AR145" s="3">
        <v>149.4</v>
      </c>
      <c r="AS145" s="3">
        <v>235.3</v>
      </c>
      <c r="AT145" s="3">
        <v>196.3</v>
      </c>
      <c r="AU145" s="3">
        <v>226.2</v>
      </c>
      <c r="AV145" s="3">
        <v>213.1</v>
      </c>
      <c r="AW145" s="3">
        <v>124.3</v>
      </c>
      <c r="AX145" s="3">
        <v>167.6</v>
      </c>
      <c r="AY145" s="3">
        <v>273.3</v>
      </c>
      <c r="AZ145" s="3">
        <v>197.2</v>
      </c>
      <c r="BA145" s="3">
        <v>155.6</v>
      </c>
      <c r="BB145" s="3">
        <v>191.4</v>
      </c>
      <c r="BC145" s="3">
        <v>133.4</v>
      </c>
      <c r="BD145" s="3">
        <v>132.5</v>
      </c>
      <c r="BE145" s="3">
        <v>118.8</v>
      </c>
      <c r="BF145" s="3">
        <v>93.7</v>
      </c>
      <c r="BG145" s="3">
        <v>157.69999999999999</v>
      </c>
      <c r="BH145" s="3">
        <v>150.80000000000001</v>
      </c>
      <c r="BI145" s="3">
        <v>98</v>
      </c>
      <c r="BJ145" s="3">
        <v>145.69999999999999</v>
      </c>
      <c r="BK145" s="3">
        <v>161.30000000000001</v>
      </c>
      <c r="BL145" s="3">
        <v>149.80000000000001</v>
      </c>
      <c r="BM145" s="3">
        <v>153.9</v>
      </c>
      <c r="BN145" s="3">
        <v>101.5</v>
      </c>
      <c r="BO145" s="3">
        <v>193.5</v>
      </c>
      <c r="BP145" s="3">
        <v>177.9</v>
      </c>
      <c r="BQ145" s="3">
        <v>121.6</v>
      </c>
      <c r="BR145" s="3">
        <v>105.6</v>
      </c>
      <c r="BS145" s="3">
        <v>119.9</v>
      </c>
      <c r="BT145" s="3">
        <v>159.30000000000001</v>
      </c>
      <c r="BU145" s="3">
        <v>118.9</v>
      </c>
      <c r="BV145" s="3">
        <v>123.8</v>
      </c>
      <c r="BW145" s="3">
        <v>191.4</v>
      </c>
      <c r="BX145" s="3">
        <v>243.8</v>
      </c>
      <c r="BY145" s="3">
        <v>134.6</v>
      </c>
      <c r="BZ145" s="3">
        <v>197.4</v>
      </c>
      <c r="CA145" s="3">
        <v>188</v>
      </c>
      <c r="CB145" s="3">
        <v>211.3</v>
      </c>
      <c r="CC145" s="3">
        <v>195.7</v>
      </c>
      <c r="CD145" s="3">
        <v>190.7</v>
      </c>
      <c r="CE145" s="3">
        <v>151.9</v>
      </c>
      <c r="CF145" s="3">
        <v>52.4</v>
      </c>
      <c r="CG145" s="3">
        <v>120.5</v>
      </c>
      <c r="CH145" s="3">
        <v>118.7</v>
      </c>
      <c r="CI145" s="3">
        <v>191.1</v>
      </c>
      <c r="CJ145" s="3">
        <v>144.30000000000001</v>
      </c>
      <c r="CK145" s="3">
        <v>130.69999999999999</v>
      </c>
      <c r="CL145" s="3">
        <v>237.4</v>
      </c>
      <c r="CM145" s="3">
        <v>124.7</v>
      </c>
      <c r="CN145" s="3">
        <v>116.5</v>
      </c>
    </row>
    <row r="146" spans="1:92" x14ac:dyDescent="0.25">
      <c r="A146" s="4">
        <v>36161</v>
      </c>
      <c r="B146" s="3">
        <v>134.9</v>
      </c>
      <c r="C146" s="3">
        <v>141.30000000000001</v>
      </c>
      <c r="D146" s="3">
        <v>156.80000000000001</v>
      </c>
      <c r="E146" s="3">
        <v>132.6</v>
      </c>
      <c r="F146" s="3">
        <v>139.30000000000001</v>
      </c>
      <c r="G146" s="3">
        <v>137.4</v>
      </c>
      <c r="H146" s="3">
        <v>126.9</v>
      </c>
      <c r="I146" s="3">
        <v>147.6</v>
      </c>
      <c r="J146" s="3">
        <v>112.8</v>
      </c>
      <c r="K146" s="3">
        <v>133.30000000000001</v>
      </c>
      <c r="L146" s="3">
        <v>143.6</v>
      </c>
      <c r="M146" s="3">
        <v>142.9</v>
      </c>
      <c r="N146" s="3">
        <v>144.69999999999999</v>
      </c>
      <c r="O146" s="3">
        <v>170.3</v>
      </c>
      <c r="P146" s="3">
        <v>141</v>
      </c>
      <c r="Q146" s="3">
        <v>160.30000000000001</v>
      </c>
      <c r="R146" s="3">
        <v>151.69999999999999</v>
      </c>
      <c r="S146" s="3">
        <v>152.9</v>
      </c>
      <c r="T146" s="3">
        <v>140.9</v>
      </c>
      <c r="U146" s="3">
        <v>169.7</v>
      </c>
      <c r="V146" s="3">
        <v>127.5</v>
      </c>
      <c r="W146" s="3">
        <v>186.7</v>
      </c>
      <c r="X146" s="3">
        <v>144.1</v>
      </c>
      <c r="Y146" s="3">
        <v>153.9</v>
      </c>
      <c r="Z146" s="3">
        <v>170.3</v>
      </c>
      <c r="AA146" s="3">
        <v>176.9</v>
      </c>
      <c r="AB146" s="3">
        <v>164</v>
      </c>
      <c r="AC146" s="3">
        <v>126.4</v>
      </c>
      <c r="AD146" s="3">
        <v>115.9</v>
      </c>
      <c r="AE146" s="3">
        <v>152.80000000000001</v>
      </c>
      <c r="AF146" s="3">
        <v>133.1</v>
      </c>
      <c r="AG146" s="3">
        <v>129.69999999999999</v>
      </c>
      <c r="AH146" s="3">
        <v>141.5</v>
      </c>
      <c r="AI146" s="3">
        <v>151.69999999999999</v>
      </c>
      <c r="AJ146" s="3">
        <v>190.8</v>
      </c>
      <c r="AK146" s="3">
        <v>212.9</v>
      </c>
      <c r="AL146" s="3">
        <v>188.7</v>
      </c>
      <c r="AM146" s="3">
        <v>195.5</v>
      </c>
      <c r="AN146" s="3">
        <v>202.4</v>
      </c>
      <c r="AO146" s="3">
        <v>158.30000000000001</v>
      </c>
      <c r="AP146" s="3">
        <v>165.5</v>
      </c>
      <c r="AQ146" s="3">
        <v>189.4</v>
      </c>
      <c r="AR146" s="3">
        <v>152.19999999999999</v>
      </c>
      <c r="AS146" s="3">
        <v>240.7</v>
      </c>
      <c r="AT146" s="3">
        <v>198.6</v>
      </c>
      <c r="AU146" s="3">
        <v>226.1</v>
      </c>
      <c r="AV146" s="3">
        <v>201.4</v>
      </c>
      <c r="AW146" s="3">
        <v>124.3</v>
      </c>
      <c r="AX146" s="3">
        <v>167.6</v>
      </c>
      <c r="AY146" s="3">
        <v>273.3</v>
      </c>
      <c r="AZ146" s="3">
        <v>199.6</v>
      </c>
      <c r="BA146" s="3">
        <v>155.5</v>
      </c>
      <c r="BB146" s="3">
        <v>191.3</v>
      </c>
      <c r="BC146" s="3">
        <v>133.19999999999999</v>
      </c>
      <c r="BD146" s="3">
        <v>132.5</v>
      </c>
      <c r="BE146" s="3">
        <v>118.8</v>
      </c>
      <c r="BF146" s="3">
        <v>94.7</v>
      </c>
      <c r="BG146" s="3">
        <v>140.6</v>
      </c>
      <c r="BH146" s="3">
        <v>142</v>
      </c>
      <c r="BI146" s="3">
        <v>96.5</v>
      </c>
      <c r="BJ146" s="3">
        <v>140.4</v>
      </c>
      <c r="BK146" s="3">
        <v>161.4</v>
      </c>
      <c r="BL146" s="3">
        <v>150.1</v>
      </c>
      <c r="BM146" s="3">
        <v>153.9</v>
      </c>
      <c r="BN146" s="3">
        <v>101.6</v>
      </c>
      <c r="BO146" s="3">
        <v>195.1</v>
      </c>
      <c r="BP146" s="3">
        <v>177.7</v>
      </c>
      <c r="BQ146" s="3">
        <v>112.5</v>
      </c>
      <c r="BR146" s="3">
        <v>94.1</v>
      </c>
      <c r="BS146" s="3">
        <v>112.8</v>
      </c>
      <c r="BT146" s="3">
        <v>155.5</v>
      </c>
      <c r="BU146" s="3">
        <v>114.3</v>
      </c>
      <c r="BV146" s="3">
        <v>122.3</v>
      </c>
      <c r="BW146" s="3">
        <v>192</v>
      </c>
      <c r="BX146" s="3">
        <v>245.1</v>
      </c>
      <c r="BY146" s="3">
        <v>137.1</v>
      </c>
      <c r="BZ146" s="3">
        <v>198.4</v>
      </c>
      <c r="CA146" s="3">
        <v>186.3</v>
      </c>
      <c r="CB146" s="3">
        <v>217.5</v>
      </c>
      <c r="CC146" s="3">
        <v>200.9</v>
      </c>
      <c r="CD146" s="3">
        <v>192</v>
      </c>
      <c r="CE146" s="3">
        <v>152.30000000000001</v>
      </c>
      <c r="CF146" s="3">
        <v>50.7</v>
      </c>
      <c r="CG146" s="3">
        <v>119.6</v>
      </c>
      <c r="CH146" s="3">
        <v>117.3</v>
      </c>
      <c r="CI146" s="3">
        <v>192.5</v>
      </c>
      <c r="CJ146" s="3">
        <v>147.30000000000001</v>
      </c>
      <c r="CK146" s="3">
        <v>129.1</v>
      </c>
      <c r="CL146" s="3">
        <v>239.2</v>
      </c>
      <c r="CM146" s="3">
        <v>125</v>
      </c>
      <c r="CN146" s="3">
        <v>116.5</v>
      </c>
    </row>
    <row r="147" spans="1:92" x14ac:dyDescent="0.25">
      <c r="A147" s="4">
        <v>36192</v>
      </c>
      <c r="B147" s="3">
        <v>135.1</v>
      </c>
      <c r="C147" s="3">
        <v>143.30000000000001</v>
      </c>
      <c r="D147" s="3">
        <v>157.4</v>
      </c>
      <c r="E147" s="3">
        <v>132.1</v>
      </c>
      <c r="F147" s="3">
        <v>139.19999999999999</v>
      </c>
      <c r="G147" s="3">
        <v>140.30000000000001</v>
      </c>
      <c r="H147" s="3">
        <v>125.1</v>
      </c>
      <c r="I147" s="3">
        <v>145.1</v>
      </c>
      <c r="J147" s="3">
        <v>110.9</v>
      </c>
      <c r="K147" s="3">
        <v>133.6</v>
      </c>
      <c r="L147" s="3">
        <v>148</v>
      </c>
      <c r="M147" s="3">
        <v>149</v>
      </c>
      <c r="N147" s="3">
        <v>147.5</v>
      </c>
      <c r="O147" s="3">
        <v>169.7</v>
      </c>
      <c r="P147" s="3">
        <v>135.5</v>
      </c>
      <c r="Q147" s="3">
        <v>159.5</v>
      </c>
      <c r="R147" s="3">
        <v>151.9</v>
      </c>
      <c r="S147" s="3">
        <v>153.1</v>
      </c>
      <c r="T147" s="3">
        <v>139.6</v>
      </c>
      <c r="U147" s="3">
        <v>169.9</v>
      </c>
      <c r="V147" s="3">
        <v>127</v>
      </c>
      <c r="W147" s="3">
        <v>190.1</v>
      </c>
      <c r="X147" s="3">
        <v>144.1</v>
      </c>
      <c r="Y147" s="3">
        <v>154.30000000000001</v>
      </c>
      <c r="Z147" s="3">
        <v>169.4</v>
      </c>
      <c r="AA147" s="3">
        <v>170.9</v>
      </c>
      <c r="AB147" s="3">
        <v>165.9</v>
      </c>
      <c r="AC147" s="3">
        <v>125.8</v>
      </c>
      <c r="AD147" s="3">
        <v>114.6</v>
      </c>
      <c r="AE147" s="3">
        <v>155.19999999999999</v>
      </c>
      <c r="AF147" s="3">
        <v>135.6</v>
      </c>
      <c r="AG147" s="3">
        <v>132.4</v>
      </c>
      <c r="AH147" s="3">
        <v>141.69999999999999</v>
      </c>
      <c r="AI147" s="3">
        <v>152</v>
      </c>
      <c r="AJ147" s="3">
        <v>191.4</v>
      </c>
      <c r="AK147" s="3">
        <v>213.3</v>
      </c>
      <c r="AL147" s="3">
        <v>189.2</v>
      </c>
      <c r="AM147" s="3">
        <v>196.1</v>
      </c>
      <c r="AN147" s="3">
        <v>202.9</v>
      </c>
      <c r="AO147" s="3">
        <v>159.1</v>
      </c>
      <c r="AP147" s="3">
        <v>165.8</v>
      </c>
      <c r="AQ147" s="3">
        <v>189.7</v>
      </c>
      <c r="AR147" s="3">
        <v>152.5</v>
      </c>
      <c r="AS147" s="3">
        <v>240.8</v>
      </c>
      <c r="AT147" s="3">
        <v>198.6</v>
      </c>
      <c r="AU147" s="3">
        <v>225.9</v>
      </c>
      <c r="AV147" s="3">
        <v>196</v>
      </c>
      <c r="AW147" s="3">
        <v>124.9</v>
      </c>
      <c r="AX147" s="3">
        <v>167.6</v>
      </c>
      <c r="AY147" s="3">
        <v>273.3</v>
      </c>
      <c r="AZ147" s="3">
        <v>199.8</v>
      </c>
      <c r="BA147" s="3">
        <v>156.1</v>
      </c>
      <c r="BB147" s="3">
        <v>191.5</v>
      </c>
      <c r="BC147" s="3">
        <v>133.4</v>
      </c>
      <c r="BD147" s="3">
        <v>132.4</v>
      </c>
      <c r="BE147" s="3">
        <v>118.8</v>
      </c>
      <c r="BF147" s="3">
        <v>94.1</v>
      </c>
      <c r="BG147" s="3">
        <v>143.80000000000001</v>
      </c>
      <c r="BH147" s="3">
        <v>145.1</v>
      </c>
      <c r="BI147" s="3">
        <v>96</v>
      </c>
      <c r="BJ147" s="3">
        <v>143.9</v>
      </c>
      <c r="BK147" s="3">
        <v>161.9</v>
      </c>
      <c r="BL147" s="3">
        <v>150.30000000000001</v>
      </c>
      <c r="BM147" s="3">
        <v>153.9</v>
      </c>
      <c r="BN147" s="3">
        <v>101.6</v>
      </c>
      <c r="BO147" s="3">
        <v>195.4</v>
      </c>
      <c r="BP147" s="3">
        <v>178</v>
      </c>
      <c r="BQ147" s="3">
        <v>115</v>
      </c>
      <c r="BR147" s="3">
        <v>98.7</v>
      </c>
      <c r="BS147" s="3">
        <v>113.2</v>
      </c>
      <c r="BT147" s="3">
        <v>157.30000000000001</v>
      </c>
      <c r="BU147" s="3">
        <v>114.9</v>
      </c>
      <c r="BV147" s="3">
        <v>123.2</v>
      </c>
      <c r="BW147" s="3">
        <v>193.2</v>
      </c>
      <c r="BX147" s="3">
        <v>245.4</v>
      </c>
      <c r="BY147" s="3">
        <v>137</v>
      </c>
      <c r="BZ147" s="3">
        <v>198.7</v>
      </c>
      <c r="CA147" s="3">
        <v>185.5</v>
      </c>
      <c r="CB147" s="3">
        <v>217.5</v>
      </c>
      <c r="CC147" s="3">
        <v>201.7</v>
      </c>
      <c r="CD147" s="3">
        <v>192.4</v>
      </c>
      <c r="CE147" s="3">
        <v>152.4</v>
      </c>
      <c r="CF147" s="3">
        <v>49.7</v>
      </c>
      <c r="CG147" s="3">
        <v>119.8</v>
      </c>
      <c r="CH147" s="3">
        <v>117.4</v>
      </c>
      <c r="CI147" s="3">
        <v>193.3</v>
      </c>
      <c r="CJ147" s="3">
        <v>145.30000000000001</v>
      </c>
      <c r="CK147" s="3">
        <v>129.19999999999999</v>
      </c>
      <c r="CL147" s="3">
        <v>239.6</v>
      </c>
      <c r="CM147" s="3">
        <v>125.2</v>
      </c>
      <c r="CN147" s="3">
        <v>116.4</v>
      </c>
    </row>
    <row r="148" spans="1:92" x14ac:dyDescent="0.25">
      <c r="A148" s="4">
        <v>36220</v>
      </c>
      <c r="B148" s="3">
        <v>133.5</v>
      </c>
      <c r="C148" s="3">
        <v>141.80000000000001</v>
      </c>
      <c r="D148" s="3">
        <v>157.4</v>
      </c>
      <c r="E148" s="3">
        <v>132.9</v>
      </c>
      <c r="F148" s="3">
        <v>140.6</v>
      </c>
      <c r="G148" s="3">
        <v>142.19999999999999</v>
      </c>
      <c r="H148" s="3">
        <v>123.1</v>
      </c>
      <c r="I148" s="3">
        <v>149.6</v>
      </c>
      <c r="J148" s="3">
        <v>108.4</v>
      </c>
      <c r="K148" s="3">
        <v>134</v>
      </c>
      <c r="L148" s="3">
        <v>148.19999999999999</v>
      </c>
      <c r="M148" s="3">
        <v>150.1</v>
      </c>
      <c r="N148" s="3">
        <v>146.69999999999999</v>
      </c>
      <c r="O148" s="3">
        <v>168.7</v>
      </c>
      <c r="P148" s="3">
        <v>138.5</v>
      </c>
      <c r="Q148" s="3">
        <v>160.9</v>
      </c>
      <c r="R148" s="3">
        <v>149.80000000000001</v>
      </c>
      <c r="S148" s="3">
        <v>153.19999999999999</v>
      </c>
      <c r="T148" s="3">
        <v>140.1</v>
      </c>
      <c r="U148" s="3">
        <v>169.4</v>
      </c>
      <c r="V148" s="3">
        <v>125.1</v>
      </c>
      <c r="W148" s="3">
        <v>190.3</v>
      </c>
      <c r="X148" s="3">
        <v>143.19999999999999</v>
      </c>
      <c r="Y148" s="3">
        <v>155.1</v>
      </c>
      <c r="Z148" s="3">
        <v>168.7</v>
      </c>
      <c r="AA148" s="3">
        <v>170.6</v>
      </c>
      <c r="AB148" s="3">
        <v>165.1</v>
      </c>
      <c r="AC148" s="3">
        <v>118.1</v>
      </c>
      <c r="AD148" s="3">
        <v>106.2</v>
      </c>
      <c r="AE148" s="3">
        <v>151.80000000000001</v>
      </c>
      <c r="AF148" s="3">
        <v>134.19999999999999</v>
      </c>
      <c r="AG148" s="3">
        <v>130.69999999999999</v>
      </c>
      <c r="AH148" s="3">
        <v>142.80000000000001</v>
      </c>
      <c r="AI148" s="3">
        <v>151.1</v>
      </c>
      <c r="AJ148" s="3">
        <v>191.8</v>
      </c>
      <c r="AK148" s="3">
        <v>213.6</v>
      </c>
      <c r="AL148" s="3">
        <v>189.7</v>
      </c>
      <c r="AM148" s="3">
        <v>196.2</v>
      </c>
      <c r="AN148" s="3">
        <v>203</v>
      </c>
      <c r="AO148" s="3">
        <v>158.9</v>
      </c>
      <c r="AP148" s="3">
        <v>165.6</v>
      </c>
      <c r="AQ148" s="3">
        <v>190</v>
      </c>
      <c r="AR148" s="3">
        <v>152.1</v>
      </c>
      <c r="AS148" s="3">
        <v>249.8</v>
      </c>
      <c r="AT148" s="3">
        <v>200.5</v>
      </c>
      <c r="AU148" s="3">
        <v>226.1</v>
      </c>
      <c r="AV148" s="3">
        <v>184.2</v>
      </c>
      <c r="AW148" s="3">
        <v>124.8</v>
      </c>
      <c r="AX148" s="3">
        <v>167.6</v>
      </c>
      <c r="AY148" s="3">
        <v>273.3</v>
      </c>
      <c r="AZ148" s="3">
        <v>200.5</v>
      </c>
      <c r="BA148" s="3">
        <v>154.5</v>
      </c>
      <c r="BB148" s="3">
        <v>191.5</v>
      </c>
      <c r="BC148" s="3">
        <v>133.30000000000001</v>
      </c>
      <c r="BD148" s="3">
        <v>132.4</v>
      </c>
      <c r="BE148" s="3">
        <v>119.2</v>
      </c>
      <c r="BF148" s="3">
        <v>97.5</v>
      </c>
      <c r="BG148" s="3">
        <v>150.69999999999999</v>
      </c>
      <c r="BH148" s="3">
        <v>148.1</v>
      </c>
      <c r="BI148" s="3">
        <v>96.7</v>
      </c>
      <c r="BJ148" s="3">
        <v>145.4</v>
      </c>
      <c r="BK148" s="3">
        <v>162.19999999999999</v>
      </c>
      <c r="BL148" s="3">
        <v>150.19999999999999</v>
      </c>
      <c r="BM148" s="3">
        <v>153.9</v>
      </c>
      <c r="BN148" s="3">
        <v>101.6</v>
      </c>
      <c r="BO148" s="3">
        <v>195.9</v>
      </c>
      <c r="BP148" s="3">
        <v>178.6</v>
      </c>
      <c r="BQ148" s="3">
        <v>118.1</v>
      </c>
      <c r="BR148" s="3">
        <v>100</v>
      </c>
      <c r="BS148" s="3">
        <v>115</v>
      </c>
      <c r="BT148" s="3">
        <v>159.9</v>
      </c>
      <c r="BU148" s="3">
        <v>116.7</v>
      </c>
      <c r="BV148" s="3">
        <v>123.1</v>
      </c>
      <c r="BW148" s="3">
        <v>192</v>
      </c>
      <c r="BX148" s="3">
        <v>246</v>
      </c>
      <c r="BY148" s="3">
        <v>136.80000000000001</v>
      </c>
      <c r="BZ148" s="3">
        <v>199.6</v>
      </c>
      <c r="CA148" s="3">
        <v>196.1</v>
      </c>
      <c r="CB148" s="3">
        <v>220</v>
      </c>
      <c r="CC148" s="3">
        <v>201.3</v>
      </c>
      <c r="CD148" s="3">
        <v>192.4</v>
      </c>
      <c r="CE148" s="3">
        <v>152.6</v>
      </c>
      <c r="CF148" s="3">
        <v>49.4</v>
      </c>
      <c r="CG148" s="3">
        <v>117.5</v>
      </c>
      <c r="CH148" s="3">
        <v>117.5</v>
      </c>
      <c r="CI148" s="3">
        <v>193.5</v>
      </c>
      <c r="CJ148" s="3">
        <v>145.1</v>
      </c>
      <c r="CK148" s="3">
        <v>129.19999999999999</v>
      </c>
      <c r="CL148" s="3">
        <v>240.7</v>
      </c>
      <c r="CM148" s="3">
        <v>125.2</v>
      </c>
      <c r="CN148" s="3">
        <v>116.4</v>
      </c>
    </row>
    <row r="149" spans="1:92" x14ac:dyDescent="0.25">
      <c r="A149" s="4">
        <v>36251</v>
      </c>
      <c r="B149" s="3">
        <v>135.69999999999999</v>
      </c>
      <c r="C149" s="3">
        <v>140.80000000000001</v>
      </c>
      <c r="D149" s="3">
        <v>156.4</v>
      </c>
      <c r="E149" s="3">
        <v>132.30000000000001</v>
      </c>
      <c r="F149" s="3">
        <v>146.6</v>
      </c>
      <c r="G149" s="3">
        <v>154.5</v>
      </c>
      <c r="H149" s="3">
        <v>124.1</v>
      </c>
      <c r="I149" s="3">
        <v>150.30000000000001</v>
      </c>
      <c r="J149" s="3">
        <v>110.1</v>
      </c>
      <c r="K149" s="3">
        <v>132.4</v>
      </c>
      <c r="L149" s="3">
        <v>148.30000000000001</v>
      </c>
      <c r="M149" s="3">
        <v>151.1</v>
      </c>
      <c r="N149" s="3">
        <v>146</v>
      </c>
      <c r="O149" s="3">
        <v>165</v>
      </c>
      <c r="P149" s="3">
        <v>139.80000000000001</v>
      </c>
      <c r="Q149" s="3">
        <v>161.19999999999999</v>
      </c>
      <c r="R149" s="3">
        <v>150.19999999999999</v>
      </c>
      <c r="S149" s="3">
        <v>153.30000000000001</v>
      </c>
      <c r="T149" s="3">
        <v>138.6</v>
      </c>
      <c r="U149" s="3">
        <v>165.7</v>
      </c>
      <c r="V149" s="3">
        <v>124.9</v>
      </c>
      <c r="W149" s="3">
        <v>188.2</v>
      </c>
      <c r="X149" s="3">
        <v>144.30000000000001</v>
      </c>
      <c r="Y149" s="3">
        <v>153.80000000000001</v>
      </c>
      <c r="Z149" s="3">
        <v>169.3</v>
      </c>
      <c r="AA149" s="3">
        <v>170.7</v>
      </c>
      <c r="AB149" s="3">
        <v>166</v>
      </c>
      <c r="AC149" s="3">
        <v>106.6</v>
      </c>
      <c r="AD149" s="3">
        <v>91.8</v>
      </c>
      <c r="AE149" s="3">
        <v>155.80000000000001</v>
      </c>
      <c r="AF149" s="3">
        <v>135.69999999999999</v>
      </c>
      <c r="AG149" s="3">
        <v>132.5</v>
      </c>
      <c r="AH149" s="3">
        <v>142.4</v>
      </c>
      <c r="AI149" s="3">
        <v>152.4</v>
      </c>
      <c r="AJ149" s="3">
        <v>192.8</v>
      </c>
      <c r="AK149" s="3">
        <v>217.1</v>
      </c>
      <c r="AL149" s="3">
        <v>190.6</v>
      </c>
      <c r="AM149" s="3">
        <v>196.9</v>
      </c>
      <c r="AN149" s="3">
        <v>203.9</v>
      </c>
      <c r="AO149" s="3">
        <v>159.30000000000001</v>
      </c>
      <c r="AP149" s="3">
        <v>165.4</v>
      </c>
      <c r="AQ149" s="3">
        <v>190.8</v>
      </c>
      <c r="AR149" s="3">
        <v>151.4</v>
      </c>
      <c r="AS149" s="3">
        <v>253.4</v>
      </c>
      <c r="AT149" s="3">
        <v>202.7</v>
      </c>
      <c r="AU149" s="3">
        <v>230.2</v>
      </c>
      <c r="AV149" s="3">
        <v>184.9</v>
      </c>
      <c r="AW149" s="3">
        <v>125.9</v>
      </c>
      <c r="AX149" s="3">
        <v>178.4</v>
      </c>
      <c r="AY149" s="3">
        <v>284.7</v>
      </c>
      <c r="AZ149" s="3">
        <v>201.9</v>
      </c>
      <c r="BA149" s="3">
        <v>154</v>
      </c>
      <c r="BB149" s="3">
        <v>191.4</v>
      </c>
      <c r="BC149" s="3">
        <v>133.69999999999999</v>
      </c>
      <c r="BD149" s="3">
        <v>132.30000000000001</v>
      </c>
      <c r="BE149" s="3">
        <v>117.9</v>
      </c>
      <c r="BF149" s="3">
        <v>105</v>
      </c>
      <c r="BG149" s="3">
        <v>145.30000000000001</v>
      </c>
      <c r="BH149" s="3">
        <v>146.80000000000001</v>
      </c>
      <c r="BI149" s="3">
        <v>95.4</v>
      </c>
      <c r="BJ149" s="3">
        <v>143.80000000000001</v>
      </c>
      <c r="BK149" s="3">
        <v>162.5</v>
      </c>
      <c r="BL149" s="3">
        <v>151.30000000000001</v>
      </c>
      <c r="BM149" s="3">
        <v>153.9</v>
      </c>
      <c r="BN149" s="3">
        <v>101.3</v>
      </c>
      <c r="BO149" s="3">
        <v>196.8</v>
      </c>
      <c r="BP149" s="3">
        <v>179.4</v>
      </c>
      <c r="BQ149" s="3">
        <v>116.2</v>
      </c>
      <c r="BR149" s="3">
        <v>101.3</v>
      </c>
      <c r="BS149" s="3">
        <v>115.6</v>
      </c>
      <c r="BT149" s="3">
        <v>159.6</v>
      </c>
      <c r="BU149" s="3">
        <v>116.9</v>
      </c>
      <c r="BV149" s="3">
        <v>123.3</v>
      </c>
      <c r="BW149" s="3">
        <v>193.2</v>
      </c>
      <c r="BX149" s="3">
        <v>249.6</v>
      </c>
      <c r="BY149" s="3">
        <v>137.1</v>
      </c>
      <c r="BZ149" s="3">
        <v>200.7</v>
      </c>
      <c r="CA149" s="3">
        <v>206.4</v>
      </c>
      <c r="CB149" s="3">
        <v>224.9</v>
      </c>
      <c r="CC149" s="3">
        <v>202.4</v>
      </c>
      <c r="CD149" s="3">
        <v>193.7</v>
      </c>
      <c r="CE149" s="3">
        <v>153.6</v>
      </c>
      <c r="CF149" s="3">
        <v>49.1</v>
      </c>
      <c r="CG149" s="3">
        <v>115.8</v>
      </c>
      <c r="CH149" s="3">
        <v>117.3</v>
      </c>
      <c r="CI149" s="3">
        <v>194.5</v>
      </c>
      <c r="CJ149" s="3">
        <v>142.9</v>
      </c>
      <c r="CK149" s="3">
        <v>132.69999999999999</v>
      </c>
      <c r="CL149" s="3">
        <v>243.9</v>
      </c>
      <c r="CM149" s="3">
        <v>125.4</v>
      </c>
      <c r="CN149" s="3">
        <v>116.7</v>
      </c>
    </row>
    <row r="150" spans="1:92" x14ac:dyDescent="0.25">
      <c r="A150" s="4">
        <v>36281</v>
      </c>
      <c r="B150" s="3">
        <v>135.19999999999999</v>
      </c>
      <c r="C150" s="3">
        <v>140.30000000000001</v>
      </c>
      <c r="D150" s="3">
        <v>156.1</v>
      </c>
      <c r="E150" s="3">
        <v>132.69999999999999</v>
      </c>
      <c r="F150" s="3">
        <v>157</v>
      </c>
      <c r="G150" s="3">
        <v>174.5</v>
      </c>
      <c r="H150" s="3">
        <v>129.4</v>
      </c>
      <c r="I150" s="3">
        <v>149.4</v>
      </c>
      <c r="J150" s="3">
        <v>110.2</v>
      </c>
      <c r="K150" s="3">
        <v>132.4</v>
      </c>
      <c r="L150" s="3">
        <v>147.30000000000001</v>
      </c>
      <c r="M150" s="3">
        <v>149.4</v>
      </c>
      <c r="N150" s="3">
        <v>145.6</v>
      </c>
      <c r="O150" s="3">
        <v>164.6</v>
      </c>
      <c r="P150" s="3">
        <v>139.4</v>
      </c>
      <c r="Q150" s="3">
        <v>160.19999999999999</v>
      </c>
      <c r="R150" s="3">
        <v>149.69999999999999</v>
      </c>
      <c r="S150" s="3">
        <v>153.4</v>
      </c>
      <c r="T150" s="3">
        <v>140.1</v>
      </c>
      <c r="U150" s="3">
        <v>167.1</v>
      </c>
      <c r="V150" s="3">
        <v>122.4</v>
      </c>
      <c r="W150" s="3">
        <v>186.9</v>
      </c>
      <c r="X150" s="3">
        <v>143.5</v>
      </c>
      <c r="Y150" s="3">
        <v>153.1</v>
      </c>
      <c r="Z150" s="3">
        <v>165.4</v>
      </c>
      <c r="AA150" s="3">
        <v>158.80000000000001</v>
      </c>
      <c r="AB150" s="3">
        <v>166.5</v>
      </c>
      <c r="AC150" s="3">
        <v>117.7</v>
      </c>
      <c r="AD150" s="3">
        <v>104.8</v>
      </c>
      <c r="AE150" s="3">
        <v>156.1</v>
      </c>
      <c r="AF150" s="3">
        <v>136.4</v>
      </c>
      <c r="AG150" s="3">
        <v>133.4</v>
      </c>
      <c r="AH150" s="3">
        <v>141.9</v>
      </c>
      <c r="AI150" s="3">
        <v>151.5</v>
      </c>
      <c r="AJ150" s="3">
        <v>193.5</v>
      </c>
      <c r="AK150" s="3">
        <v>218.4</v>
      </c>
      <c r="AL150" s="3">
        <v>191.1</v>
      </c>
      <c r="AM150" s="3">
        <v>197.8</v>
      </c>
      <c r="AN150" s="3">
        <v>205.1</v>
      </c>
      <c r="AO150" s="3">
        <v>159.19999999999999</v>
      </c>
      <c r="AP150" s="3">
        <v>166.3</v>
      </c>
      <c r="AQ150" s="3">
        <v>191.7</v>
      </c>
      <c r="AR150" s="3">
        <v>152.19999999999999</v>
      </c>
      <c r="AS150" s="3">
        <v>253.5</v>
      </c>
      <c r="AT150" s="3">
        <v>202.7</v>
      </c>
      <c r="AU150" s="3">
        <v>230.3</v>
      </c>
      <c r="AV150" s="3">
        <v>183.6</v>
      </c>
      <c r="AW150" s="3">
        <v>127.1</v>
      </c>
      <c r="AX150" s="3">
        <v>178.4</v>
      </c>
      <c r="AY150" s="3">
        <v>284.7</v>
      </c>
      <c r="AZ150" s="3">
        <v>203</v>
      </c>
      <c r="BA150" s="3">
        <v>153.80000000000001</v>
      </c>
      <c r="BB150" s="3">
        <v>191.9</v>
      </c>
      <c r="BC150" s="3">
        <v>130.19999999999999</v>
      </c>
      <c r="BD150" s="3">
        <v>132.1</v>
      </c>
      <c r="BE150" s="3">
        <v>117.9</v>
      </c>
      <c r="BF150" s="3">
        <v>104.2</v>
      </c>
      <c r="BG150" s="3">
        <v>147.4</v>
      </c>
      <c r="BH150" s="3">
        <v>149</v>
      </c>
      <c r="BI150" s="3">
        <v>97.4</v>
      </c>
      <c r="BJ150" s="3">
        <v>145</v>
      </c>
      <c r="BK150" s="3">
        <v>162.80000000000001</v>
      </c>
      <c r="BL150" s="3">
        <v>151.6</v>
      </c>
      <c r="BM150" s="3">
        <v>152.9</v>
      </c>
      <c r="BN150" s="3">
        <v>100.5</v>
      </c>
      <c r="BO150" s="3">
        <v>197.6</v>
      </c>
      <c r="BP150" s="3">
        <v>179.9</v>
      </c>
      <c r="BQ150" s="3">
        <v>118.6</v>
      </c>
      <c r="BR150" s="3">
        <v>101.6</v>
      </c>
      <c r="BS150" s="3">
        <v>115.1</v>
      </c>
      <c r="BT150" s="3">
        <v>159.1</v>
      </c>
      <c r="BU150" s="3">
        <v>117.6</v>
      </c>
      <c r="BV150" s="3">
        <v>123.5</v>
      </c>
      <c r="BW150" s="3">
        <v>192.9</v>
      </c>
      <c r="BX150" s="3">
        <v>250.6</v>
      </c>
      <c r="BY150" s="3">
        <v>136.5</v>
      </c>
      <c r="BZ150" s="3">
        <v>201.5</v>
      </c>
      <c r="CA150" s="3">
        <v>206.3</v>
      </c>
      <c r="CB150" s="3">
        <v>224.9</v>
      </c>
      <c r="CC150" s="3">
        <v>202.4</v>
      </c>
      <c r="CD150" s="3">
        <v>194.7</v>
      </c>
      <c r="CE150" s="3">
        <v>155.30000000000001</v>
      </c>
      <c r="CF150" s="3">
        <v>48.8</v>
      </c>
      <c r="CG150" s="3">
        <v>115.6</v>
      </c>
      <c r="CH150" s="3">
        <v>117</v>
      </c>
      <c r="CI150" s="3">
        <v>194.8</v>
      </c>
      <c r="CJ150" s="3">
        <v>142.6</v>
      </c>
      <c r="CK150" s="3">
        <v>132.80000000000001</v>
      </c>
      <c r="CL150" s="3">
        <v>244.7</v>
      </c>
      <c r="CM150" s="3">
        <v>126.3</v>
      </c>
      <c r="CN150" s="3">
        <v>117</v>
      </c>
    </row>
    <row r="151" spans="1:92" x14ac:dyDescent="0.25">
      <c r="A151" s="4">
        <v>36312</v>
      </c>
      <c r="B151" s="3">
        <v>135.1</v>
      </c>
      <c r="C151" s="3">
        <v>141.6</v>
      </c>
      <c r="D151" s="3">
        <v>156.80000000000001</v>
      </c>
      <c r="E151" s="3">
        <v>131.80000000000001</v>
      </c>
      <c r="F151" s="3">
        <v>155.1</v>
      </c>
      <c r="G151" s="3">
        <v>171.3</v>
      </c>
      <c r="H151" s="3">
        <v>129.30000000000001</v>
      </c>
      <c r="I151" s="3">
        <v>150.4</v>
      </c>
      <c r="J151" s="3">
        <v>112.6</v>
      </c>
      <c r="K151" s="3">
        <v>132.30000000000001</v>
      </c>
      <c r="L151" s="3">
        <v>146.9</v>
      </c>
      <c r="M151" s="3">
        <v>147.6</v>
      </c>
      <c r="N151" s="3">
        <v>146.6</v>
      </c>
      <c r="O151" s="3">
        <v>164.1</v>
      </c>
      <c r="P151" s="3">
        <v>138.9</v>
      </c>
      <c r="Q151" s="3">
        <v>160</v>
      </c>
      <c r="R151" s="3">
        <v>151.6</v>
      </c>
      <c r="S151" s="3">
        <v>153.4</v>
      </c>
      <c r="T151" s="3">
        <v>140.5</v>
      </c>
      <c r="U151" s="3">
        <v>165.9</v>
      </c>
      <c r="V151" s="3">
        <v>124.4</v>
      </c>
      <c r="W151" s="3">
        <v>187.4</v>
      </c>
      <c r="X151" s="3">
        <v>143.19999999999999</v>
      </c>
      <c r="Y151" s="3">
        <v>155</v>
      </c>
      <c r="Z151" s="3">
        <v>158.80000000000001</v>
      </c>
      <c r="AA151" s="3">
        <v>142.19999999999999</v>
      </c>
      <c r="AB151" s="3">
        <v>165.6</v>
      </c>
      <c r="AC151" s="3">
        <v>112.5</v>
      </c>
      <c r="AD151" s="3">
        <v>98.7</v>
      </c>
      <c r="AE151" s="3">
        <v>156.1</v>
      </c>
      <c r="AF151" s="3">
        <v>133.80000000000001</v>
      </c>
      <c r="AG151" s="3">
        <v>130.30000000000001</v>
      </c>
      <c r="AH151" s="3">
        <v>142.4</v>
      </c>
      <c r="AI151" s="3">
        <v>150.1</v>
      </c>
      <c r="AJ151" s="3">
        <v>193.8</v>
      </c>
      <c r="AK151" s="3">
        <v>218.5</v>
      </c>
      <c r="AL151" s="3">
        <v>191.6</v>
      </c>
      <c r="AM151" s="3">
        <v>199</v>
      </c>
      <c r="AN151" s="3">
        <v>206</v>
      </c>
      <c r="AO151" s="3">
        <v>161.19999999999999</v>
      </c>
      <c r="AP151" s="3">
        <v>166.7</v>
      </c>
      <c r="AQ151" s="3">
        <v>192.1</v>
      </c>
      <c r="AR151" s="3">
        <v>152.69999999999999</v>
      </c>
      <c r="AS151" s="3">
        <v>254.2</v>
      </c>
      <c r="AT151" s="3">
        <v>202.6</v>
      </c>
      <c r="AU151" s="3">
        <v>230.3</v>
      </c>
      <c r="AV151" s="3">
        <v>184.6</v>
      </c>
      <c r="AW151" s="3">
        <v>128.5</v>
      </c>
      <c r="AX151" s="3">
        <v>178.4</v>
      </c>
      <c r="AY151" s="3">
        <v>284.7</v>
      </c>
      <c r="AZ151" s="3">
        <v>203.6</v>
      </c>
      <c r="BA151" s="3">
        <v>154.80000000000001</v>
      </c>
      <c r="BB151" s="3">
        <v>192.4</v>
      </c>
      <c r="BC151" s="3">
        <v>129.9</v>
      </c>
      <c r="BD151" s="3">
        <v>132</v>
      </c>
      <c r="BE151" s="3">
        <v>117.9</v>
      </c>
      <c r="BF151" s="3">
        <v>104.2</v>
      </c>
      <c r="BG151" s="3">
        <v>145.69999999999999</v>
      </c>
      <c r="BH151" s="3">
        <v>146.80000000000001</v>
      </c>
      <c r="BI151" s="3">
        <v>96.4</v>
      </c>
      <c r="BJ151" s="3">
        <v>144.80000000000001</v>
      </c>
      <c r="BK151" s="3">
        <v>162.80000000000001</v>
      </c>
      <c r="BL151" s="3">
        <v>151.6</v>
      </c>
      <c r="BM151" s="3">
        <v>152.9</v>
      </c>
      <c r="BN151" s="3">
        <v>100.2</v>
      </c>
      <c r="BO151" s="3">
        <v>198.4</v>
      </c>
      <c r="BP151" s="3">
        <v>180.2</v>
      </c>
      <c r="BQ151" s="3">
        <v>118.4</v>
      </c>
      <c r="BR151" s="3">
        <v>100.5</v>
      </c>
      <c r="BS151" s="3">
        <v>115.6</v>
      </c>
      <c r="BT151" s="3">
        <v>160.6</v>
      </c>
      <c r="BU151" s="3">
        <v>118</v>
      </c>
      <c r="BV151" s="3">
        <v>123.3</v>
      </c>
      <c r="BW151" s="3">
        <v>194.1</v>
      </c>
      <c r="BX151" s="3">
        <v>251.4</v>
      </c>
      <c r="BY151" s="3">
        <v>136</v>
      </c>
      <c r="BZ151" s="3">
        <v>202.1</v>
      </c>
      <c r="CA151" s="3">
        <v>205.6</v>
      </c>
      <c r="CB151" s="3">
        <v>222.5</v>
      </c>
      <c r="CC151" s="3">
        <v>202.6</v>
      </c>
      <c r="CD151" s="3">
        <v>197.9</v>
      </c>
      <c r="CE151" s="3">
        <v>155.69999999999999</v>
      </c>
      <c r="CF151" s="3">
        <v>47.7</v>
      </c>
      <c r="CG151" s="3">
        <v>115.4</v>
      </c>
      <c r="CH151" s="3">
        <v>116.6</v>
      </c>
      <c r="CI151" s="3">
        <v>194.8</v>
      </c>
      <c r="CJ151" s="3">
        <v>142.6</v>
      </c>
      <c r="CK151" s="3">
        <v>132.80000000000001</v>
      </c>
      <c r="CL151" s="3">
        <v>245.4</v>
      </c>
      <c r="CM151" s="3">
        <v>127.2</v>
      </c>
      <c r="CN151" s="3">
        <v>117.8</v>
      </c>
    </row>
    <row r="152" spans="1:92" x14ac:dyDescent="0.25">
      <c r="A152" s="4">
        <v>36342</v>
      </c>
      <c r="B152" s="3">
        <v>135</v>
      </c>
      <c r="C152" s="3">
        <v>141.1</v>
      </c>
      <c r="D152" s="3">
        <v>158.5</v>
      </c>
      <c r="E152" s="3">
        <v>133.6</v>
      </c>
      <c r="F152" s="3">
        <v>150.69999999999999</v>
      </c>
      <c r="G152" s="3">
        <v>158.19999999999999</v>
      </c>
      <c r="H152" s="3">
        <v>127.2</v>
      </c>
      <c r="I152" s="3">
        <v>153.1</v>
      </c>
      <c r="J152" s="3">
        <v>113.6</v>
      </c>
      <c r="K152" s="3">
        <v>132.5</v>
      </c>
      <c r="L152" s="3">
        <v>148.6</v>
      </c>
      <c r="M152" s="3">
        <v>152.1</v>
      </c>
      <c r="N152" s="3">
        <v>145.5</v>
      </c>
      <c r="O152" s="3">
        <v>164.8</v>
      </c>
      <c r="P152" s="3">
        <v>139.1</v>
      </c>
      <c r="Q152" s="3">
        <v>158.19999999999999</v>
      </c>
      <c r="R152" s="3">
        <v>152</v>
      </c>
      <c r="S152" s="3">
        <v>153.4</v>
      </c>
      <c r="T152" s="3">
        <v>141</v>
      </c>
      <c r="U152" s="3">
        <v>166.8</v>
      </c>
      <c r="V152" s="3">
        <v>123.2</v>
      </c>
      <c r="W152" s="3">
        <v>186.9</v>
      </c>
      <c r="X152" s="3">
        <v>141.69999999999999</v>
      </c>
      <c r="Y152" s="3">
        <v>155.19999999999999</v>
      </c>
      <c r="Z152" s="3">
        <v>156.4</v>
      </c>
      <c r="AA152" s="3">
        <v>133.6</v>
      </c>
      <c r="AB152" s="3">
        <v>166.7</v>
      </c>
      <c r="AC152" s="3">
        <v>106.2</v>
      </c>
      <c r="AD152" s="3">
        <v>92</v>
      </c>
      <c r="AE152" s="3">
        <v>152.69999999999999</v>
      </c>
      <c r="AF152" s="3">
        <v>125.1</v>
      </c>
      <c r="AG152" s="3">
        <v>120.5</v>
      </c>
      <c r="AH152" s="3">
        <v>142.19999999999999</v>
      </c>
      <c r="AI152" s="3">
        <v>151.1</v>
      </c>
      <c r="AJ152" s="3">
        <v>194.6</v>
      </c>
      <c r="AK152" s="3">
        <v>219.1</v>
      </c>
      <c r="AL152" s="3">
        <v>192.1</v>
      </c>
      <c r="AM152" s="3">
        <v>198.6</v>
      </c>
      <c r="AN152" s="3">
        <v>206</v>
      </c>
      <c r="AO152" s="3">
        <v>159.30000000000001</v>
      </c>
      <c r="AP152" s="3">
        <v>166.4</v>
      </c>
      <c r="AQ152" s="3">
        <v>192.4</v>
      </c>
      <c r="AR152" s="3">
        <v>152.1</v>
      </c>
      <c r="AS152" s="3">
        <v>258.5</v>
      </c>
      <c r="AT152" s="3">
        <v>205.5</v>
      </c>
      <c r="AU152" s="3">
        <v>230.6</v>
      </c>
      <c r="AV152" s="3">
        <v>184.4</v>
      </c>
      <c r="AW152" s="3">
        <v>129</v>
      </c>
      <c r="AX152" s="3">
        <v>178.4</v>
      </c>
      <c r="AY152" s="3">
        <v>284.7</v>
      </c>
      <c r="AZ152" s="3">
        <v>205</v>
      </c>
      <c r="BA152" s="3">
        <v>154.6</v>
      </c>
      <c r="BB152" s="3">
        <v>193.8</v>
      </c>
      <c r="BC152" s="3">
        <v>130.1</v>
      </c>
      <c r="BD152" s="3">
        <v>131.69999999999999</v>
      </c>
      <c r="BE152" s="3">
        <v>117.9</v>
      </c>
      <c r="BF152" s="3">
        <v>114.7</v>
      </c>
      <c r="BG152" s="3">
        <v>144.69999999999999</v>
      </c>
      <c r="BH152" s="3">
        <v>144</v>
      </c>
      <c r="BI152" s="3">
        <v>94.6</v>
      </c>
      <c r="BJ152" s="3">
        <v>136.1</v>
      </c>
      <c r="BK152" s="3">
        <v>161.69999999999999</v>
      </c>
      <c r="BL152" s="3">
        <v>151</v>
      </c>
      <c r="BM152" s="3">
        <v>152.9</v>
      </c>
      <c r="BN152" s="3">
        <v>99.8</v>
      </c>
      <c r="BO152" s="3">
        <v>199.2</v>
      </c>
      <c r="BP152" s="3">
        <v>180.9</v>
      </c>
      <c r="BQ152" s="3">
        <v>110</v>
      </c>
      <c r="BR152" s="3">
        <v>94.5</v>
      </c>
      <c r="BS152" s="3">
        <v>110.7</v>
      </c>
      <c r="BT152" s="3">
        <v>157.1</v>
      </c>
      <c r="BU152" s="3">
        <v>114.9</v>
      </c>
      <c r="BV152" s="3">
        <v>122.5</v>
      </c>
      <c r="BW152" s="3">
        <v>194.3</v>
      </c>
      <c r="BX152" s="3">
        <v>253.7</v>
      </c>
      <c r="BY152" s="3">
        <v>134.5</v>
      </c>
      <c r="BZ152" s="3">
        <v>202.6</v>
      </c>
      <c r="CA152" s="3">
        <v>208.4</v>
      </c>
      <c r="CB152" s="3">
        <v>231.5</v>
      </c>
      <c r="CC152" s="3">
        <v>202.7</v>
      </c>
      <c r="CD152" s="3">
        <v>197.9</v>
      </c>
      <c r="CE152" s="3">
        <v>156.30000000000001</v>
      </c>
      <c r="CF152" s="3">
        <v>46.5</v>
      </c>
      <c r="CG152" s="3">
        <v>114.8</v>
      </c>
      <c r="CH152" s="3">
        <v>115.7</v>
      </c>
      <c r="CI152" s="3">
        <v>194.5</v>
      </c>
      <c r="CJ152" s="3">
        <v>139.9</v>
      </c>
      <c r="CK152" s="3">
        <v>133</v>
      </c>
      <c r="CL152" s="3">
        <v>245.1</v>
      </c>
      <c r="CM152" s="3">
        <v>128.30000000000001</v>
      </c>
      <c r="CN152" s="3">
        <v>117.4</v>
      </c>
    </row>
    <row r="153" spans="1:92" x14ac:dyDescent="0.25">
      <c r="A153" s="4">
        <v>36373</v>
      </c>
      <c r="B153" s="3">
        <v>134.4</v>
      </c>
      <c r="C153" s="3">
        <v>140.69999999999999</v>
      </c>
      <c r="D153" s="3">
        <v>158.5</v>
      </c>
      <c r="E153" s="3">
        <v>132.9</v>
      </c>
      <c r="F153" s="3">
        <v>144.9</v>
      </c>
      <c r="G153" s="3">
        <v>149.1</v>
      </c>
      <c r="H153" s="3">
        <v>128.80000000000001</v>
      </c>
      <c r="I153" s="3">
        <v>154.9</v>
      </c>
      <c r="J153" s="3">
        <v>112.3</v>
      </c>
      <c r="K153" s="3">
        <v>133.80000000000001</v>
      </c>
      <c r="L153" s="3">
        <v>147.6</v>
      </c>
      <c r="M153" s="3">
        <v>151.19999999999999</v>
      </c>
      <c r="N153" s="3">
        <v>144.4</v>
      </c>
      <c r="O153" s="3">
        <v>167.5</v>
      </c>
      <c r="P153" s="3">
        <v>138.80000000000001</v>
      </c>
      <c r="Q153" s="3">
        <v>157.9</v>
      </c>
      <c r="R153" s="3">
        <v>152</v>
      </c>
      <c r="S153" s="3">
        <v>151.19999999999999</v>
      </c>
      <c r="T153" s="3">
        <v>140.1</v>
      </c>
      <c r="U153" s="3">
        <v>165.3</v>
      </c>
      <c r="V153" s="3">
        <v>123.2</v>
      </c>
      <c r="W153" s="3">
        <v>186.5</v>
      </c>
      <c r="X153" s="3">
        <v>138.6</v>
      </c>
      <c r="Y153" s="3">
        <v>155</v>
      </c>
      <c r="Z153" s="3">
        <v>155.4</v>
      </c>
      <c r="AA153" s="3">
        <v>138.4</v>
      </c>
      <c r="AB153" s="3">
        <v>162.5</v>
      </c>
      <c r="AC153" s="3">
        <v>104.4</v>
      </c>
      <c r="AD153" s="3">
        <v>89.4</v>
      </c>
      <c r="AE153" s="3">
        <v>155.1</v>
      </c>
      <c r="AF153" s="3">
        <v>123.8</v>
      </c>
      <c r="AG153" s="3">
        <v>119.1</v>
      </c>
      <c r="AH153" s="3">
        <v>141.5</v>
      </c>
      <c r="AI153" s="3">
        <v>150.69999999999999</v>
      </c>
      <c r="AJ153" s="3">
        <v>194.9</v>
      </c>
      <c r="AK153" s="3">
        <v>219.9</v>
      </c>
      <c r="AL153" s="3">
        <v>192.9</v>
      </c>
      <c r="AM153" s="3">
        <v>198.6</v>
      </c>
      <c r="AN153" s="3">
        <v>205.8</v>
      </c>
      <c r="AO153" s="3">
        <v>160.1</v>
      </c>
      <c r="AP153" s="3">
        <v>166.9</v>
      </c>
      <c r="AQ153" s="3">
        <v>192.8</v>
      </c>
      <c r="AR153" s="3">
        <v>152.5</v>
      </c>
      <c r="AS153" s="3">
        <v>259.10000000000002</v>
      </c>
      <c r="AT153" s="3">
        <v>205.7</v>
      </c>
      <c r="AU153" s="3">
        <v>231.2</v>
      </c>
      <c r="AV153" s="3">
        <v>185.3</v>
      </c>
      <c r="AW153" s="3">
        <v>130.6</v>
      </c>
      <c r="AX153" s="3">
        <v>178.4</v>
      </c>
      <c r="AY153" s="3">
        <v>284.7</v>
      </c>
      <c r="AZ153" s="3">
        <v>206.3</v>
      </c>
      <c r="BA153" s="3">
        <v>154.9</v>
      </c>
      <c r="BB153" s="3">
        <v>194.3</v>
      </c>
      <c r="BC153" s="3">
        <v>130</v>
      </c>
      <c r="BD153" s="3">
        <v>131.6</v>
      </c>
      <c r="BE153" s="3">
        <v>117.9</v>
      </c>
      <c r="BF153" s="3">
        <v>116.5</v>
      </c>
      <c r="BG153" s="3">
        <v>144.1</v>
      </c>
      <c r="BH153" s="3">
        <v>146.4</v>
      </c>
      <c r="BI153" s="3">
        <v>94.5</v>
      </c>
      <c r="BJ153" s="3">
        <v>142.80000000000001</v>
      </c>
      <c r="BK153" s="3">
        <v>161.9</v>
      </c>
      <c r="BL153" s="3">
        <v>151.1</v>
      </c>
      <c r="BM153" s="3">
        <v>152.9</v>
      </c>
      <c r="BN153" s="3">
        <v>100.2</v>
      </c>
      <c r="BO153" s="3">
        <v>199.8</v>
      </c>
      <c r="BP153" s="3">
        <v>181.1</v>
      </c>
      <c r="BQ153" s="3">
        <v>112.2</v>
      </c>
      <c r="BR153" s="3">
        <v>95.9</v>
      </c>
      <c r="BS153" s="3">
        <v>114</v>
      </c>
      <c r="BT153" s="3">
        <v>157.6</v>
      </c>
      <c r="BU153" s="3">
        <v>116.1</v>
      </c>
      <c r="BV153" s="3">
        <v>123.4</v>
      </c>
      <c r="BW153" s="3">
        <v>194.9</v>
      </c>
      <c r="BX153" s="3">
        <v>254.1</v>
      </c>
      <c r="BY153" s="3">
        <v>133</v>
      </c>
      <c r="BZ153" s="3">
        <v>203</v>
      </c>
      <c r="CA153" s="3">
        <v>214.1</v>
      </c>
      <c r="CB153" s="3">
        <v>231.5</v>
      </c>
      <c r="CC153" s="3">
        <v>202.7</v>
      </c>
      <c r="CD153" s="3">
        <v>198.3</v>
      </c>
      <c r="CE153" s="3">
        <v>156.69999999999999</v>
      </c>
      <c r="CF153" s="3">
        <v>45.2</v>
      </c>
      <c r="CG153" s="3">
        <v>115.2</v>
      </c>
      <c r="CH153" s="3">
        <v>115.3</v>
      </c>
      <c r="CI153" s="3">
        <v>194.5</v>
      </c>
      <c r="CJ153" s="3">
        <v>139.9</v>
      </c>
      <c r="CK153" s="3">
        <v>133</v>
      </c>
      <c r="CL153" s="3">
        <v>244.8</v>
      </c>
      <c r="CM153" s="3">
        <v>129.5</v>
      </c>
      <c r="CN153" s="3">
        <v>117.8</v>
      </c>
    </row>
    <row r="154" spans="1:92" x14ac:dyDescent="0.25">
      <c r="A154" s="4">
        <v>36404</v>
      </c>
      <c r="B154" s="3">
        <v>135.30000000000001</v>
      </c>
      <c r="C154" s="3">
        <v>139.1</v>
      </c>
      <c r="D154" s="3">
        <v>157.80000000000001</v>
      </c>
      <c r="E154" s="3">
        <v>134.1</v>
      </c>
      <c r="F154" s="3">
        <v>144.19999999999999</v>
      </c>
      <c r="G154" s="3">
        <v>144.30000000000001</v>
      </c>
      <c r="H154" s="3">
        <v>127.3</v>
      </c>
      <c r="I154" s="3">
        <v>155.1</v>
      </c>
      <c r="J154" s="3">
        <v>110.1</v>
      </c>
      <c r="K154" s="3">
        <v>132.5</v>
      </c>
      <c r="L154" s="3">
        <v>150.19999999999999</v>
      </c>
      <c r="M154" s="3">
        <v>155.19999999999999</v>
      </c>
      <c r="N154" s="3">
        <v>145.6</v>
      </c>
      <c r="O154" s="3">
        <v>168.3</v>
      </c>
      <c r="P154" s="3">
        <v>138.69999999999999</v>
      </c>
      <c r="Q154" s="3">
        <v>157.30000000000001</v>
      </c>
      <c r="R154" s="3">
        <v>152.4</v>
      </c>
      <c r="S154" s="3">
        <v>150.69999999999999</v>
      </c>
      <c r="T154" s="3">
        <v>140</v>
      </c>
      <c r="U154" s="3">
        <v>166.7</v>
      </c>
      <c r="V154" s="3">
        <v>121.3</v>
      </c>
      <c r="W154" s="3">
        <v>187.8</v>
      </c>
      <c r="X154" s="3">
        <v>134.6</v>
      </c>
      <c r="Y154" s="3">
        <v>155.4</v>
      </c>
      <c r="Z154" s="3">
        <v>146.1</v>
      </c>
      <c r="AA154" s="3">
        <v>120.1</v>
      </c>
      <c r="AB154" s="3">
        <v>158.19999999999999</v>
      </c>
      <c r="AC154" s="3">
        <v>108.6</v>
      </c>
      <c r="AD154" s="3">
        <v>94.8</v>
      </c>
      <c r="AE154" s="3">
        <v>153.1</v>
      </c>
      <c r="AF154" s="3">
        <v>125.8</v>
      </c>
      <c r="AG154" s="3">
        <v>121.2</v>
      </c>
      <c r="AH154" s="3">
        <v>142.69999999999999</v>
      </c>
      <c r="AI154" s="3">
        <v>150.30000000000001</v>
      </c>
      <c r="AJ154" s="3">
        <v>195.2</v>
      </c>
      <c r="AK154" s="3">
        <v>221.6</v>
      </c>
      <c r="AL154" s="3">
        <v>192.8</v>
      </c>
      <c r="AM154" s="3">
        <v>198.4</v>
      </c>
      <c r="AN154" s="3">
        <v>206.1</v>
      </c>
      <c r="AO154" s="3">
        <v>158.4</v>
      </c>
      <c r="AP154" s="3">
        <v>167.1</v>
      </c>
      <c r="AQ154" s="3">
        <v>193.1</v>
      </c>
      <c r="AR154" s="3">
        <v>152.69999999999999</v>
      </c>
      <c r="AS154" s="3">
        <v>259.10000000000002</v>
      </c>
      <c r="AT154" s="3">
        <v>206.8</v>
      </c>
      <c r="AU154" s="3">
        <v>231.7</v>
      </c>
      <c r="AV154" s="3">
        <v>186.1</v>
      </c>
      <c r="AW154" s="3">
        <v>132.80000000000001</v>
      </c>
      <c r="AX154" s="3">
        <v>178.4</v>
      </c>
      <c r="AY154" s="3">
        <v>284.7</v>
      </c>
      <c r="AZ154" s="3">
        <v>207.3</v>
      </c>
      <c r="BA154" s="3">
        <v>154.19999999999999</v>
      </c>
      <c r="BB154" s="3">
        <v>195.2</v>
      </c>
      <c r="BC154" s="3">
        <v>131.19999999999999</v>
      </c>
      <c r="BD154" s="3">
        <v>131.6</v>
      </c>
      <c r="BE154" s="3">
        <v>117.9</v>
      </c>
      <c r="BF154" s="3">
        <v>123</v>
      </c>
      <c r="BG154" s="3">
        <v>146.30000000000001</v>
      </c>
      <c r="BH154" s="3">
        <v>147.5</v>
      </c>
      <c r="BI154" s="3">
        <v>95.7</v>
      </c>
      <c r="BJ154" s="3">
        <v>144.1</v>
      </c>
      <c r="BK154" s="3">
        <v>161.5</v>
      </c>
      <c r="BL154" s="3">
        <v>150.6</v>
      </c>
      <c r="BM154" s="3">
        <v>152.9</v>
      </c>
      <c r="BN154" s="3">
        <v>99.6</v>
      </c>
      <c r="BO154" s="3">
        <v>200.6</v>
      </c>
      <c r="BP154" s="3">
        <v>184.9</v>
      </c>
      <c r="BQ154" s="3">
        <v>117.6</v>
      </c>
      <c r="BR154" s="3">
        <v>102.3</v>
      </c>
      <c r="BS154" s="3">
        <v>116.4</v>
      </c>
      <c r="BT154" s="3">
        <v>159</v>
      </c>
      <c r="BU154" s="3">
        <v>118.3</v>
      </c>
      <c r="BV154" s="3">
        <v>124.3</v>
      </c>
      <c r="BW154" s="3">
        <v>194.5</v>
      </c>
      <c r="BX154" s="3">
        <v>254.9</v>
      </c>
      <c r="BY154" s="3">
        <v>132</v>
      </c>
      <c r="BZ154" s="3">
        <v>203.7</v>
      </c>
      <c r="CA154" s="3">
        <v>213.9</v>
      </c>
      <c r="CB154" s="3">
        <v>231.5</v>
      </c>
      <c r="CC154" s="3">
        <v>202.7</v>
      </c>
      <c r="CD154" s="3">
        <v>198.4</v>
      </c>
      <c r="CE154" s="3">
        <v>156.80000000000001</v>
      </c>
      <c r="CF154" s="3">
        <v>44.7</v>
      </c>
      <c r="CG154" s="3">
        <v>114.9</v>
      </c>
      <c r="CH154" s="3">
        <v>114.9</v>
      </c>
      <c r="CI154" s="3">
        <v>194.5</v>
      </c>
      <c r="CJ154" s="3">
        <v>138.69999999999999</v>
      </c>
      <c r="CK154" s="3">
        <v>133.1</v>
      </c>
      <c r="CL154" s="3">
        <v>248.6</v>
      </c>
      <c r="CM154" s="3">
        <v>130.4</v>
      </c>
      <c r="CN154" s="3">
        <v>118.1</v>
      </c>
    </row>
    <row r="155" spans="1:92" x14ac:dyDescent="0.25">
      <c r="A155" s="4">
        <v>36434</v>
      </c>
      <c r="B155" s="3">
        <v>134.9</v>
      </c>
      <c r="C155" s="3">
        <v>139.19999999999999</v>
      </c>
      <c r="D155" s="3">
        <v>157.1</v>
      </c>
      <c r="E155" s="3">
        <v>132.6</v>
      </c>
      <c r="F155" s="3">
        <v>140.5</v>
      </c>
      <c r="G155" s="3">
        <v>137.6</v>
      </c>
      <c r="H155" s="3">
        <v>125</v>
      </c>
      <c r="I155" s="3">
        <v>152.9</v>
      </c>
      <c r="J155" s="3">
        <v>108.4</v>
      </c>
      <c r="K155" s="3">
        <v>132.69999999999999</v>
      </c>
      <c r="L155" s="3">
        <v>148.69999999999999</v>
      </c>
      <c r="M155" s="3">
        <v>155</v>
      </c>
      <c r="N155" s="3">
        <v>142.80000000000001</v>
      </c>
      <c r="O155" s="3">
        <v>167.6</v>
      </c>
      <c r="P155" s="3">
        <v>133.6</v>
      </c>
      <c r="Q155" s="3">
        <v>157.1</v>
      </c>
      <c r="R155" s="3">
        <v>148</v>
      </c>
      <c r="S155" s="3">
        <v>150.6</v>
      </c>
      <c r="T155" s="3">
        <v>139.6</v>
      </c>
      <c r="U155" s="3">
        <v>163.80000000000001</v>
      </c>
      <c r="V155" s="3">
        <v>118.3</v>
      </c>
      <c r="W155" s="3">
        <v>186.3</v>
      </c>
      <c r="X155" s="3">
        <v>135.6</v>
      </c>
      <c r="Y155" s="3">
        <v>156</v>
      </c>
      <c r="Z155" s="3">
        <v>145.9</v>
      </c>
      <c r="AA155" s="3">
        <v>118.9</v>
      </c>
      <c r="AB155" s="3">
        <v>158.69999999999999</v>
      </c>
      <c r="AC155" s="3">
        <v>108.5</v>
      </c>
      <c r="AD155" s="3">
        <v>95.3</v>
      </c>
      <c r="AE155" s="3">
        <v>150.1</v>
      </c>
      <c r="AF155" s="3">
        <v>134.9</v>
      </c>
      <c r="AG155" s="3">
        <v>131.5</v>
      </c>
      <c r="AH155" s="3">
        <v>142.30000000000001</v>
      </c>
      <c r="AI155" s="3">
        <v>148.9</v>
      </c>
      <c r="AJ155" s="3">
        <v>195.6</v>
      </c>
      <c r="AK155" s="3">
        <v>222.5</v>
      </c>
      <c r="AL155" s="3">
        <v>193.6</v>
      </c>
      <c r="AM155" s="3">
        <v>199.1</v>
      </c>
      <c r="AN155" s="3">
        <v>206.3</v>
      </c>
      <c r="AO155" s="3">
        <v>160.6</v>
      </c>
      <c r="AP155" s="3">
        <v>166.8</v>
      </c>
      <c r="AQ155" s="3">
        <v>193.3</v>
      </c>
      <c r="AR155" s="3">
        <v>152.1</v>
      </c>
      <c r="AS155" s="3">
        <v>259.10000000000002</v>
      </c>
      <c r="AT155" s="3">
        <v>205.8</v>
      </c>
      <c r="AU155" s="3">
        <v>232</v>
      </c>
      <c r="AV155" s="3">
        <v>190</v>
      </c>
      <c r="AW155" s="3">
        <v>135</v>
      </c>
      <c r="AX155" s="3">
        <v>178.4</v>
      </c>
      <c r="AY155" s="3">
        <v>284.7</v>
      </c>
      <c r="AZ155" s="3">
        <v>207.4</v>
      </c>
      <c r="BA155" s="3">
        <v>154.30000000000001</v>
      </c>
      <c r="BB155" s="3">
        <v>198.3</v>
      </c>
      <c r="BC155" s="3">
        <v>134.6</v>
      </c>
      <c r="BD155" s="3">
        <v>131.6</v>
      </c>
      <c r="BE155" s="3">
        <v>117.9</v>
      </c>
      <c r="BF155" s="3">
        <v>124.7</v>
      </c>
      <c r="BG155" s="3">
        <v>144.5</v>
      </c>
      <c r="BH155" s="3">
        <v>145.80000000000001</v>
      </c>
      <c r="BI155" s="3">
        <v>95.1</v>
      </c>
      <c r="BJ155" s="3">
        <v>143</v>
      </c>
      <c r="BK155" s="3">
        <v>161.19999999999999</v>
      </c>
      <c r="BL155" s="3">
        <v>150.19999999999999</v>
      </c>
      <c r="BM155" s="3">
        <v>152.9</v>
      </c>
      <c r="BN155" s="3">
        <v>97.7</v>
      </c>
      <c r="BO155" s="3">
        <v>202.1</v>
      </c>
      <c r="BP155" s="3">
        <v>189.8</v>
      </c>
      <c r="BQ155" s="3">
        <v>116.7</v>
      </c>
      <c r="BR155" s="3">
        <v>100.6</v>
      </c>
      <c r="BS155" s="3">
        <v>116</v>
      </c>
      <c r="BT155" s="3">
        <v>157.9</v>
      </c>
      <c r="BU155" s="3">
        <v>118.1</v>
      </c>
      <c r="BV155" s="3">
        <v>124.8</v>
      </c>
      <c r="BW155" s="3">
        <v>193.2</v>
      </c>
      <c r="BX155" s="3">
        <v>256.3</v>
      </c>
      <c r="BY155" s="3">
        <v>130.4</v>
      </c>
      <c r="BZ155" s="3">
        <v>204.6</v>
      </c>
      <c r="CA155" s="3">
        <v>215.7</v>
      </c>
      <c r="CB155" s="3">
        <v>239.4</v>
      </c>
      <c r="CC155" s="3">
        <v>202.7</v>
      </c>
      <c r="CD155" s="3">
        <v>199</v>
      </c>
      <c r="CE155" s="3">
        <v>157</v>
      </c>
      <c r="CF155" s="3">
        <v>44.4</v>
      </c>
      <c r="CG155" s="3">
        <v>112.3</v>
      </c>
      <c r="CH155" s="3">
        <v>113.7</v>
      </c>
      <c r="CI155" s="3">
        <v>196.4</v>
      </c>
      <c r="CJ155" s="3">
        <v>140.80000000000001</v>
      </c>
      <c r="CK155" s="3">
        <v>133.1</v>
      </c>
      <c r="CL155" s="3">
        <v>251</v>
      </c>
      <c r="CM155" s="3">
        <v>131.6</v>
      </c>
      <c r="CN155" s="3">
        <v>118.2</v>
      </c>
    </row>
    <row r="156" spans="1:92" x14ac:dyDescent="0.25">
      <c r="A156" s="4">
        <v>36465</v>
      </c>
      <c r="B156" s="3">
        <v>136.30000000000001</v>
      </c>
      <c r="C156" s="3">
        <v>138</v>
      </c>
      <c r="D156" s="3">
        <v>156.5</v>
      </c>
      <c r="E156" s="3">
        <v>133.80000000000001</v>
      </c>
      <c r="F156" s="3">
        <v>142</v>
      </c>
      <c r="G156" s="3">
        <v>142.6</v>
      </c>
      <c r="H156" s="3">
        <v>131.1</v>
      </c>
      <c r="I156" s="3">
        <v>155</v>
      </c>
      <c r="J156" s="3">
        <v>107</v>
      </c>
      <c r="K156" s="3">
        <v>133.5</v>
      </c>
      <c r="L156" s="3">
        <v>148.30000000000001</v>
      </c>
      <c r="M156" s="3">
        <v>155.1</v>
      </c>
      <c r="N156" s="3">
        <v>141.9</v>
      </c>
      <c r="O156" s="3">
        <v>167.2</v>
      </c>
      <c r="P156" s="3">
        <v>135.1</v>
      </c>
      <c r="Q156" s="3">
        <v>156.4</v>
      </c>
      <c r="R156" s="3">
        <v>150.6</v>
      </c>
      <c r="S156" s="3">
        <v>150.4</v>
      </c>
      <c r="T156" s="3">
        <v>140</v>
      </c>
      <c r="U156" s="3">
        <v>164.9</v>
      </c>
      <c r="V156" s="3">
        <v>116.6</v>
      </c>
      <c r="W156" s="3">
        <v>186</v>
      </c>
      <c r="X156" s="3">
        <v>137</v>
      </c>
      <c r="Y156" s="3">
        <v>156.30000000000001</v>
      </c>
      <c r="Z156" s="3">
        <v>144</v>
      </c>
      <c r="AA156" s="3">
        <v>115.9</v>
      </c>
      <c r="AB156" s="3">
        <v>157.4</v>
      </c>
      <c r="AC156" s="3">
        <v>111.7</v>
      </c>
      <c r="AD156" s="3">
        <v>99.2</v>
      </c>
      <c r="AE156" s="3">
        <v>149.6</v>
      </c>
      <c r="AF156" s="3">
        <v>137.19999999999999</v>
      </c>
      <c r="AG156" s="3">
        <v>134</v>
      </c>
      <c r="AH156" s="3">
        <v>143.5</v>
      </c>
      <c r="AI156" s="3">
        <v>150.1</v>
      </c>
      <c r="AJ156" s="3">
        <v>195.9</v>
      </c>
      <c r="AK156" s="3">
        <v>222.6</v>
      </c>
      <c r="AL156" s="3">
        <v>193.7</v>
      </c>
      <c r="AM156" s="3">
        <v>198.6</v>
      </c>
      <c r="AN156" s="3">
        <v>206.3</v>
      </c>
      <c r="AO156" s="3">
        <v>158.6</v>
      </c>
      <c r="AP156" s="3">
        <v>166.1</v>
      </c>
      <c r="AQ156" s="3">
        <v>193.4</v>
      </c>
      <c r="AR156" s="3">
        <v>151.1</v>
      </c>
      <c r="AS156" s="3">
        <v>259.2</v>
      </c>
      <c r="AT156" s="3">
        <v>205.8</v>
      </c>
      <c r="AU156" s="3">
        <v>232.1</v>
      </c>
      <c r="AV156" s="3">
        <v>191.5</v>
      </c>
      <c r="AW156" s="3">
        <v>136.1</v>
      </c>
      <c r="AX156" s="3">
        <v>178.4</v>
      </c>
      <c r="AY156" s="3">
        <v>284.7</v>
      </c>
      <c r="AZ156" s="3">
        <v>208.2</v>
      </c>
      <c r="BA156" s="3">
        <v>155.80000000000001</v>
      </c>
      <c r="BB156" s="3">
        <v>198.7</v>
      </c>
      <c r="BC156" s="3">
        <v>134.9</v>
      </c>
      <c r="BD156" s="3">
        <v>131.6</v>
      </c>
      <c r="BE156" s="3">
        <v>117.9</v>
      </c>
      <c r="BF156" s="3">
        <v>130.30000000000001</v>
      </c>
      <c r="BG156" s="3">
        <v>148.80000000000001</v>
      </c>
      <c r="BH156" s="3">
        <v>147.4</v>
      </c>
      <c r="BI156" s="3">
        <v>94.8</v>
      </c>
      <c r="BJ156" s="3">
        <v>144.5</v>
      </c>
      <c r="BK156" s="3">
        <v>161</v>
      </c>
      <c r="BL156" s="3">
        <v>150.1</v>
      </c>
      <c r="BM156" s="3">
        <v>153.1</v>
      </c>
      <c r="BN156" s="3">
        <v>97.9</v>
      </c>
      <c r="BO156" s="3">
        <v>203.1</v>
      </c>
      <c r="BP156" s="3">
        <v>189.4</v>
      </c>
      <c r="BQ156" s="3">
        <v>117</v>
      </c>
      <c r="BR156" s="3">
        <v>101.3</v>
      </c>
      <c r="BS156" s="3">
        <v>115.1</v>
      </c>
      <c r="BT156" s="3">
        <v>157.9</v>
      </c>
      <c r="BU156" s="3">
        <v>118.4</v>
      </c>
      <c r="BV156" s="3">
        <v>125.1</v>
      </c>
      <c r="BW156" s="3">
        <v>192.9</v>
      </c>
      <c r="BX156" s="3">
        <v>257.3</v>
      </c>
      <c r="BY156" s="3">
        <v>128.5</v>
      </c>
      <c r="BZ156" s="3">
        <v>205.5</v>
      </c>
      <c r="CA156" s="3">
        <v>214.7</v>
      </c>
      <c r="CB156" s="3">
        <v>239.4</v>
      </c>
      <c r="CC156" s="3">
        <v>202.7</v>
      </c>
      <c r="CD156" s="3">
        <v>199.4</v>
      </c>
      <c r="CE156" s="3">
        <v>157.1</v>
      </c>
      <c r="CF156" s="3">
        <v>44.4</v>
      </c>
      <c r="CG156" s="3">
        <v>109.8</v>
      </c>
      <c r="CH156" s="3">
        <v>113.1</v>
      </c>
      <c r="CI156" s="3">
        <v>196.7</v>
      </c>
      <c r="CJ156" s="3">
        <v>141.69999999999999</v>
      </c>
      <c r="CK156" s="3">
        <v>133.1</v>
      </c>
      <c r="CL156" s="3">
        <v>252.3</v>
      </c>
      <c r="CM156" s="3">
        <v>131.9</v>
      </c>
      <c r="CN156" s="3">
        <v>118.2</v>
      </c>
    </row>
    <row r="157" spans="1:92" x14ac:dyDescent="0.25">
      <c r="A157" s="4">
        <v>36495</v>
      </c>
      <c r="B157" s="3">
        <v>136.69999999999999</v>
      </c>
      <c r="C157" s="3">
        <v>139</v>
      </c>
      <c r="D157" s="3">
        <v>158.4</v>
      </c>
      <c r="E157" s="3">
        <v>134.19999999999999</v>
      </c>
      <c r="F157" s="3">
        <v>141.30000000000001</v>
      </c>
      <c r="G157" s="3">
        <v>143.80000000000001</v>
      </c>
      <c r="H157" s="3">
        <v>135</v>
      </c>
      <c r="I157" s="3">
        <v>156.6</v>
      </c>
      <c r="J157" s="3">
        <v>106.2</v>
      </c>
      <c r="K157" s="3">
        <v>133.69999999999999</v>
      </c>
      <c r="L157" s="3">
        <v>148.1</v>
      </c>
      <c r="M157" s="3">
        <v>155.30000000000001</v>
      </c>
      <c r="N157" s="3">
        <v>141.30000000000001</v>
      </c>
      <c r="O157" s="3">
        <v>166.3</v>
      </c>
      <c r="P157" s="3">
        <v>136.1</v>
      </c>
      <c r="Q157" s="3">
        <v>157.30000000000001</v>
      </c>
      <c r="R157" s="3">
        <v>151.1</v>
      </c>
      <c r="S157" s="3">
        <v>150.6</v>
      </c>
      <c r="T157" s="3">
        <v>141</v>
      </c>
      <c r="U157" s="3">
        <v>164.6</v>
      </c>
      <c r="V157" s="3">
        <v>115.5</v>
      </c>
      <c r="W157" s="3">
        <v>184.9</v>
      </c>
      <c r="X157" s="3">
        <v>136</v>
      </c>
      <c r="Y157" s="3">
        <v>156.6</v>
      </c>
      <c r="Z157" s="3">
        <v>142.6</v>
      </c>
      <c r="AA157" s="3">
        <v>113.4</v>
      </c>
      <c r="AB157" s="3">
        <v>156.69999999999999</v>
      </c>
      <c r="AC157" s="3">
        <v>112.8</v>
      </c>
      <c r="AD157" s="3">
        <v>100.5</v>
      </c>
      <c r="AE157" s="3">
        <v>149.4</v>
      </c>
      <c r="AF157" s="3">
        <v>137.19999999999999</v>
      </c>
      <c r="AG157" s="3">
        <v>133.80000000000001</v>
      </c>
      <c r="AH157" s="3">
        <v>144.69999999999999</v>
      </c>
      <c r="AI157" s="3">
        <v>149.4</v>
      </c>
      <c r="AJ157" s="3">
        <v>196.2</v>
      </c>
      <c r="AK157" s="3">
        <v>222.5</v>
      </c>
      <c r="AL157" s="3">
        <v>194.5</v>
      </c>
      <c r="AM157" s="3">
        <v>198.7</v>
      </c>
      <c r="AN157" s="3">
        <v>206.5</v>
      </c>
      <c r="AO157" s="3">
        <v>158.1</v>
      </c>
      <c r="AP157" s="3">
        <v>165.1</v>
      </c>
      <c r="AQ157" s="3">
        <v>193.7</v>
      </c>
      <c r="AR157" s="3">
        <v>149.30000000000001</v>
      </c>
      <c r="AS157" s="3">
        <v>259.2</v>
      </c>
      <c r="AT157" s="3">
        <v>205.9</v>
      </c>
      <c r="AU157" s="3">
        <v>232.6</v>
      </c>
      <c r="AV157" s="3">
        <v>199.3</v>
      </c>
      <c r="AW157" s="3">
        <v>136</v>
      </c>
      <c r="AX157" s="3">
        <v>178.4</v>
      </c>
      <c r="AY157" s="3">
        <v>284.7</v>
      </c>
      <c r="AZ157" s="3">
        <v>209.3</v>
      </c>
      <c r="BA157" s="3">
        <v>155.80000000000001</v>
      </c>
      <c r="BB157" s="3">
        <v>198.6</v>
      </c>
      <c r="BC157" s="3">
        <v>135.19999999999999</v>
      </c>
      <c r="BD157" s="3">
        <v>131.6</v>
      </c>
      <c r="BE157" s="3">
        <v>117.9</v>
      </c>
      <c r="BF157" s="3">
        <v>145.80000000000001</v>
      </c>
      <c r="BG157" s="3">
        <v>156.4</v>
      </c>
      <c r="BH157" s="3">
        <v>151.30000000000001</v>
      </c>
      <c r="BI157" s="3">
        <v>95</v>
      </c>
      <c r="BJ157" s="3">
        <v>144.6</v>
      </c>
      <c r="BK157" s="3">
        <v>161</v>
      </c>
      <c r="BL157" s="3">
        <v>150.5</v>
      </c>
      <c r="BM157" s="3">
        <v>153.1</v>
      </c>
      <c r="BN157" s="3">
        <v>98.6</v>
      </c>
      <c r="BO157" s="3">
        <v>204</v>
      </c>
      <c r="BP157" s="3">
        <v>189.7</v>
      </c>
      <c r="BQ157" s="3">
        <v>116.6</v>
      </c>
      <c r="BR157" s="3">
        <v>99.7</v>
      </c>
      <c r="BS157" s="3">
        <v>115.5</v>
      </c>
      <c r="BT157" s="3">
        <v>157.30000000000001</v>
      </c>
      <c r="BU157" s="3">
        <v>117.1</v>
      </c>
      <c r="BV157" s="3">
        <v>124.7</v>
      </c>
      <c r="BW157" s="3">
        <v>192.4</v>
      </c>
      <c r="BX157" s="3">
        <v>258.10000000000002</v>
      </c>
      <c r="BY157" s="3">
        <v>126.8</v>
      </c>
      <c r="BZ157" s="3">
        <v>206</v>
      </c>
      <c r="CA157" s="3">
        <v>220.3</v>
      </c>
      <c r="CB157" s="3">
        <v>239.4</v>
      </c>
      <c r="CC157" s="3">
        <v>203.1</v>
      </c>
      <c r="CD157" s="3">
        <v>199.4</v>
      </c>
      <c r="CE157" s="3">
        <v>156.80000000000001</v>
      </c>
      <c r="CF157" s="3">
        <v>44.5</v>
      </c>
      <c r="CG157" s="3">
        <v>109.2</v>
      </c>
      <c r="CH157" s="3">
        <v>113.3</v>
      </c>
      <c r="CI157" s="3">
        <v>196.6</v>
      </c>
      <c r="CJ157" s="3">
        <v>142.5</v>
      </c>
      <c r="CK157" s="3">
        <v>133.1</v>
      </c>
      <c r="CL157" s="3">
        <v>251</v>
      </c>
      <c r="CM157" s="3">
        <v>132</v>
      </c>
      <c r="CN157" s="3">
        <v>118.1</v>
      </c>
    </row>
    <row r="158" spans="1:92" x14ac:dyDescent="0.25">
      <c r="A158" s="4">
        <v>36526</v>
      </c>
      <c r="B158" s="3">
        <v>136.6</v>
      </c>
      <c r="C158" s="3">
        <v>139.19999999999999</v>
      </c>
      <c r="D158" s="3">
        <v>158.1</v>
      </c>
      <c r="E158" s="3">
        <v>134.30000000000001</v>
      </c>
      <c r="F158" s="3">
        <v>147.4</v>
      </c>
      <c r="G158" s="3">
        <v>153.30000000000001</v>
      </c>
      <c r="H158" s="3">
        <v>133.4</v>
      </c>
      <c r="I158" s="3">
        <v>157.19999999999999</v>
      </c>
      <c r="J158" s="3">
        <v>108.3</v>
      </c>
      <c r="K158" s="3">
        <v>133</v>
      </c>
      <c r="L158" s="3">
        <v>148.1</v>
      </c>
      <c r="M158" s="3">
        <v>154.9</v>
      </c>
      <c r="N158" s="3">
        <v>141.69999999999999</v>
      </c>
      <c r="O158" s="3">
        <v>166.7</v>
      </c>
      <c r="P158" s="3">
        <v>135.6</v>
      </c>
      <c r="Q158" s="3">
        <v>156.19999999999999</v>
      </c>
      <c r="R158" s="3">
        <v>151.9</v>
      </c>
      <c r="S158" s="3">
        <v>150.6</v>
      </c>
      <c r="T158" s="3">
        <v>140.6</v>
      </c>
      <c r="U158" s="3">
        <v>163.80000000000001</v>
      </c>
      <c r="V158" s="3">
        <v>116.8</v>
      </c>
      <c r="W158" s="3">
        <v>185.7</v>
      </c>
      <c r="X158" s="3">
        <v>136.80000000000001</v>
      </c>
      <c r="Y158" s="3">
        <v>156.1</v>
      </c>
      <c r="Z158" s="3">
        <v>140.30000000000001</v>
      </c>
      <c r="AA158" s="3">
        <v>108.8</v>
      </c>
      <c r="AB158" s="3">
        <v>155.69999999999999</v>
      </c>
      <c r="AC158" s="3">
        <v>118.1</v>
      </c>
      <c r="AD158" s="3">
        <v>106.8</v>
      </c>
      <c r="AE158" s="3">
        <v>149.30000000000001</v>
      </c>
      <c r="AF158" s="3">
        <v>130.1</v>
      </c>
      <c r="AG158" s="3">
        <v>125.7</v>
      </c>
      <c r="AH158" s="3">
        <v>144.9</v>
      </c>
      <c r="AI158" s="3">
        <v>149.30000000000001</v>
      </c>
      <c r="AJ158" s="3">
        <v>196.2</v>
      </c>
      <c r="AK158" s="3">
        <v>227.5</v>
      </c>
      <c r="AL158" s="3">
        <v>194.9</v>
      </c>
      <c r="AM158" s="3">
        <v>199.1</v>
      </c>
      <c r="AN158" s="3">
        <v>206.4</v>
      </c>
      <c r="AO158" s="3">
        <v>160.4</v>
      </c>
      <c r="AP158" s="3">
        <v>167.3</v>
      </c>
      <c r="AQ158" s="3">
        <v>194</v>
      </c>
      <c r="AR158" s="3">
        <v>152.5</v>
      </c>
      <c r="AS158" s="3">
        <v>259.39999999999998</v>
      </c>
      <c r="AT158" s="3">
        <v>206.2</v>
      </c>
      <c r="AU158" s="3">
        <v>233.1</v>
      </c>
      <c r="AV158" s="3">
        <v>200.5</v>
      </c>
      <c r="AW158" s="3">
        <v>139</v>
      </c>
      <c r="AX158" s="3">
        <v>178.4</v>
      </c>
      <c r="AY158" s="3">
        <v>284.7</v>
      </c>
      <c r="AZ158" s="3">
        <v>211.6</v>
      </c>
      <c r="BA158" s="3">
        <v>156.6</v>
      </c>
      <c r="BB158" s="3">
        <v>203.1</v>
      </c>
      <c r="BC158" s="3">
        <v>135.4</v>
      </c>
      <c r="BD158" s="3">
        <v>131.6</v>
      </c>
      <c r="BE158" s="3">
        <v>117.8</v>
      </c>
      <c r="BF158" s="3">
        <v>143.19999999999999</v>
      </c>
      <c r="BG158" s="3">
        <v>140.1</v>
      </c>
      <c r="BH158" s="3">
        <v>141.69999999999999</v>
      </c>
      <c r="BI158" s="3">
        <v>92.9</v>
      </c>
      <c r="BJ158" s="3">
        <v>138.80000000000001</v>
      </c>
      <c r="BK158" s="3">
        <v>161.69999999999999</v>
      </c>
      <c r="BL158" s="3">
        <v>151</v>
      </c>
      <c r="BM158" s="3">
        <v>153.1</v>
      </c>
      <c r="BN158" s="3">
        <v>98.6</v>
      </c>
      <c r="BO158" s="3">
        <v>206.3</v>
      </c>
      <c r="BP158" s="3">
        <v>191.4</v>
      </c>
      <c r="BQ158" s="3">
        <v>106.7</v>
      </c>
      <c r="BR158" s="3">
        <v>89.7</v>
      </c>
      <c r="BS158" s="3">
        <v>111.4</v>
      </c>
      <c r="BT158" s="3">
        <v>153.19999999999999</v>
      </c>
      <c r="BU158" s="3">
        <v>111.3</v>
      </c>
      <c r="BV158" s="3">
        <v>122.5</v>
      </c>
      <c r="BW158" s="3">
        <v>191.4</v>
      </c>
      <c r="BX158" s="3">
        <v>260.10000000000002</v>
      </c>
      <c r="BY158" s="3">
        <v>128.30000000000001</v>
      </c>
      <c r="BZ158" s="3">
        <v>206.9</v>
      </c>
      <c r="CA158" s="3">
        <v>219.8</v>
      </c>
      <c r="CB158" s="3">
        <v>246.2</v>
      </c>
      <c r="CC158" s="3">
        <v>205.5</v>
      </c>
      <c r="CD158" s="3">
        <v>200</v>
      </c>
      <c r="CE158" s="3">
        <v>157.4</v>
      </c>
      <c r="CF158" s="3">
        <v>43.5</v>
      </c>
      <c r="CG158" s="3">
        <v>109.7</v>
      </c>
      <c r="CH158" s="3">
        <v>111.5</v>
      </c>
      <c r="CI158" s="3">
        <v>198.1</v>
      </c>
      <c r="CJ158" s="3">
        <v>146.69999999999999</v>
      </c>
      <c r="CK158" s="3">
        <v>132.80000000000001</v>
      </c>
      <c r="CL158" s="3">
        <v>251.1</v>
      </c>
      <c r="CM158" s="3">
        <v>132.4</v>
      </c>
      <c r="CN158" s="3">
        <v>118.7</v>
      </c>
    </row>
    <row r="159" spans="1:92" x14ac:dyDescent="0.25">
      <c r="A159" s="4">
        <v>36557</v>
      </c>
      <c r="B159" s="3">
        <v>136.6</v>
      </c>
      <c r="C159" s="3">
        <v>138.30000000000001</v>
      </c>
      <c r="D159" s="3">
        <v>157.69999999999999</v>
      </c>
      <c r="E159" s="3">
        <v>135.6</v>
      </c>
      <c r="F159" s="3">
        <v>151.1</v>
      </c>
      <c r="G159" s="3">
        <v>159</v>
      </c>
      <c r="H159" s="3">
        <v>133.9</v>
      </c>
      <c r="I159" s="3">
        <v>154.80000000000001</v>
      </c>
      <c r="J159" s="3">
        <v>109.9</v>
      </c>
      <c r="K159" s="3">
        <v>132.6</v>
      </c>
      <c r="L159" s="3">
        <v>150.1</v>
      </c>
      <c r="M159" s="3">
        <v>158.6</v>
      </c>
      <c r="N159" s="3">
        <v>142.1</v>
      </c>
      <c r="O159" s="3">
        <v>167.4</v>
      </c>
      <c r="P159" s="3">
        <v>134.69999999999999</v>
      </c>
      <c r="Q159" s="3">
        <v>156.19999999999999</v>
      </c>
      <c r="R159" s="3">
        <v>151.6</v>
      </c>
      <c r="S159" s="3">
        <v>150.30000000000001</v>
      </c>
      <c r="T159" s="3">
        <v>142.1</v>
      </c>
      <c r="U159" s="3">
        <v>162.19999999999999</v>
      </c>
      <c r="V159" s="3">
        <v>119.3</v>
      </c>
      <c r="W159" s="3">
        <v>186.1</v>
      </c>
      <c r="X159" s="3">
        <v>135.19999999999999</v>
      </c>
      <c r="Y159" s="3">
        <v>155.30000000000001</v>
      </c>
      <c r="Z159" s="3">
        <v>138.30000000000001</v>
      </c>
      <c r="AA159" s="3">
        <v>104.7</v>
      </c>
      <c r="AB159" s="3">
        <v>155.19999999999999</v>
      </c>
      <c r="AC159" s="3">
        <v>116</v>
      </c>
      <c r="AD159" s="3">
        <v>104.2</v>
      </c>
      <c r="AE159" s="3">
        <v>149.6</v>
      </c>
      <c r="AF159" s="3">
        <v>129.30000000000001</v>
      </c>
      <c r="AG159" s="3">
        <v>124.8</v>
      </c>
      <c r="AH159" s="3">
        <v>144.80000000000001</v>
      </c>
      <c r="AI159" s="3">
        <v>150.30000000000001</v>
      </c>
      <c r="AJ159" s="3">
        <v>197.4</v>
      </c>
      <c r="AK159" s="3">
        <v>228.2</v>
      </c>
      <c r="AL159" s="3">
        <v>195.2</v>
      </c>
      <c r="AM159" s="3">
        <v>199.3</v>
      </c>
      <c r="AN159" s="3">
        <v>206.7</v>
      </c>
      <c r="AO159" s="3">
        <v>160.1</v>
      </c>
      <c r="AP159" s="3">
        <v>167.4</v>
      </c>
      <c r="AQ159" s="3">
        <v>194.3</v>
      </c>
      <c r="AR159" s="3">
        <v>152.6</v>
      </c>
      <c r="AS159" s="3">
        <v>261.89999999999998</v>
      </c>
      <c r="AT159" s="3">
        <v>209.2</v>
      </c>
      <c r="AU159" s="3">
        <v>233.1</v>
      </c>
      <c r="AV159" s="3">
        <v>208.5</v>
      </c>
      <c r="AW159" s="3">
        <v>139.1</v>
      </c>
      <c r="AX159" s="3">
        <v>178.4</v>
      </c>
      <c r="AY159" s="3">
        <v>284.7</v>
      </c>
      <c r="AZ159" s="3">
        <v>213.3</v>
      </c>
      <c r="BA159" s="3">
        <v>156.4</v>
      </c>
      <c r="BB159" s="3">
        <v>202.8</v>
      </c>
      <c r="BC159" s="3">
        <v>135.30000000000001</v>
      </c>
      <c r="BD159" s="3">
        <v>131.6</v>
      </c>
      <c r="BE159" s="3">
        <v>117.8</v>
      </c>
      <c r="BF159" s="3">
        <v>143.80000000000001</v>
      </c>
      <c r="BG159" s="3">
        <v>141.80000000000001</v>
      </c>
      <c r="BH159" s="3">
        <v>144.5</v>
      </c>
      <c r="BI159" s="3">
        <v>92.8</v>
      </c>
      <c r="BJ159" s="3">
        <v>141.9</v>
      </c>
      <c r="BK159" s="3">
        <v>161</v>
      </c>
      <c r="BL159" s="3">
        <v>151.1</v>
      </c>
      <c r="BM159" s="3">
        <v>153.1</v>
      </c>
      <c r="BN159" s="3">
        <v>98</v>
      </c>
      <c r="BO159" s="3">
        <v>206.8</v>
      </c>
      <c r="BP159" s="3">
        <v>191.9</v>
      </c>
      <c r="BQ159" s="3">
        <v>111.8</v>
      </c>
      <c r="BR159" s="3">
        <v>93.3</v>
      </c>
      <c r="BS159" s="3">
        <v>113.7</v>
      </c>
      <c r="BT159" s="3">
        <v>156.1</v>
      </c>
      <c r="BU159" s="3">
        <v>114.4</v>
      </c>
      <c r="BV159" s="3">
        <v>124.9</v>
      </c>
      <c r="BW159" s="3">
        <v>189.1</v>
      </c>
      <c r="BX159" s="3">
        <v>260.5</v>
      </c>
      <c r="BY159" s="3">
        <v>128.6</v>
      </c>
      <c r="BZ159" s="3">
        <v>207.1</v>
      </c>
      <c r="CA159" s="3">
        <v>219.7</v>
      </c>
      <c r="CB159" s="3">
        <v>244.8</v>
      </c>
      <c r="CC159" s="3">
        <v>205.5</v>
      </c>
      <c r="CD159" s="3">
        <v>200.1</v>
      </c>
      <c r="CE159" s="3">
        <v>157.80000000000001</v>
      </c>
      <c r="CF159" s="3">
        <v>43.1</v>
      </c>
      <c r="CG159" s="3">
        <v>111.1</v>
      </c>
      <c r="CH159" s="3">
        <v>111.4</v>
      </c>
      <c r="CI159" s="3">
        <v>198.7</v>
      </c>
      <c r="CJ159" s="3">
        <v>146.9</v>
      </c>
      <c r="CK159" s="3">
        <v>132.80000000000001</v>
      </c>
      <c r="CL159" s="3">
        <v>253.4</v>
      </c>
      <c r="CM159" s="3">
        <v>132.69999999999999</v>
      </c>
      <c r="CN159" s="3">
        <v>118.9</v>
      </c>
    </row>
    <row r="160" spans="1:92" x14ac:dyDescent="0.25">
      <c r="A160" s="4">
        <v>36586</v>
      </c>
      <c r="B160" s="3">
        <v>135.80000000000001</v>
      </c>
      <c r="C160" s="3">
        <v>138.1</v>
      </c>
      <c r="D160" s="3">
        <v>157.80000000000001</v>
      </c>
      <c r="E160" s="3">
        <v>132.4</v>
      </c>
      <c r="F160" s="3">
        <v>151.69999999999999</v>
      </c>
      <c r="G160" s="3">
        <v>161.80000000000001</v>
      </c>
      <c r="H160" s="3">
        <v>132.9</v>
      </c>
      <c r="I160" s="3">
        <v>156.30000000000001</v>
      </c>
      <c r="J160" s="3">
        <v>109.2</v>
      </c>
      <c r="K160" s="3">
        <v>132.1</v>
      </c>
      <c r="L160" s="3">
        <v>151.1</v>
      </c>
      <c r="M160" s="3">
        <v>160.4</v>
      </c>
      <c r="N160" s="3">
        <v>142.4</v>
      </c>
      <c r="O160" s="3">
        <v>167.3</v>
      </c>
      <c r="P160" s="3">
        <v>136.69999999999999</v>
      </c>
      <c r="Q160" s="3">
        <v>158</v>
      </c>
      <c r="R160" s="3">
        <v>153.19999999999999</v>
      </c>
      <c r="S160" s="3">
        <v>150.4</v>
      </c>
      <c r="T160" s="3">
        <v>140.69999999999999</v>
      </c>
      <c r="U160" s="3">
        <v>160.69999999999999</v>
      </c>
      <c r="V160" s="3">
        <v>118.8</v>
      </c>
      <c r="W160" s="3">
        <v>187.4</v>
      </c>
      <c r="X160" s="3">
        <v>135.1</v>
      </c>
      <c r="Y160" s="3">
        <v>155.6</v>
      </c>
      <c r="Z160" s="3">
        <v>138.5</v>
      </c>
      <c r="AA160" s="3">
        <v>105.3</v>
      </c>
      <c r="AB160" s="3">
        <v>155.1</v>
      </c>
      <c r="AC160" s="3">
        <v>107.9</v>
      </c>
      <c r="AD160" s="3">
        <v>94.6</v>
      </c>
      <c r="AE160" s="3">
        <v>148.9</v>
      </c>
      <c r="AF160" s="3">
        <v>128.4</v>
      </c>
      <c r="AG160" s="3">
        <v>123.8</v>
      </c>
      <c r="AH160" s="3">
        <v>145.1</v>
      </c>
      <c r="AI160" s="3">
        <v>149.30000000000001</v>
      </c>
      <c r="AJ160" s="3">
        <v>197.7</v>
      </c>
      <c r="AK160" s="3">
        <v>229.7</v>
      </c>
      <c r="AL160" s="3">
        <v>195.3</v>
      </c>
      <c r="AM160" s="3">
        <v>199.9</v>
      </c>
      <c r="AN160" s="3">
        <v>207.3</v>
      </c>
      <c r="AO160" s="3">
        <v>160.69999999999999</v>
      </c>
      <c r="AP160" s="3">
        <v>167.5</v>
      </c>
      <c r="AQ160" s="3">
        <v>194.8</v>
      </c>
      <c r="AR160" s="3">
        <v>152.30000000000001</v>
      </c>
      <c r="AS160" s="3">
        <v>262</v>
      </c>
      <c r="AT160" s="3">
        <v>209.5</v>
      </c>
      <c r="AU160" s="3">
        <v>233.1</v>
      </c>
      <c r="AV160" s="3">
        <v>217</v>
      </c>
      <c r="AW160" s="3">
        <v>139.6</v>
      </c>
      <c r="AX160" s="3">
        <v>178.4</v>
      </c>
      <c r="AY160" s="3">
        <v>284.7</v>
      </c>
      <c r="AZ160" s="3">
        <v>213.1</v>
      </c>
      <c r="BA160" s="3">
        <v>154.9</v>
      </c>
      <c r="BB160" s="3">
        <v>204</v>
      </c>
      <c r="BC160" s="3">
        <v>135.69999999999999</v>
      </c>
      <c r="BD160" s="3">
        <v>131.6</v>
      </c>
      <c r="BE160" s="3">
        <v>117.8</v>
      </c>
      <c r="BF160" s="3">
        <v>146.80000000000001</v>
      </c>
      <c r="BG160" s="3">
        <v>145.80000000000001</v>
      </c>
      <c r="BH160" s="3">
        <v>148.30000000000001</v>
      </c>
      <c r="BI160" s="3">
        <v>92.4</v>
      </c>
      <c r="BJ160" s="3">
        <v>143.1</v>
      </c>
      <c r="BK160" s="3">
        <v>160.30000000000001</v>
      </c>
      <c r="BL160" s="3">
        <v>151.1</v>
      </c>
      <c r="BM160" s="3">
        <v>153.1</v>
      </c>
      <c r="BN160" s="3">
        <v>97.9</v>
      </c>
      <c r="BO160" s="3">
        <v>207.5</v>
      </c>
      <c r="BP160" s="3">
        <v>192.3</v>
      </c>
      <c r="BQ160" s="3">
        <v>114.4</v>
      </c>
      <c r="BR160" s="3">
        <v>94.5</v>
      </c>
      <c r="BS160" s="3">
        <v>113.8</v>
      </c>
      <c r="BT160" s="3">
        <v>158.5</v>
      </c>
      <c r="BU160" s="3">
        <v>116.4</v>
      </c>
      <c r="BV160" s="3">
        <v>125.7</v>
      </c>
      <c r="BW160" s="3">
        <v>189.2</v>
      </c>
      <c r="BX160" s="3">
        <v>261.60000000000002</v>
      </c>
      <c r="BY160" s="3">
        <v>129.19999999999999</v>
      </c>
      <c r="BZ160" s="3">
        <v>207.8</v>
      </c>
      <c r="CA160" s="3">
        <v>227.7</v>
      </c>
      <c r="CB160" s="3">
        <v>248.1</v>
      </c>
      <c r="CC160" s="3">
        <v>205.5</v>
      </c>
      <c r="CD160" s="3">
        <v>200.1</v>
      </c>
      <c r="CE160" s="3">
        <v>158</v>
      </c>
      <c r="CF160" s="3">
        <v>42.5</v>
      </c>
      <c r="CG160" s="3">
        <v>109.4</v>
      </c>
      <c r="CH160" s="3">
        <v>111</v>
      </c>
      <c r="CI160" s="3">
        <v>199.3</v>
      </c>
      <c r="CJ160" s="3">
        <v>146.30000000000001</v>
      </c>
      <c r="CK160" s="3">
        <v>132.80000000000001</v>
      </c>
      <c r="CL160" s="3">
        <v>254.3</v>
      </c>
      <c r="CM160" s="3">
        <v>133.4</v>
      </c>
      <c r="CN160" s="3">
        <v>119.2</v>
      </c>
    </row>
    <row r="161" spans="1:92" x14ac:dyDescent="0.25">
      <c r="A161" s="4">
        <v>36617</v>
      </c>
      <c r="B161" s="3">
        <v>135.1</v>
      </c>
      <c r="C161" s="3">
        <v>137.80000000000001</v>
      </c>
      <c r="D161" s="3">
        <v>158.30000000000001</v>
      </c>
      <c r="E161" s="3">
        <v>133.30000000000001</v>
      </c>
      <c r="F161" s="3">
        <v>155.5</v>
      </c>
      <c r="G161" s="3">
        <v>167</v>
      </c>
      <c r="H161" s="3">
        <v>131.69999999999999</v>
      </c>
      <c r="I161" s="3">
        <v>155.19999999999999</v>
      </c>
      <c r="J161" s="3">
        <v>103.6</v>
      </c>
      <c r="K161" s="3">
        <v>132.4</v>
      </c>
      <c r="L161" s="3">
        <v>150.5</v>
      </c>
      <c r="M161" s="3">
        <v>160.19999999999999</v>
      </c>
      <c r="N161" s="3">
        <v>141.4</v>
      </c>
      <c r="O161" s="3">
        <v>166.5</v>
      </c>
      <c r="P161" s="3">
        <v>137.1</v>
      </c>
      <c r="Q161" s="3">
        <v>157</v>
      </c>
      <c r="R161" s="3">
        <v>151.5</v>
      </c>
      <c r="S161" s="3">
        <v>150.4</v>
      </c>
      <c r="T161" s="3">
        <v>140.9</v>
      </c>
      <c r="U161" s="3">
        <v>155.4</v>
      </c>
      <c r="V161" s="3">
        <v>117.3</v>
      </c>
      <c r="W161" s="3">
        <v>186.9</v>
      </c>
      <c r="X161" s="3">
        <v>134.6</v>
      </c>
      <c r="Y161" s="3">
        <v>155.9</v>
      </c>
      <c r="Z161" s="3">
        <v>134.6</v>
      </c>
      <c r="AA161" s="3">
        <v>98.3</v>
      </c>
      <c r="AB161" s="3">
        <v>153.80000000000001</v>
      </c>
      <c r="AC161" s="3">
        <v>107.9</v>
      </c>
      <c r="AD161" s="3">
        <v>94.5</v>
      </c>
      <c r="AE161" s="3">
        <v>149.5</v>
      </c>
      <c r="AF161" s="3">
        <v>130.19999999999999</v>
      </c>
      <c r="AG161" s="3">
        <v>125.8</v>
      </c>
      <c r="AH161" s="3">
        <v>144.80000000000001</v>
      </c>
      <c r="AI161" s="3">
        <v>152</v>
      </c>
      <c r="AJ161" s="3">
        <v>198.2</v>
      </c>
      <c r="AK161" s="3">
        <v>230.8</v>
      </c>
      <c r="AL161" s="3">
        <v>195.9</v>
      </c>
      <c r="AM161" s="3">
        <v>201.1</v>
      </c>
      <c r="AN161" s="3">
        <v>208.7</v>
      </c>
      <c r="AO161" s="3">
        <v>161.30000000000001</v>
      </c>
      <c r="AP161" s="3">
        <v>167</v>
      </c>
      <c r="AQ161" s="3">
        <v>195.7</v>
      </c>
      <c r="AR161" s="3">
        <v>151.19999999999999</v>
      </c>
      <c r="AS161" s="3">
        <v>278.8</v>
      </c>
      <c r="AT161" s="3">
        <v>218.2</v>
      </c>
      <c r="AU161" s="3">
        <v>237.2</v>
      </c>
      <c r="AV161" s="3">
        <v>237.9</v>
      </c>
      <c r="AW161" s="3">
        <v>140.6</v>
      </c>
      <c r="AX161" s="3">
        <v>189.4</v>
      </c>
      <c r="AY161" s="3">
        <v>257.8</v>
      </c>
      <c r="AZ161" s="3">
        <v>215</v>
      </c>
      <c r="BA161" s="3">
        <v>155.4</v>
      </c>
      <c r="BB161" s="3">
        <v>205.1</v>
      </c>
      <c r="BC161" s="3">
        <v>135.30000000000001</v>
      </c>
      <c r="BD161" s="3">
        <v>131.1</v>
      </c>
      <c r="BE161" s="3">
        <v>114.6</v>
      </c>
      <c r="BF161" s="3">
        <v>144.30000000000001</v>
      </c>
      <c r="BG161" s="3">
        <v>146.6</v>
      </c>
      <c r="BH161" s="3">
        <v>146.30000000000001</v>
      </c>
      <c r="BI161" s="3">
        <v>92.5</v>
      </c>
      <c r="BJ161" s="3">
        <v>143</v>
      </c>
      <c r="BK161" s="3">
        <v>161.1</v>
      </c>
      <c r="BL161" s="3">
        <v>151.30000000000001</v>
      </c>
      <c r="BM161" s="3">
        <v>153.1</v>
      </c>
      <c r="BN161" s="3">
        <v>97.1</v>
      </c>
      <c r="BO161" s="3">
        <v>208</v>
      </c>
      <c r="BP161" s="3">
        <v>192.4</v>
      </c>
      <c r="BQ161" s="3">
        <v>113.7</v>
      </c>
      <c r="BR161" s="3">
        <v>97.3</v>
      </c>
      <c r="BS161" s="3">
        <v>114.9</v>
      </c>
      <c r="BT161" s="3">
        <v>158</v>
      </c>
      <c r="BU161" s="3">
        <v>116.7</v>
      </c>
      <c r="BV161" s="3">
        <v>124</v>
      </c>
      <c r="BW161" s="3">
        <v>189.1</v>
      </c>
      <c r="BX161" s="3">
        <v>264.3</v>
      </c>
      <c r="BY161" s="3">
        <v>129.6</v>
      </c>
      <c r="BZ161" s="3">
        <v>208.5</v>
      </c>
      <c r="CA161" s="3">
        <v>232.5</v>
      </c>
      <c r="CB161" s="3">
        <v>250.9</v>
      </c>
      <c r="CC161" s="3">
        <v>205.7</v>
      </c>
      <c r="CD161" s="3">
        <v>201.4</v>
      </c>
      <c r="CE161" s="3">
        <v>160.5</v>
      </c>
      <c r="CF161" s="3">
        <v>42.2</v>
      </c>
      <c r="CG161" s="3">
        <v>109.6</v>
      </c>
      <c r="CH161" s="3">
        <v>111.1</v>
      </c>
      <c r="CI161" s="3">
        <v>199.5</v>
      </c>
      <c r="CJ161" s="3">
        <v>147</v>
      </c>
      <c r="CK161" s="3">
        <v>134.5</v>
      </c>
      <c r="CL161" s="3">
        <v>256.3</v>
      </c>
      <c r="CM161" s="3">
        <v>133.4</v>
      </c>
      <c r="CN161" s="3">
        <v>119.8</v>
      </c>
    </row>
    <row r="162" spans="1:92" x14ac:dyDescent="0.25">
      <c r="A162" s="4">
        <v>36647</v>
      </c>
      <c r="B162" s="3">
        <v>135.69999999999999</v>
      </c>
      <c r="C162" s="3">
        <v>138.1</v>
      </c>
      <c r="D162" s="3">
        <v>157</v>
      </c>
      <c r="E162" s="3">
        <v>133.1</v>
      </c>
      <c r="F162" s="3">
        <v>156.69999999999999</v>
      </c>
      <c r="G162" s="3">
        <v>170.2</v>
      </c>
      <c r="H162" s="3">
        <v>134.19999999999999</v>
      </c>
      <c r="I162" s="3">
        <v>154.6</v>
      </c>
      <c r="J162" s="3">
        <v>108.8</v>
      </c>
      <c r="K162" s="3">
        <v>132.5</v>
      </c>
      <c r="L162" s="3">
        <v>150.30000000000001</v>
      </c>
      <c r="M162" s="3">
        <v>159.30000000000001</v>
      </c>
      <c r="N162" s="3">
        <v>141.9</v>
      </c>
      <c r="O162" s="3">
        <v>166</v>
      </c>
      <c r="P162" s="3">
        <v>136.1</v>
      </c>
      <c r="Q162" s="3">
        <v>157.69999999999999</v>
      </c>
      <c r="R162" s="3">
        <v>151.1</v>
      </c>
      <c r="S162" s="3">
        <v>150.4</v>
      </c>
      <c r="T162" s="3">
        <v>139.9</v>
      </c>
      <c r="U162" s="3">
        <v>155</v>
      </c>
      <c r="V162" s="3">
        <v>115.3</v>
      </c>
      <c r="W162" s="3">
        <v>188.9</v>
      </c>
      <c r="X162" s="3">
        <v>133.80000000000001</v>
      </c>
      <c r="Y162" s="3">
        <v>157.5</v>
      </c>
      <c r="Z162" s="3">
        <v>139.4</v>
      </c>
      <c r="AA162" s="3">
        <v>108.6</v>
      </c>
      <c r="AB162" s="3">
        <v>154.4</v>
      </c>
      <c r="AC162" s="3">
        <v>110.8</v>
      </c>
      <c r="AD162" s="3">
        <v>98</v>
      </c>
      <c r="AE162" s="3">
        <v>149.19999999999999</v>
      </c>
      <c r="AF162" s="3">
        <v>134.69999999999999</v>
      </c>
      <c r="AG162" s="3">
        <v>130.80000000000001</v>
      </c>
      <c r="AH162" s="3">
        <v>145.6</v>
      </c>
      <c r="AI162" s="3">
        <v>151.9</v>
      </c>
      <c r="AJ162" s="3">
        <v>199.3</v>
      </c>
      <c r="AK162" s="3">
        <v>232.9</v>
      </c>
      <c r="AL162" s="3">
        <v>196.9</v>
      </c>
      <c r="AM162" s="3">
        <v>202.2</v>
      </c>
      <c r="AN162" s="3">
        <v>210.2</v>
      </c>
      <c r="AO162" s="3">
        <v>161.1</v>
      </c>
      <c r="AP162" s="3">
        <v>167.6</v>
      </c>
      <c r="AQ162" s="3">
        <v>196.7</v>
      </c>
      <c r="AR162" s="3">
        <v>151.5</v>
      </c>
      <c r="AS162" s="3">
        <v>278.89999999999998</v>
      </c>
      <c r="AT162" s="3">
        <v>218.3</v>
      </c>
      <c r="AU162" s="3">
        <v>237.4</v>
      </c>
      <c r="AV162" s="3">
        <v>239.2</v>
      </c>
      <c r="AW162" s="3">
        <v>142.9</v>
      </c>
      <c r="AX162" s="3">
        <v>189.4</v>
      </c>
      <c r="AY162" s="3">
        <v>257.8</v>
      </c>
      <c r="AZ162" s="3">
        <v>216.8</v>
      </c>
      <c r="BA162" s="3">
        <v>154.5</v>
      </c>
      <c r="BB162" s="3">
        <v>205.9</v>
      </c>
      <c r="BC162" s="3">
        <v>132</v>
      </c>
      <c r="BD162" s="3">
        <v>129.80000000000001</v>
      </c>
      <c r="BE162" s="3">
        <v>114.5</v>
      </c>
      <c r="BF162" s="3">
        <v>142.1</v>
      </c>
      <c r="BG162" s="3">
        <v>146.4</v>
      </c>
      <c r="BH162" s="3">
        <v>149</v>
      </c>
      <c r="BI162" s="3">
        <v>92.3</v>
      </c>
      <c r="BJ162" s="3">
        <v>143</v>
      </c>
      <c r="BK162" s="3">
        <v>160.9</v>
      </c>
      <c r="BL162" s="3">
        <v>151.1</v>
      </c>
      <c r="BM162" s="3">
        <v>157.6</v>
      </c>
      <c r="BN162" s="3">
        <v>96.3</v>
      </c>
      <c r="BO162" s="3">
        <v>208.9</v>
      </c>
      <c r="BP162" s="3">
        <v>192.4</v>
      </c>
      <c r="BQ162" s="3">
        <v>114.1</v>
      </c>
      <c r="BR162" s="3">
        <v>97</v>
      </c>
      <c r="BS162" s="3">
        <v>113.4</v>
      </c>
      <c r="BT162" s="3">
        <v>158.6</v>
      </c>
      <c r="BU162" s="3">
        <v>117</v>
      </c>
      <c r="BV162" s="3">
        <v>124.5</v>
      </c>
      <c r="BW162" s="3">
        <v>190.3</v>
      </c>
      <c r="BX162" s="3">
        <v>265.10000000000002</v>
      </c>
      <c r="BY162" s="3">
        <v>129.69999999999999</v>
      </c>
      <c r="BZ162" s="3">
        <v>210.3</v>
      </c>
      <c r="CA162" s="3">
        <v>231.4</v>
      </c>
      <c r="CB162" s="3">
        <v>251.3</v>
      </c>
      <c r="CC162" s="3">
        <v>205.8</v>
      </c>
      <c r="CD162" s="3">
        <v>202.7</v>
      </c>
      <c r="CE162" s="3">
        <v>161</v>
      </c>
      <c r="CF162" s="3">
        <v>42</v>
      </c>
      <c r="CG162" s="3">
        <v>110.1</v>
      </c>
      <c r="CH162" s="3">
        <v>111.2</v>
      </c>
      <c r="CI162" s="3">
        <v>199.9</v>
      </c>
      <c r="CJ162" s="3">
        <v>148.4</v>
      </c>
      <c r="CK162" s="3">
        <v>134.5</v>
      </c>
      <c r="CL162" s="3">
        <v>258</v>
      </c>
      <c r="CM162" s="3">
        <v>134</v>
      </c>
      <c r="CN162" s="3">
        <v>121</v>
      </c>
    </row>
    <row r="163" spans="1:92" x14ac:dyDescent="0.25">
      <c r="A163" s="4">
        <v>36678</v>
      </c>
      <c r="B163" s="3">
        <v>135.69999999999999</v>
      </c>
      <c r="C163" s="3">
        <v>137.69999999999999</v>
      </c>
      <c r="D163" s="3">
        <v>157.19999999999999</v>
      </c>
      <c r="E163" s="3">
        <v>132.1</v>
      </c>
      <c r="F163" s="3">
        <v>155.69999999999999</v>
      </c>
      <c r="G163" s="3">
        <v>167.4</v>
      </c>
      <c r="H163" s="3">
        <v>132.1</v>
      </c>
      <c r="I163" s="3">
        <v>154.6</v>
      </c>
      <c r="J163" s="3">
        <v>109.6</v>
      </c>
      <c r="K163" s="3">
        <v>132.6</v>
      </c>
      <c r="L163" s="3">
        <v>150.69999999999999</v>
      </c>
      <c r="M163" s="3">
        <v>159.80000000000001</v>
      </c>
      <c r="N163" s="3">
        <v>142.19999999999999</v>
      </c>
      <c r="O163" s="3">
        <v>166.4</v>
      </c>
      <c r="P163" s="3">
        <v>135.69999999999999</v>
      </c>
      <c r="Q163" s="3">
        <v>157.4</v>
      </c>
      <c r="R163" s="3">
        <v>151.19999999999999</v>
      </c>
      <c r="S163" s="3">
        <v>150.4</v>
      </c>
      <c r="T163" s="3">
        <v>140.1</v>
      </c>
      <c r="U163" s="3">
        <v>150.69999999999999</v>
      </c>
      <c r="V163" s="3">
        <v>116.5</v>
      </c>
      <c r="W163" s="3">
        <v>188.4</v>
      </c>
      <c r="X163" s="3">
        <v>132.1</v>
      </c>
      <c r="Y163" s="3">
        <v>158</v>
      </c>
      <c r="Z163" s="3">
        <v>144.6</v>
      </c>
      <c r="AA163" s="3">
        <v>121.3</v>
      </c>
      <c r="AB163" s="3">
        <v>153.9</v>
      </c>
      <c r="AC163" s="3">
        <v>110.9</v>
      </c>
      <c r="AD163" s="3">
        <v>98.4</v>
      </c>
      <c r="AE163" s="3">
        <v>148</v>
      </c>
      <c r="AF163" s="3">
        <v>136.30000000000001</v>
      </c>
      <c r="AG163" s="3">
        <v>132.6</v>
      </c>
      <c r="AH163" s="3">
        <v>145.9</v>
      </c>
      <c r="AI163" s="3">
        <v>151.4</v>
      </c>
      <c r="AJ163" s="3">
        <v>199.7</v>
      </c>
      <c r="AK163" s="3">
        <v>234.5</v>
      </c>
      <c r="AL163" s="3">
        <v>196.9</v>
      </c>
      <c r="AM163" s="3">
        <v>202.5</v>
      </c>
      <c r="AN163" s="3">
        <v>210.7</v>
      </c>
      <c r="AO163" s="3">
        <v>160.9</v>
      </c>
      <c r="AP163" s="3">
        <v>168</v>
      </c>
      <c r="AQ163" s="3">
        <v>197.3</v>
      </c>
      <c r="AR163" s="3">
        <v>151.80000000000001</v>
      </c>
      <c r="AS163" s="3">
        <v>279.5</v>
      </c>
      <c r="AT163" s="3">
        <v>218.1</v>
      </c>
      <c r="AU163" s="3">
        <v>237.8</v>
      </c>
      <c r="AV163" s="3">
        <v>240.6</v>
      </c>
      <c r="AW163" s="3">
        <v>145.9</v>
      </c>
      <c r="AX163" s="3">
        <v>189.4</v>
      </c>
      <c r="AY163" s="3">
        <v>257.8</v>
      </c>
      <c r="AZ163" s="3">
        <v>217.1</v>
      </c>
      <c r="BA163" s="3">
        <v>153.9</v>
      </c>
      <c r="BB163" s="3">
        <v>207.4</v>
      </c>
      <c r="BC163" s="3">
        <v>131.1</v>
      </c>
      <c r="BD163" s="3">
        <v>128.6</v>
      </c>
      <c r="BE163" s="3">
        <v>114.4</v>
      </c>
      <c r="BF163" s="3">
        <v>144.69999999999999</v>
      </c>
      <c r="BG163" s="3">
        <v>146</v>
      </c>
      <c r="BH163" s="3">
        <v>146.6</v>
      </c>
      <c r="BI163" s="3">
        <v>92.2</v>
      </c>
      <c r="BJ163" s="3">
        <v>142.69999999999999</v>
      </c>
      <c r="BK163" s="3">
        <v>161.4</v>
      </c>
      <c r="BL163" s="3">
        <v>151.30000000000001</v>
      </c>
      <c r="BM163" s="3">
        <v>157.6</v>
      </c>
      <c r="BN163" s="3">
        <v>96</v>
      </c>
      <c r="BO163" s="3">
        <v>209.6</v>
      </c>
      <c r="BP163" s="3">
        <v>193.2</v>
      </c>
      <c r="BQ163" s="3">
        <v>112</v>
      </c>
      <c r="BR163" s="3">
        <v>96.6</v>
      </c>
      <c r="BS163" s="3">
        <v>112.9</v>
      </c>
      <c r="BT163" s="3">
        <v>157.6</v>
      </c>
      <c r="BU163" s="3">
        <v>117.1</v>
      </c>
      <c r="BV163" s="3">
        <v>124.3</v>
      </c>
      <c r="BW163" s="3">
        <v>188.9</v>
      </c>
      <c r="BX163" s="3">
        <v>265.5</v>
      </c>
      <c r="BY163" s="3">
        <v>128.6</v>
      </c>
      <c r="BZ163" s="3">
        <v>210.5</v>
      </c>
      <c r="CA163" s="3">
        <v>242.6</v>
      </c>
      <c r="CB163" s="3">
        <v>250.7</v>
      </c>
      <c r="CC163" s="3">
        <v>205.6</v>
      </c>
      <c r="CD163" s="3">
        <v>205.2</v>
      </c>
      <c r="CE163" s="3">
        <v>161.4</v>
      </c>
      <c r="CF163" s="3">
        <v>40.6</v>
      </c>
      <c r="CG163" s="3">
        <v>109.9</v>
      </c>
      <c r="CH163" s="3">
        <v>110.8</v>
      </c>
      <c r="CI163" s="3">
        <v>199.8</v>
      </c>
      <c r="CJ163" s="3">
        <v>148.69999999999999</v>
      </c>
      <c r="CK163" s="3">
        <v>134.5</v>
      </c>
      <c r="CL163" s="3">
        <v>258.5</v>
      </c>
      <c r="CM163" s="3">
        <v>135.4</v>
      </c>
      <c r="CN163" s="3">
        <v>121.6</v>
      </c>
    </row>
    <row r="164" spans="1:92" x14ac:dyDescent="0.25">
      <c r="A164" s="4">
        <v>36708</v>
      </c>
      <c r="B164" s="3">
        <v>137.1</v>
      </c>
      <c r="C164" s="3">
        <v>137.80000000000001</v>
      </c>
      <c r="D164" s="3">
        <v>157.69999999999999</v>
      </c>
      <c r="E164" s="3">
        <v>134.1</v>
      </c>
      <c r="F164" s="3">
        <v>153.30000000000001</v>
      </c>
      <c r="G164" s="3">
        <v>160.80000000000001</v>
      </c>
      <c r="H164" s="3">
        <v>133.4</v>
      </c>
      <c r="I164" s="3">
        <v>157</v>
      </c>
      <c r="J164" s="3">
        <v>110</v>
      </c>
      <c r="K164" s="3">
        <v>132.4</v>
      </c>
      <c r="L164" s="3">
        <v>152</v>
      </c>
      <c r="M164" s="3">
        <v>163.1</v>
      </c>
      <c r="N164" s="3">
        <v>141.6</v>
      </c>
      <c r="O164" s="3">
        <v>165.8</v>
      </c>
      <c r="P164" s="3">
        <v>135.80000000000001</v>
      </c>
      <c r="Q164" s="3">
        <v>155.1</v>
      </c>
      <c r="R164" s="3">
        <v>152.5</v>
      </c>
      <c r="S164" s="3">
        <v>150.5</v>
      </c>
      <c r="T164" s="3">
        <v>139.1</v>
      </c>
      <c r="U164" s="3">
        <v>153</v>
      </c>
      <c r="V164" s="3">
        <v>116.1</v>
      </c>
      <c r="W164" s="3">
        <v>188.3</v>
      </c>
      <c r="X164" s="3">
        <v>132.6</v>
      </c>
      <c r="Y164" s="3">
        <v>158.30000000000001</v>
      </c>
      <c r="Z164" s="3">
        <v>171.7</v>
      </c>
      <c r="AA164" s="3">
        <v>185.1</v>
      </c>
      <c r="AB164" s="3">
        <v>153.30000000000001</v>
      </c>
      <c r="AC164" s="3">
        <v>108.9</v>
      </c>
      <c r="AD164" s="3">
        <v>95.9</v>
      </c>
      <c r="AE164" s="3">
        <v>148.1</v>
      </c>
      <c r="AF164" s="3">
        <v>133.6</v>
      </c>
      <c r="AG164" s="3">
        <v>129.4</v>
      </c>
      <c r="AH164" s="3">
        <v>146.5</v>
      </c>
      <c r="AI164" s="3">
        <v>151.5</v>
      </c>
      <c r="AJ164" s="3">
        <v>200.3</v>
      </c>
      <c r="AK164" s="3">
        <v>234.8</v>
      </c>
      <c r="AL164" s="3">
        <v>197.8</v>
      </c>
      <c r="AM164" s="3">
        <v>202.5</v>
      </c>
      <c r="AN164" s="3">
        <v>210.8</v>
      </c>
      <c r="AO164" s="3">
        <v>160.80000000000001</v>
      </c>
      <c r="AP164" s="3">
        <v>167.6</v>
      </c>
      <c r="AQ164" s="3">
        <v>197.4</v>
      </c>
      <c r="AR164" s="3">
        <v>151.1</v>
      </c>
      <c r="AS164" s="3">
        <v>279.60000000000002</v>
      </c>
      <c r="AT164" s="3">
        <v>218.6</v>
      </c>
      <c r="AU164" s="3">
        <v>238.6</v>
      </c>
      <c r="AV164" s="3">
        <v>242.1</v>
      </c>
      <c r="AW164" s="3">
        <v>146.4</v>
      </c>
      <c r="AX164" s="3">
        <v>189.4</v>
      </c>
      <c r="AY164" s="3">
        <v>257.8</v>
      </c>
      <c r="AZ164" s="3">
        <v>219.9</v>
      </c>
      <c r="BA164" s="3">
        <v>153.5</v>
      </c>
      <c r="BB164" s="3">
        <v>207.7</v>
      </c>
      <c r="BC164" s="3">
        <v>130.80000000000001</v>
      </c>
      <c r="BD164" s="3">
        <v>127.8</v>
      </c>
      <c r="BE164" s="3">
        <v>114.4</v>
      </c>
      <c r="BF164" s="3">
        <v>154</v>
      </c>
      <c r="BG164" s="3">
        <v>144.19999999999999</v>
      </c>
      <c r="BH164" s="3">
        <v>142.19999999999999</v>
      </c>
      <c r="BI164" s="3">
        <v>88.1</v>
      </c>
      <c r="BJ164" s="3">
        <v>138.69999999999999</v>
      </c>
      <c r="BK164" s="3">
        <v>162.19999999999999</v>
      </c>
      <c r="BL164" s="3">
        <v>151.5</v>
      </c>
      <c r="BM164" s="3">
        <v>157.6</v>
      </c>
      <c r="BN164" s="3">
        <v>97.1</v>
      </c>
      <c r="BO164" s="3">
        <v>210.6</v>
      </c>
      <c r="BP164" s="3">
        <v>193.4</v>
      </c>
      <c r="BQ164" s="3">
        <v>104.5</v>
      </c>
      <c r="BR164" s="3">
        <v>86</v>
      </c>
      <c r="BS164" s="3">
        <v>106.5</v>
      </c>
      <c r="BT164" s="3">
        <v>153</v>
      </c>
      <c r="BU164" s="3">
        <v>112.4</v>
      </c>
      <c r="BV164" s="3">
        <v>122.5</v>
      </c>
      <c r="BW164" s="3">
        <v>190.5</v>
      </c>
      <c r="BX164" s="3">
        <v>267.5</v>
      </c>
      <c r="BY164" s="3">
        <v>127</v>
      </c>
      <c r="BZ164" s="3">
        <v>210.9</v>
      </c>
      <c r="CA164" s="3">
        <v>244.5</v>
      </c>
      <c r="CB164" s="3">
        <v>251.5</v>
      </c>
      <c r="CC164" s="3">
        <v>206.3</v>
      </c>
      <c r="CD164" s="3">
        <v>206.3</v>
      </c>
      <c r="CE164" s="3">
        <v>161.1</v>
      </c>
      <c r="CF164" s="3">
        <v>39.6</v>
      </c>
      <c r="CG164" s="3">
        <v>108.5</v>
      </c>
      <c r="CH164" s="3">
        <v>110</v>
      </c>
      <c r="CI164" s="3">
        <v>200.3</v>
      </c>
      <c r="CJ164" s="3">
        <v>147.69999999999999</v>
      </c>
      <c r="CK164" s="3">
        <v>134.6</v>
      </c>
      <c r="CL164" s="3">
        <v>258.3</v>
      </c>
      <c r="CM164" s="3">
        <v>136.19999999999999</v>
      </c>
      <c r="CN164" s="3">
        <v>123.5</v>
      </c>
    </row>
    <row r="165" spans="1:92" x14ac:dyDescent="0.25">
      <c r="A165" s="4">
        <v>36739</v>
      </c>
      <c r="B165" s="3">
        <v>135.69999999999999</v>
      </c>
      <c r="C165" s="3">
        <v>137.6</v>
      </c>
      <c r="D165" s="3">
        <v>158</v>
      </c>
      <c r="E165" s="3">
        <v>132.30000000000001</v>
      </c>
      <c r="F165" s="3">
        <v>149.9</v>
      </c>
      <c r="G165" s="3">
        <v>154.6</v>
      </c>
      <c r="H165" s="3">
        <v>136.9</v>
      </c>
      <c r="I165" s="3">
        <v>158.69999999999999</v>
      </c>
      <c r="J165" s="3">
        <v>109.9</v>
      </c>
      <c r="K165" s="3">
        <v>133.4</v>
      </c>
      <c r="L165" s="3">
        <v>151</v>
      </c>
      <c r="M165" s="3">
        <v>161.4</v>
      </c>
      <c r="N165" s="3">
        <v>141.4</v>
      </c>
      <c r="O165" s="3">
        <v>166.2</v>
      </c>
      <c r="P165" s="3">
        <v>134.6</v>
      </c>
      <c r="Q165" s="3">
        <v>157.30000000000001</v>
      </c>
      <c r="R165" s="3">
        <v>153</v>
      </c>
      <c r="S165" s="3">
        <v>150.4</v>
      </c>
      <c r="T165" s="3">
        <v>140.80000000000001</v>
      </c>
      <c r="U165" s="3">
        <v>157.6</v>
      </c>
      <c r="V165" s="3">
        <v>116.7</v>
      </c>
      <c r="W165" s="3">
        <v>186.9</v>
      </c>
      <c r="X165" s="3">
        <v>130.69999999999999</v>
      </c>
      <c r="Y165" s="3">
        <v>158.5</v>
      </c>
      <c r="Z165" s="3">
        <v>160.69999999999999</v>
      </c>
      <c r="AA165" s="3">
        <v>159.4</v>
      </c>
      <c r="AB165" s="3">
        <v>153.30000000000001</v>
      </c>
      <c r="AC165" s="3">
        <v>103.4</v>
      </c>
      <c r="AD165" s="3">
        <v>89.5</v>
      </c>
      <c r="AE165" s="3">
        <v>147.6</v>
      </c>
      <c r="AF165" s="3">
        <v>131.69999999999999</v>
      </c>
      <c r="AG165" s="3">
        <v>127.2</v>
      </c>
      <c r="AH165" s="3">
        <v>147</v>
      </c>
      <c r="AI165" s="3">
        <v>150.4</v>
      </c>
      <c r="AJ165" s="3">
        <v>200.9</v>
      </c>
      <c r="AK165" s="3">
        <v>235.9</v>
      </c>
      <c r="AL165" s="3">
        <v>198.1</v>
      </c>
      <c r="AM165" s="3">
        <v>203</v>
      </c>
      <c r="AN165" s="3">
        <v>211.3</v>
      </c>
      <c r="AO165" s="3">
        <v>160.9</v>
      </c>
      <c r="AP165" s="3">
        <v>167.5</v>
      </c>
      <c r="AQ165" s="3">
        <v>198.1</v>
      </c>
      <c r="AR165" s="3">
        <v>150.6</v>
      </c>
      <c r="AS165" s="3">
        <v>281.2</v>
      </c>
      <c r="AT165" s="3">
        <v>220.2</v>
      </c>
      <c r="AU165" s="3">
        <v>238.9</v>
      </c>
      <c r="AV165" s="3">
        <v>243.3</v>
      </c>
      <c r="AW165" s="3">
        <v>147.80000000000001</v>
      </c>
      <c r="AX165" s="3">
        <v>189.4</v>
      </c>
      <c r="AY165" s="3">
        <v>257.8</v>
      </c>
      <c r="AZ165" s="3">
        <v>221</v>
      </c>
      <c r="BA165" s="3">
        <v>154.4</v>
      </c>
      <c r="BB165" s="3">
        <v>208.1</v>
      </c>
      <c r="BC165" s="3">
        <v>131.1</v>
      </c>
      <c r="BD165" s="3">
        <v>127.7</v>
      </c>
      <c r="BE165" s="3">
        <v>114.4</v>
      </c>
      <c r="BF165" s="3">
        <v>154.9</v>
      </c>
      <c r="BG165" s="3">
        <v>143.69999999999999</v>
      </c>
      <c r="BH165" s="3">
        <v>143.69999999999999</v>
      </c>
      <c r="BI165" s="3">
        <v>90.4</v>
      </c>
      <c r="BJ165" s="3">
        <v>140.80000000000001</v>
      </c>
      <c r="BK165" s="3">
        <v>162.1</v>
      </c>
      <c r="BL165" s="3">
        <v>151.69999999999999</v>
      </c>
      <c r="BM165" s="3">
        <v>157.6</v>
      </c>
      <c r="BN165" s="3">
        <v>95</v>
      </c>
      <c r="BO165" s="3">
        <v>211.7</v>
      </c>
      <c r="BP165" s="3">
        <v>193.8</v>
      </c>
      <c r="BQ165" s="3">
        <v>106.5</v>
      </c>
      <c r="BR165" s="3">
        <v>88.1</v>
      </c>
      <c r="BS165" s="3">
        <v>108.3</v>
      </c>
      <c r="BT165" s="3">
        <v>155.30000000000001</v>
      </c>
      <c r="BU165" s="3">
        <v>113</v>
      </c>
      <c r="BV165" s="3">
        <v>123.8</v>
      </c>
      <c r="BW165" s="3">
        <v>191.1</v>
      </c>
      <c r="BX165" s="3">
        <v>267.39999999999998</v>
      </c>
      <c r="BY165" s="3">
        <v>125.5</v>
      </c>
      <c r="BZ165" s="3">
        <v>211.8</v>
      </c>
      <c r="CA165" s="3">
        <v>234.3</v>
      </c>
      <c r="CB165" s="3">
        <v>253.3</v>
      </c>
      <c r="CC165" s="3">
        <v>206.1</v>
      </c>
      <c r="CD165" s="3">
        <v>206.6</v>
      </c>
      <c r="CE165" s="3">
        <v>163</v>
      </c>
      <c r="CF165" s="3">
        <v>39.5</v>
      </c>
      <c r="CG165" s="3">
        <v>111.5</v>
      </c>
      <c r="CH165" s="3">
        <v>110.1</v>
      </c>
      <c r="CI165" s="3">
        <v>200.2</v>
      </c>
      <c r="CJ165" s="3">
        <v>149.1</v>
      </c>
      <c r="CK165" s="3">
        <v>134.69999999999999</v>
      </c>
      <c r="CL165" s="3">
        <v>257.89999999999998</v>
      </c>
      <c r="CM165" s="3">
        <v>137.19999999999999</v>
      </c>
      <c r="CN165" s="3">
        <v>125.2</v>
      </c>
    </row>
    <row r="166" spans="1:92" x14ac:dyDescent="0.25">
      <c r="A166" s="4">
        <v>36770</v>
      </c>
      <c r="B166" s="3">
        <v>137.30000000000001</v>
      </c>
      <c r="C166" s="3">
        <v>138</v>
      </c>
      <c r="D166" s="3">
        <v>157.4</v>
      </c>
      <c r="E166" s="3">
        <v>133.30000000000001</v>
      </c>
      <c r="F166" s="3">
        <v>148.4</v>
      </c>
      <c r="G166" s="3">
        <v>154.1</v>
      </c>
      <c r="H166" s="3">
        <v>137.69999999999999</v>
      </c>
      <c r="I166" s="3">
        <v>158.5</v>
      </c>
      <c r="J166" s="3">
        <v>108.3</v>
      </c>
      <c r="K166" s="3">
        <v>133.30000000000001</v>
      </c>
      <c r="L166" s="3">
        <v>151.1</v>
      </c>
      <c r="M166" s="3">
        <v>161.6</v>
      </c>
      <c r="N166" s="3">
        <v>141.30000000000001</v>
      </c>
      <c r="O166" s="3">
        <v>166.6</v>
      </c>
      <c r="P166" s="3">
        <v>135.19999999999999</v>
      </c>
      <c r="Q166" s="3">
        <v>157.5</v>
      </c>
      <c r="R166" s="3">
        <v>152.6</v>
      </c>
      <c r="S166" s="3">
        <v>150.4</v>
      </c>
      <c r="T166" s="3">
        <v>140.80000000000001</v>
      </c>
      <c r="U166" s="3">
        <v>152.30000000000001</v>
      </c>
      <c r="V166" s="3">
        <v>116.6</v>
      </c>
      <c r="W166" s="3">
        <v>187.4</v>
      </c>
      <c r="X166" s="3">
        <v>131.6</v>
      </c>
      <c r="Y166" s="3">
        <v>158.69999999999999</v>
      </c>
      <c r="Z166" s="3">
        <v>157.9</v>
      </c>
      <c r="AA166" s="3">
        <v>152.1</v>
      </c>
      <c r="AB166" s="3">
        <v>154</v>
      </c>
      <c r="AC166" s="3">
        <v>107.7</v>
      </c>
      <c r="AD166" s="3">
        <v>94.9</v>
      </c>
      <c r="AE166" s="3">
        <v>146.5</v>
      </c>
      <c r="AF166" s="3">
        <v>131.69999999999999</v>
      </c>
      <c r="AG166" s="3">
        <v>127.1</v>
      </c>
      <c r="AH166" s="3">
        <v>147.80000000000001</v>
      </c>
      <c r="AI166" s="3">
        <v>150.19999999999999</v>
      </c>
      <c r="AJ166" s="3">
        <v>201.3</v>
      </c>
      <c r="AK166" s="3">
        <v>237.3</v>
      </c>
      <c r="AL166" s="3">
        <v>198.9</v>
      </c>
      <c r="AM166" s="3">
        <v>202.8</v>
      </c>
      <c r="AN166" s="3">
        <v>211.3</v>
      </c>
      <c r="AO166" s="3">
        <v>160.19999999999999</v>
      </c>
      <c r="AP166" s="3">
        <v>168.5</v>
      </c>
      <c r="AQ166" s="3">
        <v>198.5</v>
      </c>
      <c r="AR166" s="3">
        <v>152</v>
      </c>
      <c r="AS166" s="3">
        <v>283</v>
      </c>
      <c r="AT166" s="3">
        <v>221.8</v>
      </c>
      <c r="AU166" s="3">
        <v>239.3</v>
      </c>
      <c r="AV166" s="3">
        <v>243.8</v>
      </c>
      <c r="AW166" s="3">
        <v>149.9</v>
      </c>
      <c r="AX166" s="3">
        <v>189.4</v>
      </c>
      <c r="AY166" s="3">
        <v>257.8</v>
      </c>
      <c r="AZ166" s="3">
        <v>222.2</v>
      </c>
      <c r="BA166" s="3">
        <v>154.6</v>
      </c>
      <c r="BB166" s="3">
        <v>208.8</v>
      </c>
      <c r="BC166" s="3">
        <v>133.6</v>
      </c>
      <c r="BD166" s="3">
        <v>127.7</v>
      </c>
      <c r="BE166" s="3">
        <v>114.4</v>
      </c>
      <c r="BF166" s="3">
        <v>181.8</v>
      </c>
      <c r="BG166" s="3">
        <v>148.6</v>
      </c>
      <c r="BH166" s="3">
        <v>147.5</v>
      </c>
      <c r="BI166" s="3">
        <v>89.2</v>
      </c>
      <c r="BJ166" s="3">
        <v>142.6</v>
      </c>
      <c r="BK166" s="3">
        <v>162.69999999999999</v>
      </c>
      <c r="BL166" s="3">
        <v>152.1</v>
      </c>
      <c r="BM166" s="3">
        <v>157.6</v>
      </c>
      <c r="BN166" s="3">
        <v>94.1</v>
      </c>
      <c r="BO166" s="3">
        <v>212.7</v>
      </c>
      <c r="BP166" s="3">
        <v>199.4</v>
      </c>
      <c r="BQ166" s="3">
        <v>110.8</v>
      </c>
      <c r="BR166" s="3">
        <v>92.6</v>
      </c>
      <c r="BS166" s="3">
        <v>110.3</v>
      </c>
      <c r="BT166" s="3">
        <v>157.5</v>
      </c>
      <c r="BU166" s="3">
        <v>116.6</v>
      </c>
      <c r="BV166" s="3">
        <v>124.6</v>
      </c>
      <c r="BW166" s="3">
        <v>190.7</v>
      </c>
      <c r="BX166" s="3">
        <v>267.89999999999998</v>
      </c>
      <c r="BY166" s="3">
        <v>124.8</v>
      </c>
      <c r="BZ166" s="3">
        <v>212.1</v>
      </c>
      <c r="CA166" s="3">
        <v>239</v>
      </c>
      <c r="CB166" s="3">
        <v>254.4</v>
      </c>
      <c r="CC166" s="3">
        <v>206.2</v>
      </c>
      <c r="CD166" s="3">
        <v>206.6</v>
      </c>
      <c r="CE166" s="3">
        <v>162.6</v>
      </c>
      <c r="CF166" s="3">
        <v>39.6</v>
      </c>
      <c r="CG166" s="3">
        <v>107.4</v>
      </c>
      <c r="CH166" s="3">
        <v>110.2</v>
      </c>
      <c r="CI166" s="3">
        <v>200.6</v>
      </c>
      <c r="CJ166" s="3">
        <v>149.6</v>
      </c>
      <c r="CK166" s="3">
        <v>134.69999999999999</v>
      </c>
      <c r="CL166" s="3">
        <v>263.3</v>
      </c>
      <c r="CM166" s="3">
        <v>139.1</v>
      </c>
      <c r="CN166" s="3">
        <v>125.9</v>
      </c>
    </row>
    <row r="167" spans="1:92" x14ac:dyDescent="0.25">
      <c r="A167" s="4">
        <v>36800</v>
      </c>
      <c r="B167" s="3">
        <v>137.30000000000001</v>
      </c>
      <c r="C167" s="3">
        <v>137.6</v>
      </c>
      <c r="D167" s="3">
        <v>158.19999999999999</v>
      </c>
      <c r="E167" s="3">
        <v>135.4</v>
      </c>
      <c r="F167" s="3">
        <v>146.1</v>
      </c>
      <c r="G167" s="3">
        <v>151.69999999999999</v>
      </c>
      <c r="H167" s="3">
        <v>139</v>
      </c>
      <c r="I167" s="3">
        <v>159.80000000000001</v>
      </c>
      <c r="J167" s="3">
        <v>106.3</v>
      </c>
      <c r="K167" s="3">
        <v>133.30000000000001</v>
      </c>
      <c r="L167" s="3">
        <v>152.1</v>
      </c>
      <c r="M167" s="3">
        <v>163.69999999999999</v>
      </c>
      <c r="N167" s="3">
        <v>141.4</v>
      </c>
      <c r="O167" s="3">
        <v>166.8</v>
      </c>
      <c r="P167" s="3">
        <v>135.4</v>
      </c>
      <c r="Q167" s="3">
        <v>156.80000000000001</v>
      </c>
      <c r="R167" s="3">
        <v>153.4</v>
      </c>
      <c r="S167" s="3">
        <v>152.1</v>
      </c>
      <c r="T167" s="3">
        <v>142.19999999999999</v>
      </c>
      <c r="U167" s="3">
        <v>155.80000000000001</v>
      </c>
      <c r="V167" s="3">
        <v>117</v>
      </c>
      <c r="W167" s="3">
        <v>186.8</v>
      </c>
      <c r="X167" s="3">
        <v>132.4</v>
      </c>
      <c r="Y167" s="3">
        <v>158.80000000000001</v>
      </c>
      <c r="Z167" s="3">
        <v>154.30000000000001</v>
      </c>
      <c r="AA167" s="3">
        <v>143.6</v>
      </c>
      <c r="AB167" s="3">
        <v>154.1</v>
      </c>
      <c r="AC167" s="3">
        <v>108.5</v>
      </c>
      <c r="AD167" s="3">
        <v>95.8</v>
      </c>
      <c r="AE167" s="3">
        <v>146.69999999999999</v>
      </c>
      <c r="AF167" s="3">
        <v>133.6</v>
      </c>
      <c r="AG167" s="3">
        <v>129.19999999999999</v>
      </c>
      <c r="AH167" s="3">
        <v>147.69999999999999</v>
      </c>
      <c r="AI167" s="3">
        <v>151</v>
      </c>
      <c r="AJ167" s="3">
        <v>201.6</v>
      </c>
      <c r="AK167" s="3">
        <v>237.9</v>
      </c>
      <c r="AL167" s="3">
        <v>199.2</v>
      </c>
      <c r="AM167" s="3">
        <v>203.5</v>
      </c>
      <c r="AN167" s="3">
        <v>211.7</v>
      </c>
      <c r="AO167" s="3">
        <v>161.80000000000001</v>
      </c>
      <c r="AP167" s="3">
        <v>168</v>
      </c>
      <c r="AQ167" s="3">
        <v>199.1</v>
      </c>
      <c r="AR167" s="3">
        <v>150.80000000000001</v>
      </c>
      <c r="AS167" s="3">
        <v>283.2</v>
      </c>
      <c r="AT167" s="3">
        <v>222</v>
      </c>
      <c r="AU167" s="3">
        <v>240.1</v>
      </c>
      <c r="AV167" s="3">
        <v>245.2</v>
      </c>
      <c r="AW167" s="3">
        <v>150.4</v>
      </c>
      <c r="AX167" s="3">
        <v>189.4</v>
      </c>
      <c r="AY167" s="3">
        <v>257.8</v>
      </c>
      <c r="AZ167" s="3">
        <v>223.1</v>
      </c>
      <c r="BA167" s="3">
        <v>155.1</v>
      </c>
      <c r="BB167" s="3">
        <v>206.4</v>
      </c>
      <c r="BC167" s="3">
        <v>137.69999999999999</v>
      </c>
      <c r="BD167" s="3">
        <v>127.7</v>
      </c>
      <c r="BE167" s="3">
        <v>114.4</v>
      </c>
      <c r="BF167" s="3">
        <v>189.8</v>
      </c>
      <c r="BG167" s="3">
        <v>145.4</v>
      </c>
      <c r="BH167" s="3">
        <v>145.4</v>
      </c>
      <c r="BI167" s="3">
        <v>89.1</v>
      </c>
      <c r="BJ167" s="3">
        <v>140.9</v>
      </c>
      <c r="BK167" s="3">
        <v>163.6</v>
      </c>
      <c r="BL167" s="3">
        <v>151.5</v>
      </c>
      <c r="BM167" s="3">
        <v>157.6</v>
      </c>
      <c r="BN167" s="3">
        <v>93.7</v>
      </c>
      <c r="BO167" s="3">
        <v>213.7</v>
      </c>
      <c r="BP167" s="3">
        <v>199.6</v>
      </c>
      <c r="BQ167" s="3">
        <v>111.3</v>
      </c>
      <c r="BR167" s="3">
        <v>92.5</v>
      </c>
      <c r="BS167" s="3">
        <v>110.5</v>
      </c>
      <c r="BT167" s="3">
        <v>157.30000000000001</v>
      </c>
      <c r="BU167" s="3">
        <v>116.4</v>
      </c>
      <c r="BV167" s="3">
        <v>124.8</v>
      </c>
      <c r="BW167" s="3">
        <v>190.6</v>
      </c>
      <c r="BX167" s="3">
        <v>270.2</v>
      </c>
      <c r="BY167" s="3">
        <v>123.7</v>
      </c>
      <c r="BZ167" s="3">
        <v>212.8</v>
      </c>
      <c r="CA167" s="3">
        <v>233</v>
      </c>
      <c r="CB167" s="3">
        <v>256.8</v>
      </c>
      <c r="CC167" s="3">
        <v>205.4</v>
      </c>
      <c r="CD167" s="3">
        <v>206.9</v>
      </c>
      <c r="CE167" s="3">
        <v>162.5</v>
      </c>
      <c r="CF167" s="3">
        <v>39.200000000000003</v>
      </c>
      <c r="CG167" s="3">
        <v>107</v>
      </c>
      <c r="CH167" s="3">
        <v>111.2</v>
      </c>
      <c r="CI167" s="3">
        <v>201.1</v>
      </c>
      <c r="CJ167" s="3">
        <v>146.5</v>
      </c>
      <c r="CK167" s="3">
        <v>134.19999999999999</v>
      </c>
      <c r="CL167" s="3">
        <v>262.2</v>
      </c>
      <c r="CM167" s="3">
        <v>141</v>
      </c>
      <c r="CN167" s="3">
        <v>126.5</v>
      </c>
    </row>
    <row r="168" spans="1:92" x14ac:dyDescent="0.25">
      <c r="A168" s="4">
        <v>36831</v>
      </c>
      <c r="B168" s="3">
        <v>138.1</v>
      </c>
      <c r="C168" s="3">
        <v>137.30000000000001</v>
      </c>
      <c r="D168" s="3">
        <v>158.19999999999999</v>
      </c>
      <c r="E168" s="3">
        <v>132.30000000000001</v>
      </c>
      <c r="F168" s="3">
        <v>148.9</v>
      </c>
      <c r="G168" s="3">
        <v>153.19999999999999</v>
      </c>
      <c r="H168" s="3">
        <v>138.80000000000001</v>
      </c>
      <c r="I168" s="3">
        <v>159.19999999999999</v>
      </c>
      <c r="J168" s="3">
        <v>102.6</v>
      </c>
      <c r="K168" s="3">
        <v>134.6</v>
      </c>
      <c r="L168" s="3">
        <v>152.80000000000001</v>
      </c>
      <c r="M168" s="3">
        <v>165.4</v>
      </c>
      <c r="N168" s="3">
        <v>141.19999999999999</v>
      </c>
      <c r="O168" s="3">
        <v>167.3</v>
      </c>
      <c r="P168" s="3">
        <v>135.1</v>
      </c>
      <c r="Q168" s="3">
        <v>156.69999999999999</v>
      </c>
      <c r="R168" s="3">
        <v>155.69999999999999</v>
      </c>
      <c r="S168" s="3">
        <v>153</v>
      </c>
      <c r="T168" s="3">
        <v>140.6</v>
      </c>
      <c r="U168" s="3">
        <v>151.1</v>
      </c>
      <c r="V168" s="3">
        <v>116</v>
      </c>
      <c r="W168" s="3">
        <v>186.9</v>
      </c>
      <c r="X168" s="3">
        <v>131.30000000000001</v>
      </c>
      <c r="Y168" s="3">
        <v>158.69999999999999</v>
      </c>
      <c r="Z168" s="3">
        <v>156.19999999999999</v>
      </c>
      <c r="AA168" s="3">
        <v>146.9</v>
      </c>
      <c r="AB168" s="3">
        <v>154.9</v>
      </c>
      <c r="AC168" s="3">
        <v>114.7</v>
      </c>
      <c r="AD168" s="3">
        <v>102.9</v>
      </c>
      <c r="AE168" s="3">
        <v>148.4</v>
      </c>
      <c r="AF168" s="3">
        <v>137.9</v>
      </c>
      <c r="AG168" s="3">
        <v>134.1</v>
      </c>
      <c r="AH168" s="3">
        <v>147.80000000000001</v>
      </c>
      <c r="AI168" s="3">
        <v>150.9</v>
      </c>
      <c r="AJ168" s="3">
        <v>202</v>
      </c>
      <c r="AK168" s="3">
        <v>238.3</v>
      </c>
      <c r="AL168" s="3">
        <v>199.7</v>
      </c>
      <c r="AM168" s="3">
        <v>203.4</v>
      </c>
      <c r="AN168" s="3">
        <v>211.9</v>
      </c>
      <c r="AO168" s="3">
        <v>160.6</v>
      </c>
      <c r="AP168" s="3">
        <v>168</v>
      </c>
      <c r="AQ168" s="3">
        <v>199.5</v>
      </c>
      <c r="AR168" s="3">
        <v>150.69999999999999</v>
      </c>
      <c r="AS168" s="3">
        <v>283.3</v>
      </c>
      <c r="AT168" s="3">
        <v>221.7</v>
      </c>
      <c r="AU168" s="3">
        <v>240.4</v>
      </c>
      <c r="AV168" s="3">
        <v>246.6</v>
      </c>
      <c r="AW168" s="3">
        <v>150.19999999999999</v>
      </c>
      <c r="AX168" s="3">
        <v>189.4</v>
      </c>
      <c r="AY168" s="3">
        <v>257.8</v>
      </c>
      <c r="AZ168" s="3">
        <v>224</v>
      </c>
      <c r="BA168" s="3">
        <v>155.1</v>
      </c>
      <c r="BB168" s="3">
        <v>205.6</v>
      </c>
      <c r="BC168" s="3">
        <v>139.1</v>
      </c>
      <c r="BD168" s="3">
        <v>127.7</v>
      </c>
      <c r="BE168" s="3">
        <v>114.4</v>
      </c>
      <c r="BF168" s="3">
        <v>180.4</v>
      </c>
      <c r="BG168" s="3">
        <v>147.6</v>
      </c>
      <c r="BH168" s="3">
        <v>148.5</v>
      </c>
      <c r="BI168" s="3">
        <v>90.1</v>
      </c>
      <c r="BJ168" s="3">
        <v>143</v>
      </c>
      <c r="BK168" s="3">
        <v>163.19999999999999</v>
      </c>
      <c r="BL168" s="3">
        <v>151.9</v>
      </c>
      <c r="BM168" s="3">
        <v>157.6</v>
      </c>
      <c r="BN168" s="3">
        <v>93.9</v>
      </c>
      <c r="BO168" s="3">
        <v>214.3</v>
      </c>
      <c r="BP168" s="3">
        <v>199.6</v>
      </c>
      <c r="BQ168" s="3">
        <v>112.2</v>
      </c>
      <c r="BR168" s="3">
        <v>92.2</v>
      </c>
      <c r="BS168" s="3">
        <v>112</v>
      </c>
      <c r="BT168" s="3">
        <v>158.5</v>
      </c>
      <c r="BU168" s="3">
        <v>118.1</v>
      </c>
      <c r="BV168" s="3">
        <v>126</v>
      </c>
      <c r="BW168" s="3">
        <v>190.5</v>
      </c>
      <c r="BX168" s="3">
        <v>270.7</v>
      </c>
      <c r="BY168" s="3">
        <v>122.5</v>
      </c>
      <c r="BZ168" s="3">
        <v>213.8</v>
      </c>
      <c r="CA168" s="3">
        <v>238.9</v>
      </c>
      <c r="CB168" s="3">
        <v>260.10000000000002</v>
      </c>
      <c r="CC168" s="3">
        <v>205.6</v>
      </c>
      <c r="CD168" s="3">
        <v>207.3</v>
      </c>
      <c r="CE168" s="3">
        <v>162.69999999999999</v>
      </c>
      <c r="CF168" s="3">
        <v>38.9</v>
      </c>
      <c r="CG168" s="3">
        <v>106.5</v>
      </c>
      <c r="CH168" s="3">
        <v>110.7</v>
      </c>
      <c r="CI168" s="3">
        <v>201.7</v>
      </c>
      <c r="CJ168" s="3">
        <v>149.9</v>
      </c>
      <c r="CK168" s="3">
        <v>130</v>
      </c>
      <c r="CL168" s="3">
        <v>262.2</v>
      </c>
      <c r="CM168" s="3">
        <v>141.69999999999999</v>
      </c>
      <c r="CN168" s="3">
        <v>126.8</v>
      </c>
    </row>
    <row r="169" spans="1:92" x14ac:dyDescent="0.25">
      <c r="A169" s="4">
        <v>36861</v>
      </c>
      <c r="B169" s="3">
        <v>137.30000000000001</v>
      </c>
      <c r="C169" s="3">
        <v>137.80000000000001</v>
      </c>
      <c r="D169" s="3">
        <v>158.6</v>
      </c>
      <c r="E169" s="3">
        <v>130.30000000000001</v>
      </c>
      <c r="F169" s="3">
        <v>146.1</v>
      </c>
      <c r="G169" s="3">
        <v>152</v>
      </c>
      <c r="H169" s="3">
        <v>138.69999999999999</v>
      </c>
      <c r="I169" s="3">
        <v>160.4</v>
      </c>
      <c r="J169" s="3">
        <v>102.2</v>
      </c>
      <c r="K169" s="3">
        <v>134.19999999999999</v>
      </c>
      <c r="L169" s="3">
        <v>152.5</v>
      </c>
      <c r="M169" s="3">
        <v>164.9</v>
      </c>
      <c r="N169" s="3">
        <v>140.9</v>
      </c>
      <c r="O169" s="3">
        <v>166.5</v>
      </c>
      <c r="P169" s="3">
        <v>135.30000000000001</v>
      </c>
      <c r="Q169" s="3">
        <v>156.6</v>
      </c>
      <c r="R169" s="3">
        <v>155.19999999999999</v>
      </c>
      <c r="S169" s="3">
        <v>153.1</v>
      </c>
      <c r="T169" s="3">
        <v>139.9</v>
      </c>
      <c r="U169" s="3">
        <v>152.6</v>
      </c>
      <c r="V169" s="3">
        <v>115.9</v>
      </c>
      <c r="W169" s="3">
        <v>185.9</v>
      </c>
      <c r="X169" s="3">
        <v>131.30000000000001</v>
      </c>
      <c r="Y169" s="3">
        <v>159</v>
      </c>
      <c r="Z169" s="3">
        <v>158.1</v>
      </c>
      <c r="AA169" s="3">
        <v>153</v>
      </c>
      <c r="AB169" s="3">
        <v>153.6</v>
      </c>
      <c r="AC169" s="3">
        <v>114.4</v>
      </c>
      <c r="AD169" s="3">
        <v>102.4</v>
      </c>
      <c r="AE169" s="3">
        <v>148.69999999999999</v>
      </c>
      <c r="AF169" s="3">
        <v>143.30000000000001</v>
      </c>
      <c r="AG169" s="3">
        <v>140.19999999999999</v>
      </c>
      <c r="AH169" s="3">
        <v>147.80000000000001</v>
      </c>
      <c r="AI169" s="3">
        <v>151</v>
      </c>
      <c r="AJ169" s="3">
        <v>202.5</v>
      </c>
      <c r="AK169" s="3">
        <v>238.2</v>
      </c>
      <c r="AL169" s="3">
        <v>200.5</v>
      </c>
      <c r="AM169" s="3">
        <v>203.4</v>
      </c>
      <c r="AN169" s="3">
        <v>212.1</v>
      </c>
      <c r="AO169" s="3">
        <v>160.19999999999999</v>
      </c>
      <c r="AP169" s="3">
        <v>166.5</v>
      </c>
      <c r="AQ169" s="3">
        <v>199.6</v>
      </c>
      <c r="AR169" s="3">
        <v>148.30000000000001</v>
      </c>
      <c r="AS169" s="3">
        <v>283.3</v>
      </c>
      <c r="AT169" s="3">
        <v>221.4</v>
      </c>
      <c r="AU169" s="3">
        <v>240.6</v>
      </c>
      <c r="AV169" s="3">
        <v>247.3</v>
      </c>
      <c r="AW169" s="3">
        <v>151.69999999999999</v>
      </c>
      <c r="AX169" s="3">
        <v>189.4</v>
      </c>
      <c r="AY169" s="3">
        <v>257.8</v>
      </c>
      <c r="AZ169" s="3">
        <v>224.7</v>
      </c>
      <c r="BA169" s="3">
        <v>155.80000000000001</v>
      </c>
      <c r="BB169" s="3">
        <v>206.1</v>
      </c>
      <c r="BC169" s="3">
        <v>139.5</v>
      </c>
      <c r="BD169" s="3">
        <v>127.7</v>
      </c>
      <c r="BE169" s="3">
        <v>114.5</v>
      </c>
      <c r="BF169" s="3">
        <v>174.1</v>
      </c>
      <c r="BG169" s="3">
        <v>154.69999999999999</v>
      </c>
      <c r="BH169" s="3">
        <v>150.6</v>
      </c>
      <c r="BI169" s="3">
        <v>90.2</v>
      </c>
      <c r="BJ169" s="3">
        <v>143.5</v>
      </c>
      <c r="BK169" s="3">
        <v>163.4</v>
      </c>
      <c r="BL169" s="3">
        <v>151.9</v>
      </c>
      <c r="BM169" s="3">
        <v>157.6</v>
      </c>
      <c r="BN169" s="3">
        <v>92.5</v>
      </c>
      <c r="BO169" s="3">
        <v>215</v>
      </c>
      <c r="BP169" s="3">
        <v>199.3</v>
      </c>
      <c r="BQ169" s="3">
        <v>111.9</v>
      </c>
      <c r="BR169" s="3">
        <v>91.2</v>
      </c>
      <c r="BS169" s="3">
        <v>111.2</v>
      </c>
      <c r="BT169" s="3">
        <v>158.1</v>
      </c>
      <c r="BU169" s="3">
        <v>116.6</v>
      </c>
      <c r="BV169" s="3">
        <v>125.8</v>
      </c>
      <c r="BW169" s="3">
        <v>190.2</v>
      </c>
      <c r="BX169" s="3">
        <v>271.60000000000002</v>
      </c>
      <c r="BY169" s="3">
        <v>121.7</v>
      </c>
      <c r="BZ169" s="3">
        <v>214.6</v>
      </c>
      <c r="CA169" s="3">
        <v>235</v>
      </c>
      <c r="CB169" s="3">
        <v>264.10000000000002</v>
      </c>
      <c r="CC169" s="3">
        <v>205.9</v>
      </c>
      <c r="CD169" s="3">
        <v>207.4</v>
      </c>
      <c r="CE169" s="3">
        <v>162.5</v>
      </c>
      <c r="CF169" s="3">
        <v>37.9</v>
      </c>
      <c r="CG169" s="3">
        <v>106.1</v>
      </c>
      <c r="CH169" s="3">
        <v>110.6</v>
      </c>
      <c r="CI169" s="3">
        <v>202.3</v>
      </c>
      <c r="CJ169" s="3">
        <v>151.4</v>
      </c>
      <c r="CK169" s="3">
        <v>130</v>
      </c>
      <c r="CL169" s="3">
        <v>262.5</v>
      </c>
      <c r="CM169" s="3">
        <v>142</v>
      </c>
      <c r="CN169" s="3">
        <v>126.9</v>
      </c>
    </row>
    <row r="170" spans="1:92" x14ac:dyDescent="0.25">
      <c r="A170" s="4">
        <v>36892</v>
      </c>
      <c r="B170" s="3">
        <v>137.80000000000001</v>
      </c>
      <c r="C170" s="3">
        <v>137.9</v>
      </c>
      <c r="D170" s="3">
        <v>158.80000000000001</v>
      </c>
      <c r="E170" s="3">
        <v>132</v>
      </c>
      <c r="F170" s="3">
        <v>151.4</v>
      </c>
      <c r="G170" s="3">
        <v>157.4</v>
      </c>
      <c r="H170" s="3">
        <v>138.19999999999999</v>
      </c>
      <c r="I170" s="3">
        <v>162.30000000000001</v>
      </c>
      <c r="J170" s="3">
        <v>107.7</v>
      </c>
      <c r="K170" s="3">
        <v>134.30000000000001</v>
      </c>
      <c r="L170" s="3">
        <v>149.80000000000001</v>
      </c>
      <c r="M170" s="3">
        <v>160</v>
      </c>
      <c r="N170" s="3">
        <v>140.30000000000001</v>
      </c>
      <c r="O170" s="3">
        <v>166.3</v>
      </c>
      <c r="P170" s="3">
        <v>135.4</v>
      </c>
      <c r="Q170" s="3">
        <v>158.19999999999999</v>
      </c>
      <c r="R170" s="3">
        <v>153.19999999999999</v>
      </c>
      <c r="S170" s="3">
        <v>153.1</v>
      </c>
      <c r="T170" s="3">
        <v>139.30000000000001</v>
      </c>
      <c r="U170" s="3">
        <v>154.80000000000001</v>
      </c>
      <c r="V170" s="3">
        <v>115</v>
      </c>
      <c r="W170" s="3">
        <v>187.2</v>
      </c>
      <c r="X170" s="3">
        <v>131.4</v>
      </c>
      <c r="Y170" s="3">
        <v>159.6</v>
      </c>
      <c r="Z170" s="3">
        <v>155.19999999999999</v>
      </c>
      <c r="AA170" s="3">
        <v>144.69999999999999</v>
      </c>
      <c r="AB170" s="3">
        <v>154.69999999999999</v>
      </c>
      <c r="AC170" s="3">
        <v>118.5</v>
      </c>
      <c r="AD170" s="3">
        <v>107.4</v>
      </c>
      <c r="AE170" s="3">
        <v>148.80000000000001</v>
      </c>
      <c r="AF170" s="3">
        <v>135.69999999999999</v>
      </c>
      <c r="AG170" s="3">
        <v>131.5</v>
      </c>
      <c r="AH170" s="3">
        <v>148.1</v>
      </c>
      <c r="AI170" s="3">
        <v>152</v>
      </c>
      <c r="AJ170" s="3">
        <v>202.9</v>
      </c>
      <c r="AK170" s="3">
        <v>238.7</v>
      </c>
      <c r="AL170" s="3">
        <v>201.2</v>
      </c>
      <c r="AM170" s="3">
        <v>203.8</v>
      </c>
      <c r="AN170" s="3">
        <v>212.1</v>
      </c>
      <c r="AO170" s="3">
        <v>161.80000000000001</v>
      </c>
      <c r="AP170" s="3">
        <v>168.8</v>
      </c>
      <c r="AQ170" s="3">
        <v>200</v>
      </c>
      <c r="AR170" s="3">
        <v>151.6</v>
      </c>
      <c r="AS170" s="3">
        <v>283.3</v>
      </c>
      <c r="AT170" s="3">
        <v>221.3</v>
      </c>
      <c r="AU170" s="3">
        <v>241</v>
      </c>
      <c r="AV170" s="3">
        <v>248.7</v>
      </c>
      <c r="AW170" s="3">
        <v>152.30000000000001</v>
      </c>
      <c r="AX170" s="3">
        <v>189.4</v>
      </c>
      <c r="AY170" s="3">
        <v>257.8</v>
      </c>
      <c r="AZ170" s="3">
        <v>227.1</v>
      </c>
      <c r="BA170" s="3">
        <v>155.5</v>
      </c>
      <c r="BB170" s="3">
        <v>206.3</v>
      </c>
      <c r="BC170" s="3">
        <v>139.6</v>
      </c>
      <c r="BD170" s="3">
        <v>127.7</v>
      </c>
      <c r="BE170" s="3">
        <v>114.5</v>
      </c>
      <c r="BF170" s="3">
        <v>159.5</v>
      </c>
      <c r="BG170" s="3">
        <v>142.5</v>
      </c>
      <c r="BH170" s="3">
        <v>143.30000000000001</v>
      </c>
      <c r="BI170" s="3">
        <v>87.1</v>
      </c>
      <c r="BJ170" s="3">
        <v>138.1</v>
      </c>
      <c r="BK170" s="3">
        <v>163.1</v>
      </c>
      <c r="BL170" s="3">
        <v>152.4</v>
      </c>
      <c r="BM170" s="3">
        <v>157.6</v>
      </c>
      <c r="BN170" s="3">
        <v>89.6</v>
      </c>
      <c r="BO170" s="3">
        <v>218.6</v>
      </c>
      <c r="BP170" s="3">
        <v>200.3</v>
      </c>
      <c r="BQ170" s="3">
        <v>105.3</v>
      </c>
      <c r="BR170" s="3">
        <v>82.4</v>
      </c>
      <c r="BS170" s="3">
        <v>106.3</v>
      </c>
      <c r="BT170" s="3">
        <v>153.80000000000001</v>
      </c>
      <c r="BU170" s="3">
        <v>111.2</v>
      </c>
      <c r="BV170" s="3">
        <v>124</v>
      </c>
      <c r="BW170" s="3">
        <v>190.9</v>
      </c>
      <c r="BX170" s="3">
        <v>275.89999999999998</v>
      </c>
      <c r="BY170" s="3">
        <v>123.5</v>
      </c>
      <c r="BZ170" s="3">
        <v>216</v>
      </c>
      <c r="CA170" s="3">
        <v>225.3</v>
      </c>
      <c r="CB170" s="3">
        <v>264.39999999999998</v>
      </c>
      <c r="CC170" s="3">
        <v>212</v>
      </c>
      <c r="CD170" s="3">
        <v>209.4</v>
      </c>
      <c r="CE170" s="3">
        <v>162.6</v>
      </c>
      <c r="CF170" s="3">
        <v>37.1</v>
      </c>
      <c r="CG170" s="3">
        <v>103.6</v>
      </c>
      <c r="CH170" s="3">
        <v>109.9</v>
      </c>
      <c r="CI170" s="3">
        <v>202.9</v>
      </c>
      <c r="CJ170" s="3">
        <v>150.6</v>
      </c>
      <c r="CK170" s="3">
        <v>127.8</v>
      </c>
      <c r="CL170" s="3">
        <v>264.60000000000002</v>
      </c>
      <c r="CM170" s="3">
        <v>143.19999999999999</v>
      </c>
      <c r="CN170" s="3">
        <v>127</v>
      </c>
    </row>
    <row r="171" spans="1:92" x14ac:dyDescent="0.25">
      <c r="A171" s="4">
        <v>36923</v>
      </c>
      <c r="B171" s="3">
        <v>137.5</v>
      </c>
      <c r="C171" s="3">
        <v>139.9</v>
      </c>
      <c r="D171" s="3">
        <v>158.6</v>
      </c>
      <c r="E171" s="3">
        <v>133.1</v>
      </c>
      <c r="F171" s="3">
        <v>151.80000000000001</v>
      </c>
      <c r="G171" s="3">
        <v>166.1</v>
      </c>
      <c r="H171" s="3">
        <v>138.30000000000001</v>
      </c>
      <c r="I171" s="3">
        <v>162.9</v>
      </c>
      <c r="J171" s="3">
        <v>106.9</v>
      </c>
      <c r="K171" s="3">
        <v>134.30000000000001</v>
      </c>
      <c r="L171" s="3">
        <v>152.69999999999999</v>
      </c>
      <c r="M171" s="3">
        <v>163.69999999999999</v>
      </c>
      <c r="N171" s="3">
        <v>142.5</v>
      </c>
      <c r="O171" s="3">
        <v>165.7</v>
      </c>
      <c r="P171" s="3">
        <v>134.30000000000001</v>
      </c>
      <c r="Q171" s="3">
        <v>159.69999999999999</v>
      </c>
      <c r="R171" s="3">
        <v>153.80000000000001</v>
      </c>
      <c r="S171" s="3">
        <v>156.1</v>
      </c>
      <c r="T171" s="3">
        <v>139.80000000000001</v>
      </c>
      <c r="U171" s="3">
        <v>159.69999999999999</v>
      </c>
      <c r="V171" s="3">
        <v>113.9</v>
      </c>
      <c r="W171" s="3">
        <v>187.9</v>
      </c>
      <c r="X171" s="3">
        <v>134.5</v>
      </c>
      <c r="Y171" s="3">
        <v>158.80000000000001</v>
      </c>
      <c r="Z171" s="3">
        <v>155.19999999999999</v>
      </c>
      <c r="AA171" s="3">
        <v>147.6</v>
      </c>
      <c r="AB171" s="3">
        <v>153.19999999999999</v>
      </c>
      <c r="AC171" s="3">
        <v>116.1</v>
      </c>
      <c r="AD171" s="3">
        <v>104.5</v>
      </c>
      <c r="AE171" s="3">
        <v>148.80000000000001</v>
      </c>
      <c r="AF171" s="3">
        <v>135.5</v>
      </c>
      <c r="AG171" s="3">
        <v>131.4</v>
      </c>
      <c r="AH171" s="3">
        <v>148</v>
      </c>
      <c r="AI171" s="3">
        <v>151.1</v>
      </c>
      <c r="AJ171" s="3">
        <v>203.8</v>
      </c>
      <c r="AK171" s="3">
        <v>240.8</v>
      </c>
      <c r="AL171" s="3">
        <v>201.4</v>
      </c>
      <c r="AM171" s="3">
        <v>203.8</v>
      </c>
      <c r="AN171" s="3">
        <v>212</v>
      </c>
      <c r="AO171" s="3">
        <v>161.80000000000001</v>
      </c>
      <c r="AP171" s="3">
        <v>169.4</v>
      </c>
      <c r="AQ171" s="3">
        <v>200.2</v>
      </c>
      <c r="AR171" s="3">
        <v>152.4</v>
      </c>
      <c r="AS171" s="3">
        <v>286.10000000000002</v>
      </c>
      <c r="AT171" s="3">
        <v>223.9</v>
      </c>
      <c r="AU171" s="3">
        <v>241</v>
      </c>
      <c r="AV171" s="3">
        <v>249.6</v>
      </c>
      <c r="AW171" s="3">
        <v>154.19999999999999</v>
      </c>
      <c r="AX171" s="3">
        <v>189.4</v>
      </c>
      <c r="AY171" s="3">
        <v>257.8</v>
      </c>
      <c r="AZ171" s="3">
        <v>227.4</v>
      </c>
      <c r="BA171" s="3">
        <v>156</v>
      </c>
      <c r="BB171" s="3">
        <v>206.9</v>
      </c>
      <c r="BC171" s="3">
        <v>139.4</v>
      </c>
      <c r="BD171" s="3">
        <v>127.7</v>
      </c>
      <c r="BE171" s="3">
        <v>114.7</v>
      </c>
      <c r="BF171" s="3">
        <v>161.19999999999999</v>
      </c>
      <c r="BG171" s="3">
        <v>144.30000000000001</v>
      </c>
      <c r="BH171" s="3">
        <v>146.4</v>
      </c>
      <c r="BI171" s="3">
        <v>89.4</v>
      </c>
      <c r="BJ171" s="3">
        <v>139.9</v>
      </c>
      <c r="BK171" s="3">
        <v>162</v>
      </c>
      <c r="BL171" s="3">
        <v>152.30000000000001</v>
      </c>
      <c r="BM171" s="3">
        <v>157.6</v>
      </c>
      <c r="BN171" s="3">
        <v>88.4</v>
      </c>
      <c r="BO171" s="3">
        <v>219.1</v>
      </c>
      <c r="BP171" s="3">
        <v>201.6</v>
      </c>
      <c r="BQ171" s="3">
        <v>107</v>
      </c>
      <c r="BR171" s="3">
        <v>87</v>
      </c>
      <c r="BS171" s="3">
        <v>108.4</v>
      </c>
      <c r="BT171" s="3">
        <v>155.69999999999999</v>
      </c>
      <c r="BU171" s="3">
        <v>114.4</v>
      </c>
      <c r="BV171" s="3">
        <v>126</v>
      </c>
      <c r="BW171" s="3">
        <v>191.3</v>
      </c>
      <c r="BX171" s="3">
        <v>276.89999999999998</v>
      </c>
      <c r="BY171" s="3">
        <v>124</v>
      </c>
      <c r="BZ171" s="3">
        <v>216.5</v>
      </c>
      <c r="CA171" s="3">
        <v>226.1</v>
      </c>
      <c r="CB171" s="3">
        <v>265</v>
      </c>
      <c r="CC171" s="3">
        <v>212</v>
      </c>
      <c r="CD171" s="3">
        <v>209.6</v>
      </c>
      <c r="CE171" s="3">
        <v>163</v>
      </c>
      <c r="CF171" s="3">
        <v>36.700000000000003</v>
      </c>
      <c r="CG171" s="3">
        <v>108.2</v>
      </c>
      <c r="CH171" s="3">
        <v>110.6</v>
      </c>
      <c r="CI171" s="3">
        <v>204.3</v>
      </c>
      <c r="CJ171" s="3">
        <v>150</v>
      </c>
      <c r="CK171" s="3">
        <v>127.8</v>
      </c>
      <c r="CL171" s="3">
        <v>267.5</v>
      </c>
      <c r="CM171" s="3">
        <v>143.80000000000001</v>
      </c>
      <c r="CN171" s="3">
        <v>127.1</v>
      </c>
    </row>
    <row r="172" spans="1:92" x14ac:dyDescent="0.25">
      <c r="A172" s="4">
        <v>36951</v>
      </c>
      <c r="B172" s="3">
        <v>137.6</v>
      </c>
      <c r="C172" s="3">
        <v>139.80000000000001</v>
      </c>
      <c r="D172" s="3">
        <v>157.69999999999999</v>
      </c>
      <c r="E172" s="3">
        <v>137.5</v>
      </c>
      <c r="F172" s="3">
        <v>159.9</v>
      </c>
      <c r="G172" s="3">
        <v>175.6</v>
      </c>
      <c r="H172" s="3">
        <v>152.1</v>
      </c>
      <c r="I172" s="3">
        <v>178.6</v>
      </c>
      <c r="J172" s="3">
        <v>111.5</v>
      </c>
      <c r="K172" s="3">
        <v>138.19999999999999</v>
      </c>
      <c r="L172" s="3">
        <v>152.4</v>
      </c>
      <c r="M172" s="3">
        <v>165</v>
      </c>
      <c r="N172" s="3">
        <v>140.80000000000001</v>
      </c>
      <c r="O172" s="3">
        <v>164.8</v>
      </c>
      <c r="P172" s="3">
        <v>132.69999999999999</v>
      </c>
      <c r="Q172" s="3">
        <v>160.30000000000001</v>
      </c>
      <c r="R172" s="3">
        <v>153.6</v>
      </c>
      <c r="S172" s="3">
        <v>155.9</v>
      </c>
      <c r="T172" s="3">
        <v>138.5</v>
      </c>
      <c r="U172" s="3">
        <v>161</v>
      </c>
      <c r="V172" s="3">
        <v>114.9</v>
      </c>
      <c r="W172" s="3">
        <v>187.6</v>
      </c>
      <c r="X172" s="3">
        <v>133.9</v>
      </c>
      <c r="Y172" s="3">
        <v>158.6</v>
      </c>
      <c r="Z172" s="3">
        <v>156.19999999999999</v>
      </c>
      <c r="AA172" s="3">
        <v>149.1</v>
      </c>
      <c r="AB172" s="3">
        <v>153.9</v>
      </c>
      <c r="AC172" s="3">
        <v>118.3</v>
      </c>
      <c r="AD172" s="3">
        <v>107.1</v>
      </c>
      <c r="AE172" s="3">
        <v>149.19999999999999</v>
      </c>
      <c r="AF172" s="3">
        <v>136.69999999999999</v>
      </c>
      <c r="AG172" s="3">
        <v>132.80000000000001</v>
      </c>
      <c r="AH172" s="3">
        <v>147.30000000000001</v>
      </c>
      <c r="AI172" s="3">
        <v>152.19999999999999</v>
      </c>
      <c r="AJ172" s="3">
        <v>204.4</v>
      </c>
      <c r="AK172" s="3">
        <v>242</v>
      </c>
      <c r="AL172" s="3">
        <v>202.3</v>
      </c>
      <c r="AM172" s="3">
        <v>204.4</v>
      </c>
      <c r="AN172" s="3">
        <v>212.9</v>
      </c>
      <c r="AO172" s="3">
        <v>161.30000000000001</v>
      </c>
      <c r="AP172" s="3">
        <v>169.7</v>
      </c>
      <c r="AQ172" s="3">
        <v>200.9</v>
      </c>
      <c r="AR172" s="3">
        <v>152.6</v>
      </c>
      <c r="AS172" s="3">
        <v>290</v>
      </c>
      <c r="AT172" s="3">
        <v>226.2</v>
      </c>
      <c r="AU172" s="3">
        <v>241.1</v>
      </c>
      <c r="AV172" s="3">
        <v>237.7</v>
      </c>
      <c r="AW172" s="3">
        <v>154.6</v>
      </c>
      <c r="AX172" s="3">
        <v>189.4</v>
      </c>
      <c r="AY172" s="3">
        <v>257.8</v>
      </c>
      <c r="AZ172" s="3">
        <v>227.8</v>
      </c>
      <c r="BA172" s="3">
        <v>155.6</v>
      </c>
      <c r="BB172" s="3">
        <v>209.8</v>
      </c>
      <c r="BC172" s="3">
        <v>139.4</v>
      </c>
      <c r="BD172" s="3">
        <v>127.7</v>
      </c>
      <c r="BE172" s="3">
        <v>114.9</v>
      </c>
      <c r="BF172" s="3">
        <v>157.5</v>
      </c>
      <c r="BG172" s="3">
        <v>149.5</v>
      </c>
      <c r="BH172" s="3">
        <v>149.6</v>
      </c>
      <c r="BI172" s="3">
        <v>90.9</v>
      </c>
      <c r="BJ172" s="3">
        <v>140.1</v>
      </c>
      <c r="BK172" s="3">
        <v>161.69999999999999</v>
      </c>
      <c r="BL172" s="3">
        <v>152</v>
      </c>
      <c r="BM172" s="3">
        <v>157.6</v>
      </c>
      <c r="BN172" s="3">
        <v>86.9</v>
      </c>
      <c r="BO172" s="3">
        <v>219.7</v>
      </c>
      <c r="BP172" s="3">
        <v>202.2</v>
      </c>
      <c r="BQ172" s="3">
        <v>110.2</v>
      </c>
      <c r="BR172" s="3">
        <v>88.1</v>
      </c>
      <c r="BS172" s="3">
        <v>110.5</v>
      </c>
      <c r="BT172" s="3">
        <v>157.5</v>
      </c>
      <c r="BU172" s="3">
        <v>116</v>
      </c>
      <c r="BV172" s="3">
        <v>128.5</v>
      </c>
      <c r="BW172" s="3">
        <v>191</v>
      </c>
      <c r="BX172" s="3">
        <v>277</v>
      </c>
      <c r="BY172" s="3">
        <v>124.6</v>
      </c>
      <c r="BZ172" s="3">
        <v>217.1</v>
      </c>
      <c r="CA172" s="3">
        <v>219.4</v>
      </c>
      <c r="CB172" s="3">
        <v>264.8</v>
      </c>
      <c r="CC172" s="3">
        <v>212</v>
      </c>
      <c r="CD172" s="3">
        <v>209.6</v>
      </c>
      <c r="CE172" s="3">
        <v>163.30000000000001</v>
      </c>
      <c r="CF172" s="3">
        <v>36.4</v>
      </c>
      <c r="CG172" s="3">
        <v>109.9</v>
      </c>
      <c r="CH172" s="3">
        <v>110.6</v>
      </c>
      <c r="CI172" s="3">
        <v>204.1</v>
      </c>
      <c r="CJ172" s="3">
        <v>148.5</v>
      </c>
      <c r="CK172" s="3">
        <v>127.9</v>
      </c>
      <c r="CL172" s="3">
        <v>267.60000000000002</v>
      </c>
      <c r="CM172" s="3">
        <v>144.4</v>
      </c>
      <c r="CN172" s="3">
        <v>127.6</v>
      </c>
    </row>
    <row r="173" spans="1:92" x14ac:dyDescent="0.25">
      <c r="A173" s="4">
        <v>36982</v>
      </c>
      <c r="B173" s="3">
        <v>137.1</v>
      </c>
      <c r="C173" s="3">
        <v>139.4</v>
      </c>
      <c r="D173" s="3">
        <v>159.5</v>
      </c>
      <c r="E173" s="3">
        <v>133.69999999999999</v>
      </c>
      <c r="F173" s="3">
        <v>160.4</v>
      </c>
      <c r="G173" s="3">
        <v>172.5</v>
      </c>
      <c r="H173" s="3">
        <v>147.1</v>
      </c>
      <c r="I173" s="3">
        <v>182.3</v>
      </c>
      <c r="J173" s="3">
        <v>108</v>
      </c>
      <c r="K173" s="3">
        <v>139.6</v>
      </c>
      <c r="L173" s="3">
        <v>150.80000000000001</v>
      </c>
      <c r="M173" s="3">
        <v>162.4</v>
      </c>
      <c r="N173" s="3">
        <v>140.19999999999999</v>
      </c>
      <c r="O173" s="3">
        <v>165.2</v>
      </c>
      <c r="P173" s="3">
        <v>132.4</v>
      </c>
      <c r="Q173" s="3">
        <v>159.5</v>
      </c>
      <c r="R173" s="3">
        <v>153.19999999999999</v>
      </c>
      <c r="S173" s="3">
        <v>159.30000000000001</v>
      </c>
      <c r="T173" s="3">
        <v>139.30000000000001</v>
      </c>
      <c r="U173" s="3">
        <v>156.4</v>
      </c>
      <c r="V173" s="3">
        <v>115.9</v>
      </c>
      <c r="W173" s="3">
        <v>188.5</v>
      </c>
      <c r="X173" s="3">
        <v>134.5</v>
      </c>
      <c r="Y173" s="3">
        <v>159</v>
      </c>
      <c r="Z173" s="3">
        <v>157.19999999999999</v>
      </c>
      <c r="AA173" s="3">
        <v>153.80000000000001</v>
      </c>
      <c r="AB173" s="3">
        <v>153</v>
      </c>
      <c r="AC173" s="3">
        <v>119.1</v>
      </c>
      <c r="AD173" s="3">
        <v>108.2</v>
      </c>
      <c r="AE173" s="3">
        <v>148.5</v>
      </c>
      <c r="AF173" s="3">
        <v>142.80000000000001</v>
      </c>
      <c r="AG173" s="3">
        <v>139.6</v>
      </c>
      <c r="AH173" s="3">
        <v>147.9</v>
      </c>
      <c r="AI173" s="3">
        <v>151.30000000000001</v>
      </c>
      <c r="AJ173" s="3">
        <v>205.6</v>
      </c>
      <c r="AK173" s="3">
        <v>243.6</v>
      </c>
      <c r="AL173" s="3">
        <v>203.3</v>
      </c>
      <c r="AM173" s="3">
        <v>206.1</v>
      </c>
      <c r="AN173" s="3">
        <v>214.9</v>
      </c>
      <c r="AO173" s="3">
        <v>161.9</v>
      </c>
      <c r="AP173" s="3">
        <v>170.3</v>
      </c>
      <c r="AQ173" s="3">
        <v>202.1</v>
      </c>
      <c r="AR173" s="3">
        <v>152.6</v>
      </c>
      <c r="AS173" s="3">
        <v>291.10000000000002</v>
      </c>
      <c r="AT173" s="3">
        <v>227.5</v>
      </c>
      <c r="AU173" s="3">
        <v>246.2</v>
      </c>
      <c r="AV173" s="3">
        <v>232.3</v>
      </c>
      <c r="AW173" s="3">
        <v>154.5</v>
      </c>
      <c r="AX173" s="3">
        <v>201.2</v>
      </c>
      <c r="AY173" s="3">
        <v>268.89999999999998</v>
      </c>
      <c r="AZ173" s="3">
        <v>231</v>
      </c>
      <c r="BA173" s="3">
        <v>156.6</v>
      </c>
      <c r="BB173" s="3">
        <v>209.6</v>
      </c>
      <c r="BC173" s="3">
        <v>139.5</v>
      </c>
      <c r="BD173" s="3">
        <v>127.7</v>
      </c>
      <c r="BE173" s="3">
        <v>119.4</v>
      </c>
      <c r="BF173" s="3">
        <v>153.9</v>
      </c>
      <c r="BG173" s="3">
        <v>147</v>
      </c>
      <c r="BH173" s="3">
        <v>149.1</v>
      </c>
      <c r="BI173" s="3">
        <v>90.7</v>
      </c>
      <c r="BJ173" s="3">
        <v>139.9</v>
      </c>
      <c r="BK173" s="3">
        <v>162.1</v>
      </c>
      <c r="BL173" s="3">
        <v>152.5</v>
      </c>
      <c r="BM173" s="3">
        <v>157.6</v>
      </c>
      <c r="BN173" s="3">
        <v>86.7</v>
      </c>
      <c r="BO173" s="3">
        <v>220.3</v>
      </c>
      <c r="BP173" s="3">
        <v>203.4</v>
      </c>
      <c r="BQ173" s="3">
        <v>109.7</v>
      </c>
      <c r="BR173" s="3">
        <v>87.1</v>
      </c>
      <c r="BS173" s="3">
        <v>107.2</v>
      </c>
      <c r="BT173" s="3">
        <v>156.69999999999999</v>
      </c>
      <c r="BU173" s="3">
        <v>116.2</v>
      </c>
      <c r="BV173" s="3">
        <v>128.80000000000001</v>
      </c>
      <c r="BW173" s="3">
        <v>190.7</v>
      </c>
      <c r="BX173" s="3">
        <v>280.8</v>
      </c>
      <c r="BY173" s="3">
        <v>125</v>
      </c>
      <c r="BZ173" s="3">
        <v>218.6</v>
      </c>
      <c r="CA173" s="3">
        <v>221.4</v>
      </c>
      <c r="CB173" s="3">
        <v>266</v>
      </c>
      <c r="CC173" s="3">
        <v>213.6</v>
      </c>
      <c r="CD173" s="3">
        <v>213.6</v>
      </c>
      <c r="CE173" s="3">
        <v>163.4</v>
      </c>
      <c r="CF173" s="3">
        <v>35.700000000000003</v>
      </c>
      <c r="CG173" s="3">
        <v>109.9</v>
      </c>
      <c r="CH173" s="3">
        <v>110.2</v>
      </c>
      <c r="CI173" s="3">
        <v>205.6</v>
      </c>
      <c r="CJ173" s="3">
        <v>150.69999999999999</v>
      </c>
      <c r="CK173" s="3">
        <v>134.30000000000001</v>
      </c>
      <c r="CL173" s="3">
        <v>269.3</v>
      </c>
      <c r="CM173" s="3">
        <v>144.9</v>
      </c>
      <c r="CN173" s="3">
        <v>129</v>
      </c>
    </row>
    <row r="174" spans="1:92" x14ac:dyDescent="0.25">
      <c r="A174" s="4">
        <v>37012</v>
      </c>
      <c r="B174" s="3">
        <v>138.30000000000001</v>
      </c>
      <c r="C174" s="3">
        <v>139.5</v>
      </c>
      <c r="D174" s="3">
        <v>160.9</v>
      </c>
      <c r="E174" s="3">
        <v>134.6</v>
      </c>
      <c r="F174" s="3">
        <v>164.5</v>
      </c>
      <c r="G174" s="3">
        <v>175.6</v>
      </c>
      <c r="H174" s="3">
        <v>143.30000000000001</v>
      </c>
      <c r="I174" s="3">
        <v>179.1</v>
      </c>
      <c r="J174" s="3">
        <v>111</v>
      </c>
      <c r="K174" s="3">
        <v>139.6</v>
      </c>
      <c r="L174" s="3">
        <v>153</v>
      </c>
      <c r="M174" s="3">
        <v>162.1</v>
      </c>
      <c r="N174" s="3">
        <v>144.5</v>
      </c>
      <c r="O174" s="3">
        <v>164.7</v>
      </c>
      <c r="P174" s="3">
        <v>131.9</v>
      </c>
      <c r="Q174" s="3">
        <v>160.9</v>
      </c>
      <c r="R174" s="3">
        <v>151.69999999999999</v>
      </c>
      <c r="S174" s="3">
        <v>161.5</v>
      </c>
      <c r="T174" s="3">
        <v>138.80000000000001</v>
      </c>
      <c r="U174" s="3">
        <v>155.9</v>
      </c>
      <c r="V174" s="3">
        <v>116.4</v>
      </c>
      <c r="W174" s="3">
        <v>187.2</v>
      </c>
      <c r="X174" s="3">
        <v>133.80000000000001</v>
      </c>
      <c r="Y174" s="3">
        <v>160.1</v>
      </c>
      <c r="Z174" s="3">
        <v>169.2</v>
      </c>
      <c r="AA174" s="3">
        <v>186</v>
      </c>
      <c r="AB174" s="3">
        <v>153.6</v>
      </c>
      <c r="AC174" s="3">
        <v>144.4</v>
      </c>
      <c r="AD174" s="3">
        <v>138.6</v>
      </c>
      <c r="AE174" s="3">
        <v>149.4</v>
      </c>
      <c r="AF174" s="3">
        <v>147.6</v>
      </c>
      <c r="AG174" s="3">
        <v>144.69999999999999</v>
      </c>
      <c r="AH174" s="3">
        <v>150.30000000000001</v>
      </c>
      <c r="AI174" s="3">
        <v>152.30000000000001</v>
      </c>
      <c r="AJ174" s="3">
        <v>206.4</v>
      </c>
      <c r="AK174" s="3">
        <v>242.6</v>
      </c>
      <c r="AL174" s="3">
        <v>205.3</v>
      </c>
      <c r="AM174" s="3">
        <v>206.5</v>
      </c>
      <c r="AN174" s="3">
        <v>215.6</v>
      </c>
      <c r="AO174" s="3">
        <v>160.9</v>
      </c>
      <c r="AP174" s="3">
        <v>170.6</v>
      </c>
      <c r="AQ174" s="3">
        <v>203.1</v>
      </c>
      <c r="AR174" s="3">
        <v>152.6</v>
      </c>
      <c r="AS174" s="3">
        <v>291.2</v>
      </c>
      <c r="AT174" s="3">
        <v>228.1</v>
      </c>
      <c r="AU174" s="3">
        <v>246.6</v>
      </c>
      <c r="AV174" s="3">
        <v>225.7</v>
      </c>
      <c r="AW174" s="3">
        <v>156.30000000000001</v>
      </c>
      <c r="AX174" s="3">
        <v>201.2</v>
      </c>
      <c r="AY174" s="3">
        <v>268.89999999999998</v>
      </c>
      <c r="AZ174" s="3">
        <v>231.7</v>
      </c>
      <c r="BA174" s="3">
        <v>157.1</v>
      </c>
      <c r="BB174" s="3">
        <v>210.8</v>
      </c>
      <c r="BC174" s="3">
        <v>137.6</v>
      </c>
      <c r="BD174" s="3">
        <v>127.9</v>
      </c>
      <c r="BE174" s="3">
        <v>119.7</v>
      </c>
      <c r="BF174" s="3">
        <v>158.9</v>
      </c>
      <c r="BG174" s="3">
        <v>148.5</v>
      </c>
      <c r="BH174" s="3">
        <v>151.9</v>
      </c>
      <c r="BI174" s="3">
        <v>91.4</v>
      </c>
      <c r="BJ174" s="3">
        <v>140.6</v>
      </c>
      <c r="BK174" s="3">
        <v>162</v>
      </c>
      <c r="BL174" s="3">
        <v>152</v>
      </c>
      <c r="BM174" s="3">
        <v>157.6</v>
      </c>
      <c r="BN174" s="3">
        <v>87</v>
      </c>
      <c r="BO174" s="3">
        <v>221.1</v>
      </c>
      <c r="BP174" s="3">
        <v>203.9</v>
      </c>
      <c r="BQ174" s="3">
        <v>109.9</v>
      </c>
      <c r="BR174" s="3">
        <v>87.1</v>
      </c>
      <c r="BS174" s="3">
        <v>108.2</v>
      </c>
      <c r="BT174" s="3">
        <v>157.1</v>
      </c>
      <c r="BU174" s="3">
        <v>115.9</v>
      </c>
      <c r="BV174" s="3">
        <v>129.1</v>
      </c>
      <c r="BW174" s="3">
        <v>192.3</v>
      </c>
      <c r="BX174" s="3">
        <v>281.8</v>
      </c>
      <c r="BY174" s="3">
        <v>125.8</v>
      </c>
      <c r="BZ174" s="3">
        <v>219.4</v>
      </c>
      <c r="CA174" s="3">
        <v>227.7</v>
      </c>
      <c r="CB174" s="3">
        <v>268.3</v>
      </c>
      <c r="CC174" s="3">
        <v>213.7</v>
      </c>
      <c r="CD174" s="3">
        <v>215</v>
      </c>
      <c r="CE174" s="3">
        <v>165.5</v>
      </c>
      <c r="CF174" s="3">
        <v>36.299999999999997</v>
      </c>
      <c r="CG174" s="3">
        <v>110.7</v>
      </c>
      <c r="CH174" s="3">
        <v>109.8</v>
      </c>
      <c r="CI174" s="3">
        <v>205.5</v>
      </c>
      <c r="CJ174" s="3">
        <v>151.69999999999999</v>
      </c>
      <c r="CK174" s="3">
        <v>134.30000000000001</v>
      </c>
      <c r="CL174" s="3">
        <v>269.89999999999998</v>
      </c>
      <c r="CM174" s="3">
        <v>146.19999999999999</v>
      </c>
      <c r="CN174" s="3">
        <v>129.1</v>
      </c>
    </row>
    <row r="175" spans="1:92" x14ac:dyDescent="0.25">
      <c r="A175" s="4">
        <v>37043</v>
      </c>
      <c r="B175" s="3">
        <v>138</v>
      </c>
      <c r="C175" s="3">
        <v>139.5</v>
      </c>
      <c r="D175" s="3">
        <v>160.80000000000001</v>
      </c>
      <c r="E175" s="3">
        <v>135</v>
      </c>
      <c r="F175" s="3">
        <v>165</v>
      </c>
      <c r="G175" s="3">
        <v>174.6</v>
      </c>
      <c r="H175" s="3">
        <v>145.9</v>
      </c>
      <c r="I175" s="3">
        <v>177.6</v>
      </c>
      <c r="J175" s="3">
        <v>113.2</v>
      </c>
      <c r="K175" s="3">
        <v>139.6</v>
      </c>
      <c r="L175" s="3">
        <v>153.6</v>
      </c>
      <c r="M175" s="3">
        <v>162.4</v>
      </c>
      <c r="N175" s="3">
        <v>145.30000000000001</v>
      </c>
      <c r="O175" s="3">
        <v>164.8</v>
      </c>
      <c r="P175" s="3">
        <v>131.9</v>
      </c>
      <c r="Q175" s="3">
        <v>162.6</v>
      </c>
      <c r="R175" s="3">
        <v>150.6</v>
      </c>
      <c r="S175" s="3">
        <v>161.5</v>
      </c>
      <c r="T175" s="3">
        <v>140.1</v>
      </c>
      <c r="U175" s="3">
        <v>158</v>
      </c>
      <c r="V175" s="3">
        <v>116.3</v>
      </c>
      <c r="W175" s="3">
        <v>188.5</v>
      </c>
      <c r="X175" s="3">
        <v>134.19999999999999</v>
      </c>
      <c r="Y175" s="3">
        <v>160.6</v>
      </c>
      <c r="Z175" s="3">
        <v>179.8</v>
      </c>
      <c r="AA175" s="3">
        <v>215</v>
      </c>
      <c r="AB175" s="3">
        <v>154</v>
      </c>
      <c r="AC175" s="3">
        <v>138.5</v>
      </c>
      <c r="AD175" s="3">
        <v>131.4</v>
      </c>
      <c r="AE175" s="3">
        <v>149.30000000000001</v>
      </c>
      <c r="AF175" s="3">
        <v>153.6</v>
      </c>
      <c r="AG175" s="3">
        <v>151.5</v>
      </c>
      <c r="AH175" s="3">
        <v>150.5</v>
      </c>
      <c r="AI175" s="3">
        <v>152.4</v>
      </c>
      <c r="AJ175" s="3">
        <v>207.2</v>
      </c>
      <c r="AK175" s="3">
        <v>244.5</v>
      </c>
      <c r="AL175" s="3">
        <v>206</v>
      </c>
      <c r="AM175" s="3">
        <v>207.1</v>
      </c>
      <c r="AN175" s="3">
        <v>216.1</v>
      </c>
      <c r="AO175" s="3">
        <v>161.9</v>
      </c>
      <c r="AP175" s="3">
        <v>171.1</v>
      </c>
      <c r="AQ175" s="3">
        <v>203.5</v>
      </c>
      <c r="AR175" s="3">
        <v>153.19999999999999</v>
      </c>
      <c r="AS175" s="3">
        <v>291.2</v>
      </c>
      <c r="AT175" s="3">
        <v>228.1</v>
      </c>
      <c r="AU175" s="3">
        <v>246.8</v>
      </c>
      <c r="AV175" s="3">
        <v>217.4</v>
      </c>
      <c r="AW175" s="3">
        <v>157.30000000000001</v>
      </c>
      <c r="AX175" s="3">
        <v>201.2</v>
      </c>
      <c r="AY175" s="3">
        <v>268.89999999999998</v>
      </c>
      <c r="AZ175" s="3">
        <v>232.9</v>
      </c>
      <c r="BA175" s="3">
        <v>157.69999999999999</v>
      </c>
      <c r="BB175" s="3">
        <v>210.5</v>
      </c>
      <c r="BC175" s="3">
        <v>137.1</v>
      </c>
      <c r="BD175" s="3">
        <v>128</v>
      </c>
      <c r="BE175" s="3">
        <v>119.7</v>
      </c>
      <c r="BF175" s="3">
        <v>159.1</v>
      </c>
      <c r="BG175" s="3">
        <v>149.80000000000001</v>
      </c>
      <c r="BH175" s="3">
        <v>149.9</v>
      </c>
      <c r="BI175" s="3">
        <v>90.9</v>
      </c>
      <c r="BJ175" s="3">
        <v>140.5</v>
      </c>
      <c r="BK175" s="3">
        <v>162</v>
      </c>
      <c r="BL175" s="3">
        <v>152.80000000000001</v>
      </c>
      <c r="BM175" s="3">
        <v>157.6</v>
      </c>
      <c r="BN175" s="3">
        <v>86.8</v>
      </c>
      <c r="BO175" s="3">
        <v>221.8</v>
      </c>
      <c r="BP175" s="3">
        <v>204.4</v>
      </c>
      <c r="BQ175" s="3">
        <v>109.5</v>
      </c>
      <c r="BR175" s="3">
        <v>87.3</v>
      </c>
      <c r="BS175" s="3">
        <v>108.4</v>
      </c>
      <c r="BT175" s="3">
        <v>156</v>
      </c>
      <c r="BU175" s="3">
        <v>116</v>
      </c>
      <c r="BV175" s="3">
        <v>129.30000000000001</v>
      </c>
      <c r="BW175" s="3">
        <v>192.3</v>
      </c>
      <c r="BX175" s="3">
        <v>282.8</v>
      </c>
      <c r="BY175" s="3">
        <v>126</v>
      </c>
      <c r="BZ175" s="3">
        <v>222.1</v>
      </c>
      <c r="CA175" s="3">
        <v>229.7</v>
      </c>
      <c r="CB175" s="3">
        <v>270</v>
      </c>
      <c r="CC175" s="3">
        <v>213.7</v>
      </c>
      <c r="CD175" s="3">
        <v>214.1</v>
      </c>
      <c r="CE175" s="3">
        <v>165.7</v>
      </c>
      <c r="CF175" s="3">
        <v>35.700000000000003</v>
      </c>
      <c r="CG175" s="3">
        <v>111.8</v>
      </c>
      <c r="CH175" s="3">
        <v>109.8</v>
      </c>
      <c r="CI175" s="3">
        <v>207.1</v>
      </c>
      <c r="CJ175" s="3">
        <v>150.69999999999999</v>
      </c>
      <c r="CK175" s="3">
        <v>134.4</v>
      </c>
      <c r="CL175" s="3">
        <v>269.5</v>
      </c>
      <c r="CM175" s="3">
        <v>146.9</v>
      </c>
      <c r="CN175" s="3">
        <v>129.4</v>
      </c>
    </row>
    <row r="176" spans="1:92" x14ac:dyDescent="0.25">
      <c r="A176" s="4">
        <v>37073</v>
      </c>
      <c r="B176" s="3">
        <v>138</v>
      </c>
      <c r="C176" s="3">
        <v>139</v>
      </c>
      <c r="D176" s="3">
        <v>161.9</v>
      </c>
      <c r="E176" s="3">
        <v>133.80000000000001</v>
      </c>
      <c r="F176" s="3">
        <v>160.4</v>
      </c>
      <c r="G176" s="3">
        <v>165.5</v>
      </c>
      <c r="H176" s="3">
        <v>141.30000000000001</v>
      </c>
      <c r="I176" s="3">
        <v>173.2</v>
      </c>
      <c r="J176" s="3">
        <v>112.7</v>
      </c>
      <c r="K176" s="3">
        <v>141.6</v>
      </c>
      <c r="L176" s="3">
        <v>153.5</v>
      </c>
      <c r="M176" s="3">
        <v>163.30000000000001</v>
      </c>
      <c r="N176" s="3">
        <v>144.4</v>
      </c>
      <c r="O176" s="3">
        <v>164.1</v>
      </c>
      <c r="P176" s="3">
        <v>132.5</v>
      </c>
      <c r="Q176" s="3">
        <v>165.4</v>
      </c>
      <c r="R176" s="3">
        <v>153.1</v>
      </c>
      <c r="S176" s="3">
        <v>161.69999999999999</v>
      </c>
      <c r="T176" s="3">
        <v>140.9</v>
      </c>
      <c r="U176" s="3">
        <v>156.4</v>
      </c>
      <c r="V176" s="3">
        <v>115.8</v>
      </c>
      <c r="W176" s="3">
        <v>186.6</v>
      </c>
      <c r="X176" s="3">
        <v>133.9</v>
      </c>
      <c r="Y176" s="3">
        <v>160.9</v>
      </c>
      <c r="Z176" s="3">
        <v>173.8</v>
      </c>
      <c r="AA176" s="3">
        <v>199</v>
      </c>
      <c r="AB176" s="3">
        <v>153.5</v>
      </c>
      <c r="AC176" s="3">
        <v>118.4</v>
      </c>
      <c r="AD176" s="3">
        <v>107.1</v>
      </c>
      <c r="AE176" s="3">
        <v>149.4</v>
      </c>
      <c r="AF176" s="3">
        <v>144.19999999999999</v>
      </c>
      <c r="AG176" s="3">
        <v>140.9</v>
      </c>
      <c r="AH176" s="3">
        <v>150</v>
      </c>
      <c r="AI176" s="3">
        <v>152.6</v>
      </c>
      <c r="AJ176" s="3">
        <v>208</v>
      </c>
      <c r="AK176" s="3">
        <v>246.5</v>
      </c>
      <c r="AL176" s="3">
        <v>206.9</v>
      </c>
      <c r="AM176" s="3">
        <v>207.1</v>
      </c>
      <c r="AN176" s="3">
        <v>216.2</v>
      </c>
      <c r="AO176" s="3">
        <v>161.5</v>
      </c>
      <c r="AP176" s="3">
        <v>171.2</v>
      </c>
      <c r="AQ176" s="3">
        <v>203.9</v>
      </c>
      <c r="AR176" s="3">
        <v>153</v>
      </c>
      <c r="AS176" s="3">
        <v>291.3</v>
      </c>
      <c r="AT176" s="3">
        <v>228.2</v>
      </c>
      <c r="AU176" s="3">
        <v>247</v>
      </c>
      <c r="AV176" s="3">
        <v>218.4</v>
      </c>
      <c r="AW176" s="3">
        <v>160.1</v>
      </c>
      <c r="AX176" s="3">
        <v>201.2</v>
      </c>
      <c r="AY176" s="3">
        <v>268.89999999999998</v>
      </c>
      <c r="AZ176" s="3">
        <v>234.9</v>
      </c>
      <c r="BA176" s="3">
        <v>155.6</v>
      </c>
      <c r="BB176" s="3">
        <v>212.1</v>
      </c>
      <c r="BC176" s="3">
        <v>136.5</v>
      </c>
      <c r="BD176" s="3">
        <v>128.1</v>
      </c>
      <c r="BE176" s="3">
        <v>119.7</v>
      </c>
      <c r="BF176" s="3">
        <v>154.19999999999999</v>
      </c>
      <c r="BG176" s="3">
        <v>145.6</v>
      </c>
      <c r="BH176" s="3">
        <v>145.6</v>
      </c>
      <c r="BI176" s="3">
        <v>88.8</v>
      </c>
      <c r="BJ176" s="3">
        <v>137.5</v>
      </c>
      <c r="BK176" s="3">
        <v>161.9</v>
      </c>
      <c r="BL176" s="3">
        <v>153.19999999999999</v>
      </c>
      <c r="BM176" s="3">
        <v>158.69999999999999</v>
      </c>
      <c r="BN176" s="3">
        <v>87.9</v>
      </c>
      <c r="BO176" s="3">
        <v>223.1</v>
      </c>
      <c r="BP176" s="3">
        <v>203.9</v>
      </c>
      <c r="BQ176" s="3">
        <v>101.7</v>
      </c>
      <c r="BR176" s="3">
        <v>79.400000000000006</v>
      </c>
      <c r="BS176" s="3">
        <v>102.9</v>
      </c>
      <c r="BT176" s="3">
        <v>150.80000000000001</v>
      </c>
      <c r="BU176" s="3">
        <v>111.4</v>
      </c>
      <c r="BV176" s="3">
        <v>128.19999999999999</v>
      </c>
      <c r="BW176" s="3">
        <v>191.1</v>
      </c>
      <c r="BX176" s="3">
        <v>284.89999999999998</v>
      </c>
      <c r="BY176" s="3">
        <v>126.6</v>
      </c>
      <c r="BZ176" s="3">
        <v>223</v>
      </c>
      <c r="CA176" s="3">
        <v>226.5</v>
      </c>
      <c r="CB176" s="3">
        <v>261.89999999999998</v>
      </c>
      <c r="CC176" s="3">
        <v>213.5</v>
      </c>
      <c r="CD176" s="3">
        <v>211.8</v>
      </c>
      <c r="CE176" s="3">
        <v>165.5</v>
      </c>
      <c r="CF176" s="3">
        <v>35.700000000000003</v>
      </c>
      <c r="CG176" s="3">
        <v>110.6</v>
      </c>
      <c r="CH176" s="3">
        <v>108.9</v>
      </c>
      <c r="CI176" s="3">
        <v>208</v>
      </c>
      <c r="CJ176" s="3">
        <v>148.6</v>
      </c>
      <c r="CK176" s="3">
        <v>135.80000000000001</v>
      </c>
      <c r="CL176" s="3">
        <v>270.3</v>
      </c>
      <c r="CM176" s="3">
        <v>149.30000000000001</v>
      </c>
      <c r="CN176" s="3">
        <v>130.30000000000001</v>
      </c>
    </row>
    <row r="177" spans="1:92" x14ac:dyDescent="0.25">
      <c r="A177" s="4">
        <v>37104</v>
      </c>
      <c r="B177" s="3">
        <v>138.6</v>
      </c>
      <c r="C177" s="3">
        <v>139.19999999999999</v>
      </c>
      <c r="D177" s="3">
        <v>161.30000000000001</v>
      </c>
      <c r="E177" s="3">
        <v>135.30000000000001</v>
      </c>
      <c r="F177" s="3">
        <v>154</v>
      </c>
      <c r="G177" s="3">
        <v>156.69999999999999</v>
      </c>
      <c r="H177" s="3">
        <v>142.1</v>
      </c>
      <c r="I177" s="3">
        <v>173.6</v>
      </c>
      <c r="J177" s="3">
        <v>113.1</v>
      </c>
      <c r="K177" s="3">
        <v>140.9</v>
      </c>
      <c r="L177" s="3">
        <v>154</v>
      </c>
      <c r="M177" s="3">
        <v>164.4</v>
      </c>
      <c r="N177" s="3">
        <v>144.4</v>
      </c>
      <c r="O177" s="3">
        <v>165.8</v>
      </c>
      <c r="P177" s="3">
        <v>131.30000000000001</v>
      </c>
      <c r="Q177" s="3">
        <v>166.8</v>
      </c>
      <c r="R177" s="3">
        <v>151.80000000000001</v>
      </c>
      <c r="S177" s="3">
        <v>161.80000000000001</v>
      </c>
      <c r="T177" s="3">
        <v>139.80000000000001</v>
      </c>
      <c r="U177" s="3">
        <v>160.19999999999999</v>
      </c>
      <c r="V177" s="3">
        <v>116.3</v>
      </c>
      <c r="W177" s="3">
        <v>188</v>
      </c>
      <c r="X177" s="3">
        <v>134.1</v>
      </c>
      <c r="Y177" s="3">
        <v>161.30000000000001</v>
      </c>
      <c r="Z177" s="3">
        <v>163.69999999999999</v>
      </c>
      <c r="AA177" s="3">
        <v>171.6</v>
      </c>
      <c r="AB177" s="3">
        <v>153</v>
      </c>
      <c r="AC177" s="3">
        <v>118.8</v>
      </c>
      <c r="AD177" s="3">
        <v>107.5</v>
      </c>
      <c r="AE177" s="3">
        <v>149.80000000000001</v>
      </c>
      <c r="AF177" s="3">
        <v>143.69999999999999</v>
      </c>
      <c r="AG177" s="3">
        <v>140.30000000000001</v>
      </c>
      <c r="AH177" s="3">
        <v>150.6</v>
      </c>
      <c r="AI177" s="3">
        <v>153.1</v>
      </c>
      <c r="AJ177" s="3">
        <v>208.5</v>
      </c>
      <c r="AK177" s="3">
        <v>246.7</v>
      </c>
      <c r="AL177" s="3">
        <v>207.6</v>
      </c>
      <c r="AM177" s="3">
        <v>207.7</v>
      </c>
      <c r="AN177" s="3">
        <v>216.5</v>
      </c>
      <c r="AO177" s="3">
        <v>163.30000000000001</v>
      </c>
      <c r="AP177" s="3">
        <v>171.4</v>
      </c>
      <c r="AQ177" s="3">
        <v>204.2</v>
      </c>
      <c r="AR177" s="3">
        <v>153</v>
      </c>
      <c r="AS177" s="3">
        <v>291.39999999999998</v>
      </c>
      <c r="AT177" s="3">
        <v>228.2</v>
      </c>
      <c r="AU177" s="3">
        <v>247</v>
      </c>
      <c r="AV177" s="3">
        <v>219.5</v>
      </c>
      <c r="AW177" s="3">
        <v>163.1</v>
      </c>
      <c r="AX177" s="3">
        <v>201.2</v>
      </c>
      <c r="AY177" s="3">
        <v>268.89999999999998</v>
      </c>
      <c r="AZ177" s="3">
        <v>235.6</v>
      </c>
      <c r="BA177" s="3">
        <v>157.1</v>
      </c>
      <c r="BB177" s="3">
        <v>213.5</v>
      </c>
      <c r="BC177" s="3">
        <v>136.69999999999999</v>
      </c>
      <c r="BD177" s="3">
        <v>128.19999999999999</v>
      </c>
      <c r="BE177" s="3">
        <v>119.7</v>
      </c>
      <c r="BF177" s="3">
        <v>151</v>
      </c>
      <c r="BG177" s="3">
        <v>145.80000000000001</v>
      </c>
      <c r="BH177" s="3">
        <v>148.80000000000001</v>
      </c>
      <c r="BI177" s="3">
        <v>89.6</v>
      </c>
      <c r="BJ177" s="3">
        <v>140.19999999999999</v>
      </c>
      <c r="BK177" s="3">
        <v>161.80000000000001</v>
      </c>
      <c r="BL177" s="3">
        <v>153.5</v>
      </c>
      <c r="BM177" s="3">
        <v>158.69999999999999</v>
      </c>
      <c r="BN177" s="3">
        <v>89.6</v>
      </c>
      <c r="BO177" s="3">
        <v>224</v>
      </c>
      <c r="BP177" s="3">
        <v>204.5</v>
      </c>
      <c r="BQ177" s="3">
        <v>104.7</v>
      </c>
      <c r="BR177" s="3">
        <v>82.1</v>
      </c>
      <c r="BS177" s="3">
        <v>106</v>
      </c>
      <c r="BT177" s="3">
        <v>152.19999999999999</v>
      </c>
      <c r="BU177" s="3">
        <v>113.8</v>
      </c>
      <c r="BV177" s="3">
        <v>128.69999999999999</v>
      </c>
      <c r="BW177" s="3">
        <v>191</v>
      </c>
      <c r="BX177" s="3">
        <v>285.60000000000002</v>
      </c>
      <c r="BY177" s="3">
        <v>126.5</v>
      </c>
      <c r="BZ177" s="3">
        <v>223.1</v>
      </c>
      <c r="CA177" s="3">
        <v>224.1</v>
      </c>
      <c r="CB177" s="3">
        <v>263</v>
      </c>
      <c r="CC177" s="3">
        <v>214.8</v>
      </c>
      <c r="CD177" s="3">
        <v>212.9</v>
      </c>
      <c r="CE177" s="3">
        <v>166.6</v>
      </c>
      <c r="CF177" s="3">
        <v>35.299999999999997</v>
      </c>
      <c r="CG177" s="3">
        <v>109.8</v>
      </c>
      <c r="CH177" s="3">
        <v>109.4</v>
      </c>
      <c r="CI177" s="3">
        <v>208.9</v>
      </c>
      <c r="CJ177" s="3">
        <v>147.80000000000001</v>
      </c>
      <c r="CK177" s="3">
        <v>135.80000000000001</v>
      </c>
      <c r="CL177" s="3">
        <v>272</v>
      </c>
      <c r="CM177" s="3">
        <v>150.1</v>
      </c>
      <c r="CN177" s="3">
        <v>131</v>
      </c>
    </row>
    <row r="178" spans="1:92" x14ac:dyDescent="0.25">
      <c r="A178" s="4">
        <v>37135</v>
      </c>
      <c r="B178" s="3">
        <v>140.80000000000001</v>
      </c>
      <c r="C178" s="3">
        <v>139.6</v>
      </c>
      <c r="D178" s="3">
        <v>161.5</v>
      </c>
      <c r="E178" s="3">
        <v>131.69999999999999</v>
      </c>
      <c r="F178" s="3">
        <v>155.69999999999999</v>
      </c>
      <c r="G178" s="3">
        <v>158.69999999999999</v>
      </c>
      <c r="H178" s="3">
        <v>140.30000000000001</v>
      </c>
      <c r="I178" s="3">
        <v>174.1</v>
      </c>
      <c r="J178" s="3">
        <v>113.3</v>
      </c>
      <c r="K178" s="3">
        <v>140.4</v>
      </c>
      <c r="L178" s="3">
        <v>154.69999999999999</v>
      </c>
      <c r="M178" s="3">
        <v>163.80000000000001</v>
      </c>
      <c r="N178" s="3">
        <v>146.19999999999999</v>
      </c>
      <c r="O178" s="3">
        <v>165.3</v>
      </c>
      <c r="P178" s="3">
        <v>130.30000000000001</v>
      </c>
      <c r="Q178" s="3">
        <v>164.9</v>
      </c>
      <c r="R178" s="3">
        <v>153.6</v>
      </c>
      <c r="S178" s="3">
        <v>162.30000000000001</v>
      </c>
      <c r="T178" s="3">
        <v>139.30000000000001</v>
      </c>
      <c r="U178" s="3">
        <v>158.69999999999999</v>
      </c>
      <c r="V178" s="3">
        <v>115.9</v>
      </c>
      <c r="W178" s="3">
        <v>186.2</v>
      </c>
      <c r="X178" s="3">
        <v>135.5</v>
      </c>
      <c r="Y178" s="3">
        <v>161.5</v>
      </c>
      <c r="Z178" s="3">
        <v>158.6</v>
      </c>
      <c r="AA178" s="3">
        <v>159.80000000000001</v>
      </c>
      <c r="AB178" s="3">
        <v>151.69999999999999</v>
      </c>
      <c r="AC178" s="3">
        <v>120.8</v>
      </c>
      <c r="AD178" s="3">
        <v>110.1</v>
      </c>
      <c r="AE178" s="3">
        <v>149.30000000000001</v>
      </c>
      <c r="AF178" s="3">
        <v>144.1</v>
      </c>
      <c r="AG178" s="3">
        <v>140.80000000000001</v>
      </c>
      <c r="AH178" s="3">
        <v>149.5</v>
      </c>
      <c r="AI178" s="3">
        <v>152.4</v>
      </c>
      <c r="AJ178" s="3">
        <v>208.7</v>
      </c>
      <c r="AK178" s="3">
        <v>249.6</v>
      </c>
      <c r="AL178" s="3">
        <v>208.1</v>
      </c>
      <c r="AM178" s="3">
        <v>207.8</v>
      </c>
      <c r="AN178" s="3">
        <v>216.7</v>
      </c>
      <c r="AO178" s="3">
        <v>163.1</v>
      </c>
      <c r="AP178" s="3">
        <v>170.9</v>
      </c>
      <c r="AQ178" s="3">
        <v>204.6</v>
      </c>
      <c r="AR178" s="3">
        <v>152</v>
      </c>
      <c r="AS178" s="3">
        <v>294.5</v>
      </c>
      <c r="AT178" s="3">
        <v>231.8</v>
      </c>
      <c r="AU178" s="3">
        <v>247.3</v>
      </c>
      <c r="AV178" s="3">
        <v>215.8</v>
      </c>
      <c r="AW178" s="3">
        <v>165.9</v>
      </c>
      <c r="AX178" s="3">
        <v>201.2</v>
      </c>
      <c r="AY178" s="3">
        <v>268.89999999999998</v>
      </c>
      <c r="AZ178" s="3">
        <v>236.1</v>
      </c>
      <c r="BA178" s="3">
        <v>157.19999999999999</v>
      </c>
      <c r="BB178" s="3">
        <v>214.4</v>
      </c>
      <c r="BC178" s="3">
        <v>143.69999999999999</v>
      </c>
      <c r="BD178" s="3">
        <v>128.30000000000001</v>
      </c>
      <c r="BE178" s="3">
        <v>119.7</v>
      </c>
      <c r="BF178" s="3">
        <v>171.1</v>
      </c>
      <c r="BG178" s="3">
        <v>150.19999999999999</v>
      </c>
      <c r="BH178" s="3">
        <v>152.1</v>
      </c>
      <c r="BI178" s="3">
        <v>89.8</v>
      </c>
      <c r="BJ178" s="3">
        <v>141.6</v>
      </c>
      <c r="BK178" s="3">
        <v>162.6</v>
      </c>
      <c r="BL178" s="3">
        <v>154.19999999999999</v>
      </c>
      <c r="BM178" s="3">
        <v>158.69999999999999</v>
      </c>
      <c r="BN178" s="3">
        <v>89.6</v>
      </c>
      <c r="BO178" s="3">
        <v>225</v>
      </c>
      <c r="BP178" s="3">
        <v>207.3</v>
      </c>
      <c r="BQ178" s="3">
        <v>108.5</v>
      </c>
      <c r="BR178" s="3">
        <v>85.4</v>
      </c>
      <c r="BS178" s="3">
        <v>107.9</v>
      </c>
      <c r="BT178" s="3">
        <v>154.19999999999999</v>
      </c>
      <c r="BU178" s="3">
        <v>116</v>
      </c>
      <c r="BV178" s="3">
        <v>129.9</v>
      </c>
      <c r="BW178" s="3">
        <v>191.6</v>
      </c>
      <c r="BX178" s="3">
        <v>286.10000000000002</v>
      </c>
      <c r="BY178" s="3">
        <v>126.1</v>
      </c>
      <c r="BZ178" s="3">
        <v>222.5</v>
      </c>
      <c r="CA178" s="3">
        <v>223</v>
      </c>
      <c r="CB178" s="3">
        <v>265.2</v>
      </c>
      <c r="CC178" s="3">
        <v>214.8</v>
      </c>
      <c r="CD178" s="3">
        <v>212.9</v>
      </c>
      <c r="CE178" s="3">
        <v>165.9</v>
      </c>
      <c r="CF178" s="3">
        <v>34.799999999999997</v>
      </c>
      <c r="CG178" s="3">
        <v>109.1</v>
      </c>
      <c r="CH178" s="3">
        <v>109.4</v>
      </c>
      <c r="CI178" s="3">
        <v>209.7</v>
      </c>
      <c r="CJ178" s="3">
        <v>147.69999999999999</v>
      </c>
      <c r="CK178" s="3">
        <v>135.80000000000001</v>
      </c>
      <c r="CL178" s="3">
        <v>274.39999999999998</v>
      </c>
      <c r="CM178" s="3">
        <v>150.80000000000001</v>
      </c>
      <c r="CN178" s="3">
        <v>131.1</v>
      </c>
    </row>
    <row r="179" spans="1:92" x14ac:dyDescent="0.25">
      <c r="A179" s="4">
        <v>37165</v>
      </c>
      <c r="B179" s="3">
        <v>142.19999999999999</v>
      </c>
      <c r="C179" s="3">
        <v>138.80000000000001</v>
      </c>
      <c r="D179" s="3">
        <v>162.69999999999999</v>
      </c>
      <c r="E179" s="3">
        <v>132.80000000000001</v>
      </c>
      <c r="F179" s="3">
        <v>157.80000000000001</v>
      </c>
      <c r="G179" s="3">
        <v>156</v>
      </c>
      <c r="H179" s="3">
        <v>144.30000000000001</v>
      </c>
      <c r="I179" s="3">
        <v>173</v>
      </c>
      <c r="J179" s="3">
        <v>108.9</v>
      </c>
      <c r="K179" s="3">
        <v>141.80000000000001</v>
      </c>
      <c r="L179" s="3">
        <v>154.69999999999999</v>
      </c>
      <c r="M179" s="3">
        <v>164.2</v>
      </c>
      <c r="N179" s="3">
        <v>145.69999999999999</v>
      </c>
      <c r="O179" s="3">
        <v>164.2</v>
      </c>
      <c r="P179" s="3">
        <v>128.69999999999999</v>
      </c>
      <c r="Q179" s="3">
        <v>165.7</v>
      </c>
      <c r="R179" s="3">
        <v>152.80000000000001</v>
      </c>
      <c r="S179" s="3">
        <v>162.1</v>
      </c>
      <c r="T179" s="3">
        <v>140.30000000000001</v>
      </c>
      <c r="U179" s="3">
        <v>162.4</v>
      </c>
      <c r="V179" s="3">
        <v>115.7</v>
      </c>
      <c r="W179" s="3">
        <v>186.6</v>
      </c>
      <c r="X179" s="3">
        <v>134.69999999999999</v>
      </c>
      <c r="Y179" s="3">
        <v>160.80000000000001</v>
      </c>
      <c r="Z179" s="3">
        <v>156.69999999999999</v>
      </c>
      <c r="AA179" s="3">
        <v>152.30000000000001</v>
      </c>
      <c r="AB179" s="3">
        <v>153</v>
      </c>
      <c r="AC179" s="3">
        <v>122.3</v>
      </c>
      <c r="AD179" s="3">
        <v>112</v>
      </c>
      <c r="AE179" s="3">
        <v>148.80000000000001</v>
      </c>
      <c r="AF179" s="3">
        <v>146.69999999999999</v>
      </c>
      <c r="AG179" s="3">
        <v>143.69999999999999</v>
      </c>
      <c r="AH179" s="3">
        <v>150.30000000000001</v>
      </c>
      <c r="AI179" s="3">
        <v>153.30000000000001</v>
      </c>
      <c r="AJ179" s="3">
        <v>209.4</v>
      </c>
      <c r="AK179" s="3">
        <v>251.3</v>
      </c>
      <c r="AL179" s="3">
        <v>208.6</v>
      </c>
      <c r="AM179" s="3">
        <v>208.3</v>
      </c>
      <c r="AN179" s="3">
        <v>217.6</v>
      </c>
      <c r="AO179" s="3">
        <v>162</v>
      </c>
      <c r="AP179" s="3">
        <v>172</v>
      </c>
      <c r="AQ179" s="3">
        <v>205.3</v>
      </c>
      <c r="AR179" s="3">
        <v>153.4</v>
      </c>
      <c r="AS179" s="3">
        <v>294.7</v>
      </c>
      <c r="AT179" s="3">
        <v>232</v>
      </c>
      <c r="AU179" s="3">
        <v>247.8</v>
      </c>
      <c r="AV179" s="3">
        <v>209.7</v>
      </c>
      <c r="AW179" s="3">
        <v>165.4</v>
      </c>
      <c r="AX179" s="3">
        <v>201.2</v>
      </c>
      <c r="AY179" s="3">
        <v>268.89999999999998</v>
      </c>
      <c r="AZ179" s="3">
        <v>238.3</v>
      </c>
      <c r="BA179" s="3">
        <v>156.80000000000001</v>
      </c>
      <c r="BB179" s="3">
        <v>214.3</v>
      </c>
      <c r="BC179" s="3">
        <v>147.19999999999999</v>
      </c>
      <c r="BD179" s="3">
        <v>128.4</v>
      </c>
      <c r="BE179" s="3">
        <v>119.7</v>
      </c>
      <c r="BF179" s="3">
        <v>149.19999999999999</v>
      </c>
      <c r="BG179" s="3">
        <v>147.9</v>
      </c>
      <c r="BH179" s="3">
        <v>147.1</v>
      </c>
      <c r="BI179" s="3">
        <v>89.8</v>
      </c>
      <c r="BJ179" s="3">
        <v>140.9</v>
      </c>
      <c r="BK179" s="3">
        <v>162.80000000000001</v>
      </c>
      <c r="BL179" s="3">
        <v>154.69999999999999</v>
      </c>
      <c r="BM179" s="3">
        <v>158.69999999999999</v>
      </c>
      <c r="BN179" s="3">
        <v>90.2</v>
      </c>
      <c r="BO179" s="3">
        <v>226.6</v>
      </c>
      <c r="BP179" s="3">
        <v>209</v>
      </c>
      <c r="BQ179" s="3">
        <v>108.1</v>
      </c>
      <c r="BR179" s="3">
        <v>84.6</v>
      </c>
      <c r="BS179" s="3">
        <v>106.4</v>
      </c>
      <c r="BT179" s="3">
        <v>153.30000000000001</v>
      </c>
      <c r="BU179" s="3">
        <v>116.5</v>
      </c>
      <c r="BV179" s="3">
        <v>129.4</v>
      </c>
      <c r="BW179" s="3">
        <v>191.9</v>
      </c>
      <c r="BX179" s="3">
        <v>286.60000000000002</v>
      </c>
      <c r="BY179" s="3">
        <v>124.7</v>
      </c>
      <c r="BZ179" s="3">
        <v>223.2</v>
      </c>
      <c r="CA179" s="3">
        <v>219.4</v>
      </c>
      <c r="CB179" s="3">
        <v>266.3</v>
      </c>
      <c r="CC179" s="3">
        <v>214.8</v>
      </c>
      <c r="CD179" s="3">
        <v>214.4</v>
      </c>
      <c r="CE179" s="3">
        <v>165.3</v>
      </c>
      <c r="CF179" s="3">
        <v>34.299999999999997</v>
      </c>
      <c r="CG179" s="3">
        <v>109.6</v>
      </c>
      <c r="CH179" s="3">
        <v>108.7</v>
      </c>
      <c r="CI179" s="3">
        <v>210.5</v>
      </c>
      <c r="CJ179" s="3">
        <v>144.69999999999999</v>
      </c>
      <c r="CK179" s="3">
        <v>138.69999999999999</v>
      </c>
      <c r="CL179" s="3">
        <v>274</v>
      </c>
      <c r="CM179" s="3">
        <v>152</v>
      </c>
      <c r="CN179" s="3">
        <v>131.4</v>
      </c>
    </row>
    <row r="180" spans="1:92" x14ac:dyDescent="0.25">
      <c r="A180" s="4">
        <v>37196</v>
      </c>
      <c r="B180" s="3">
        <v>144</v>
      </c>
      <c r="C180" s="3">
        <v>138.80000000000001</v>
      </c>
      <c r="D180" s="3">
        <v>163.1</v>
      </c>
      <c r="E180" s="3">
        <v>132.80000000000001</v>
      </c>
      <c r="F180" s="3">
        <v>156.9</v>
      </c>
      <c r="G180" s="3">
        <v>154.5</v>
      </c>
      <c r="H180" s="3">
        <v>140.4</v>
      </c>
      <c r="I180" s="3">
        <v>173.6</v>
      </c>
      <c r="J180" s="3">
        <v>111.2</v>
      </c>
      <c r="K180" s="3">
        <v>139.9</v>
      </c>
      <c r="L180" s="3">
        <v>156.19999999999999</v>
      </c>
      <c r="M180" s="3">
        <v>167</v>
      </c>
      <c r="N180" s="3">
        <v>146.19999999999999</v>
      </c>
      <c r="O180" s="3">
        <v>165.2</v>
      </c>
      <c r="P180" s="3">
        <v>132.5</v>
      </c>
      <c r="Q180" s="3">
        <v>166.3</v>
      </c>
      <c r="R180" s="3">
        <v>151.80000000000001</v>
      </c>
      <c r="S180" s="3">
        <v>162.5</v>
      </c>
      <c r="T180" s="3">
        <v>138.6</v>
      </c>
      <c r="U180" s="3">
        <v>162.1</v>
      </c>
      <c r="V180" s="3">
        <v>115.5</v>
      </c>
      <c r="W180" s="3">
        <v>183.7</v>
      </c>
      <c r="X180" s="3">
        <v>135</v>
      </c>
      <c r="Y180" s="3">
        <v>161</v>
      </c>
      <c r="Z180" s="3">
        <v>154.6</v>
      </c>
      <c r="AA180" s="3">
        <v>149.19999999999999</v>
      </c>
      <c r="AB180" s="3">
        <v>151.4</v>
      </c>
      <c r="AC180" s="3">
        <v>118.4</v>
      </c>
      <c r="AD180" s="3">
        <v>107.4</v>
      </c>
      <c r="AE180" s="3">
        <v>148.4</v>
      </c>
      <c r="AF180" s="3">
        <v>151.1</v>
      </c>
      <c r="AG180" s="3">
        <v>148.6</v>
      </c>
      <c r="AH180" s="3">
        <v>150.1</v>
      </c>
      <c r="AI180" s="3">
        <v>153.1</v>
      </c>
      <c r="AJ180" s="3">
        <v>210.2</v>
      </c>
      <c r="AK180" s="3">
        <v>252.4</v>
      </c>
      <c r="AL180" s="3">
        <v>208.3</v>
      </c>
      <c r="AM180" s="3">
        <v>208.7</v>
      </c>
      <c r="AN180" s="3">
        <v>218.1</v>
      </c>
      <c r="AO180" s="3">
        <v>161.9</v>
      </c>
      <c r="AP180" s="3">
        <v>171.1</v>
      </c>
      <c r="AQ180" s="3">
        <v>205.8</v>
      </c>
      <c r="AR180" s="3">
        <v>151.5</v>
      </c>
      <c r="AS180" s="3">
        <v>294.8</v>
      </c>
      <c r="AT180" s="3">
        <v>232.1</v>
      </c>
      <c r="AU180" s="3">
        <v>247.9</v>
      </c>
      <c r="AV180" s="3">
        <v>202.7</v>
      </c>
      <c r="AW180" s="3">
        <v>163.80000000000001</v>
      </c>
      <c r="AX180" s="3">
        <v>201.2</v>
      </c>
      <c r="AY180" s="3">
        <v>268.89999999999998</v>
      </c>
      <c r="AZ180" s="3">
        <v>238.7</v>
      </c>
      <c r="BA180" s="3">
        <v>156.69999999999999</v>
      </c>
      <c r="BB180" s="3">
        <v>215.8</v>
      </c>
      <c r="BC180" s="3">
        <v>147.9</v>
      </c>
      <c r="BD180" s="3">
        <v>128.4</v>
      </c>
      <c r="BE180" s="3">
        <v>119.7</v>
      </c>
      <c r="BF180" s="3">
        <v>139.5</v>
      </c>
      <c r="BG180" s="3">
        <v>150.4</v>
      </c>
      <c r="BH180" s="3">
        <v>150.9</v>
      </c>
      <c r="BI180" s="3">
        <v>90.3</v>
      </c>
      <c r="BJ180" s="3">
        <v>141.80000000000001</v>
      </c>
      <c r="BK180" s="3">
        <v>161.9</v>
      </c>
      <c r="BL180" s="3">
        <v>154.69999999999999</v>
      </c>
      <c r="BM180" s="3">
        <v>158.69999999999999</v>
      </c>
      <c r="BN180" s="3">
        <v>90</v>
      </c>
      <c r="BO180" s="3">
        <v>227.2</v>
      </c>
      <c r="BP180" s="3">
        <v>210</v>
      </c>
      <c r="BQ180" s="3">
        <v>108.4</v>
      </c>
      <c r="BR180" s="3">
        <v>84.5</v>
      </c>
      <c r="BS180" s="3">
        <v>108.1</v>
      </c>
      <c r="BT180" s="3">
        <v>153.30000000000001</v>
      </c>
      <c r="BU180" s="3">
        <v>116.2</v>
      </c>
      <c r="BV180" s="3">
        <v>130</v>
      </c>
      <c r="BW180" s="3">
        <v>192</v>
      </c>
      <c r="BX180" s="3">
        <v>286.89999999999998</v>
      </c>
      <c r="BY180" s="3">
        <v>122.6</v>
      </c>
      <c r="BZ180" s="3">
        <v>224</v>
      </c>
      <c r="CA180" s="3">
        <v>208.2</v>
      </c>
      <c r="CB180" s="3">
        <v>267.39999999999998</v>
      </c>
      <c r="CC180" s="3">
        <v>214.8</v>
      </c>
      <c r="CD180" s="3">
        <v>214.9</v>
      </c>
      <c r="CE180" s="3">
        <v>165.9</v>
      </c>
      <c r="CF180" s="3">
        <v>33.799999999999997</v>
      </c>
      <c r="CG180" s="3">
        <v>108.3</v>
      </c>
      <c r="CH180" s="3">
        <v>109.1</v>
      </c>
      <c r="CI180" s="3">
        <v>211.6</v>
      </c>
      <c r="CJ180" s="3">
        <v>146.30000000000001</v>
      </c>
      <c r="CK180" s="3">
        <v>138.69999999999999</v>
      </c>
      <c r="CL180" s="3">
        <v>274.39999999999998</v>
      </c>
      <c r="CM180" s="3">
        <v>152.19999999999999</v>
      </c>
      <c r="CN180" s="3">
        <v>131.4</v>
      </c>
    </row>
    <row r="181" spans="1:92" x14ac:dyDescent="0.25">
      <c r="A181" s="4">
        <v>37226</v>
      </c>
      <c r="B181" s="3">
        <v>144.19999999999999</v>
      </c>
      <c r="C181" s="3">
        <v>138.9</v>
      </c>
      <c r="D181" s="3">
        <v>162.80000000000001</v>
      </c>
      <c r="E181" s="3">
        <v>131.6</v>
      </c>
      <c r="F181" s="3">
        <v>160.30000000000001</v>
      </c>
      <c r="G181" s="3">
        <v>158.5</v>
      </c>
      <c r="H181" s="3">
        <v>144.5</v>
      </c>
      <c r="I181" s="3">
        <v>172.4</v>
      </c>
      <c r="J181" s="3">
        <v>107.7</v>
      </c>
      <c r="K181" s="3">
        <v>141.69999999999999</v>
      </c>
      <c r="L181" s="3">
        <v>155</v>
      </c>
      <c r="M181" s="3">
        <v>164.5</v>
      </c>
      <c r="N181" s="3">
        <v>146</v>
      </c>
      <c r="O181" s="3">
        <v>162.4</v>
      </c>
      <c r="P181" s="3">
        <v>133.30000000000001</v>
      </c>
      <c r="Q181" s="3">
        <v>167.5</v>
      </c>
      <c r="R181" s="3">
        <v>151.19999999999999</v>
      </c>
      <c r="S181" s="3">
        <v>162.9</v>
      </c>
      <c r="T181" s="3">
        <v>139.69999999999999</v>
      </c>
      <c r="U181" s="3">
        <v>161.6</v>
      </c>
      <c r="V181" s="3">
        <v>115.2</v>
      </c>
      <c r="W181" s="3">
        <v>185.5</v>
      </c>
      <c r="X181" s="3">
        <v>133.9</v>
      </c>
      <c r="Y181" s="3">
        <v>161.6</v>
      </c>
      <c r="Z181" s="3">
        <v>154.6</v>
      </c>
      <c r="AA181" s="3">
        <v>149.5</v>
      </c>
      <c r="AB181" s="3">
        <v>151.30000000000001</v>
      </c>
      <c r="AC181" s="3">
        <v>123.5</v>
      </c>
      <c r="AD181" s="3">
        <v>113.9</v>
      </c>
      <c r="AE181" s="3">
        <v>147.1</v>
      </c>
      <c r="AF181" s="3">
        <v>154.4</v>
      </c>
      <c r="AG181" s="3">
        <v>152.4</v>
      </c>
      <c r="AH181" s="3">
        <v>150</v>
      </c>
      <c r="AI181" s="3">
        <v>153.19999999999999</v>
      </c>
      <c r="AJ181" s="3">
        <v>210.7</v>
      </c>
      <c r="AK181" s="3">
        <v>252.6</v>
      </c>
      <c r="AL181" s="3">
        <v>208.7</v>
      </c>
      <c r="AM181" s="3">
        <v>208</v>
      </c>
      <c r="AN181" s="3">
        <v>218.3</v>
      </c>
      <c r="AO181" s="3">
        <v>157.5</v>
      </c>
      <c r="AP181" s="3">
        <v>170.2</v>
      </c>
      <c r="AQ181" s="3">
        <v>206.1</v>
      </c>
      <c r="AR181" s="3">
        <v>149.69999999999999</v>
      </c>
      <c r="AS181" s="3">
        <v>295.39999999999998</v>
      </c>
      <c r="AT181" s="3">
        <v>232.1</v>
      </c>
      <c r="AU181" s="3">
        <v>248.3</v>
      </c>
      <c r="AV181" s="3">
        <v>188.2</v>
      </c>
      <c r="AW181" s="3">
        <v>163.4</v>
      </c>
      <c r="AX181" s="3">
        <v>201.2</v>
      </c>
      <c r="AY181" s="3">
        <v>268.89999999999998</v>
      </c>
      <c r="AZ181" s="3">
        <v>239.2</v>
      </c>
      <c r="BA181" s="3">
        <v>157.30000000000001</v>
      </c>
      <c r="BB181" s="3">
        <v>216.6</v>
      </c>
      <c r="BC181" s="3">
        <v>148.5</v>
      </c>
      <c r="BD181" s="3">
        <v>128.4</v>
      </c>
      <c r="BE181" s="3">
        <v>119.7</v>
      </c>
      <c r="BF181" s="3">
        <v>133.69999999999999</v>
      </c>
      <c r="BG181" s="3">
        <v>158.19999999999999</v>
      </c>
      <c r="BH181" s="3">
        <v>153.30000000000001</v>
      </c>
      <c r="BI181" s="3">
        <v>90.5</v>
      </c>
      <c r="BJ181" s="3">
        <v>141.9</v>
      </c>
      <c r="BK181" s="3">
        <v>162.80000000000001</v>
      </c>
      <c r="BL181" s="3">
        <v>154.30000000000001</v>
      </c>
      <c r="BM181" s="3">
        <v>158.69999999999999</v>
      </c>
      <c r="BN181" s="3">
        <v>89.9</v>
      </c>
      <c r="BO181" s="3">
        <v>228.3</v>
      </c>
      <c r="BP181" s="3">
        <v>210.4</v>
      </c>
      <c r="BQ181" s="3">
        <v>108.2</v>
      </c>
      <c r="BR181" s="3">
        <v>84.4</v>
      </c>
      <c r="BS181" s="3">
        <v>106.7</v>
      </c>
      <c r="BT181" s="3">
        <v>153.30000000000001</v>
      </c>
      <c r="BU181" s="3">
        <v>115.3</v>
      </c>
      <c r="BV181" s="3">
        <v>130.30000000000001</v>
      </c>
      <c r="BW181" s="3">
        <v>191.6</v>
      </c>
      <c r="BX181" s="3">
        <v>287.60000000000002</v>
      </c>
      <c r="BY181" s="3">
        <v>121.9</v>
      </c>
      <c r="BZ181" s="3">
        <v>225</v>
      </c>
      <c r="CA181" s="3">
        <v>204.7</v>
      </c>
      <c r="CB181" s="3">
        <v>268.10000000000002</v>
      </c>
      <c r="CC181" s="3">
        <v>214.8</v>
      </c>
      <c r="CD181" s="3">
        <v>214.9</v>
      </c>
      <c r="CE181" s="3">
        <v>166.2</v>
      </c>
      <c r="CF181" s="3">
        <v>33.700000000000003</v>
      </c>
      <c r="CG181" s="3">
        <v>109.3</v>
      </c>
      <c r="CH181" s="3">
        <v>108.4</v>
      </c>
      <c r="CI181" s="3">
        <v>212.1</v>
      </c>
      <c r="CJ181" s="3">
        <v>148.80000000000001</v>
      </c>
      <c r="CK181" s="3">
        <v>138.69999999999999</v>
      </c>
      <c r="CL181" s="3">
        <v>275.89999999999998</v>
      </c>
      <c r="CM181" s="3">
        <v>152.5</v>
      </c>
      <c r="CN181" s="3">
        <v>131.6</v>
      </c>
    </row>
    <row r="182" spans="1:92" x14ac:dyDescent="0.25">
      <c r="A182" s="4">
        <v>37257</v>
      </c>
      <c r="B182" s="3">
        <v>142</v>
      </c>
      <c r="C182" s="3">
        <v>138.6</v>
      </c>
      <c r="D182" s="3">
        <v>163.19999999999999</v>
      </c>
      <c r="E182" s="3">
        <v>133.69999999999999</v>
      </c>
      <c r="F182" s="3">
        <v>163.80000000000001</v>
      </c>
      <c r="G182" s="3">
        <v>164.8</v>
      </c>
      <c r="H182" s="3">
        <v>139.80000000000001</v>
      </c>
      <c r="I182" s="3">
        <v>173.8</v>
      </c>
      <c r="J182" s="3">
        <v>108.3</v>
      </c>
      <c r="K182" s="3">
        <v>141.19999999999999</v>
      </c>
      <c r="L182" s="3">
        <v>157.30000000000001</v>
      </c>
      <c r="M182" s="3">
        <v>164.2</v>
      </c>
      <c r="N182" s="3">
        <v>150.69999999999999</v>
      </c>
      <c r="O182" s="3">
        <v>166</v>
      </c>
      <c r="P182" s="3">
        <v>132.1</v>
      </c>
      <c r="Q182" s="3">
        <v>166.4</v>
      </c>
      <c r="R182" s="3">
        <v>150.9</v>
      </c>
      <c r="S182" s="3">
        <v>163</v>
      </c>
      <c r="T182" s="3">
        <v>139.1</v>
      </c>
      <c r="U182" s="3">
        <v>162</v>
      </c>
      <c r="V182" s="3">
        <v>116.1</v>
      </c>
      <c r="W182" s="3">
        <v>185.5</v>
      </c>
      <c r="X182" s="3">
        <v>135.9</v>
      </c>
      <c r="Y182" s="3">
        <v>162</v>
      </c>
      <c r="Z182" s="3">
        <v>156.80000000000001</v>
      </c>
      <c r="AA182" s="3">
        <v>153.80000000000001</v>
      </c>
      <c r="AB182" s="3">
        <v>152.30000000000001</v>
      </c>
      <c r="AC182" s="3">
        <v>141.30000000000001</v>
      </c>
      <c r="AD182" s="3">
        <v>135.1</v>
      </c>
      <c r="AE182" s="3">
        <v>148.4</v>
      </c>
      <c r="AF182" s="3">
        <v>145.19999999999999</v>
      </c>
      <c r="AG182" s="3">
        <v>142.19999999999999</v>
      </c>
      <c r="AH182" s="3">
        <v>148.9</v>
      </c>
      <c r="AI182" s="3">
        <v>153.6</v>
      </c>
      <c r="AJ182" s="3">
        <v>211.3</v>
      </c>
      <c r="AK182" s="3">
        <v>255.2</v>
      </c>
      <c r="AL182" s="3">
        <v>209.1</v>
      </c>
      <c r="AM182" s="3">
        <v>208.4</v>
      </c>
      <c r="AN182" s="3">
        <v>218.1</v>
      </c>
      <c r="AO182" s="3">
        <v>160.5</v>
      </c>
      <c r="AP182" s="3">
        <v>172.1</v>
      </c>
      <c r="AQ182" s="3">
        <v>206.2</v>
      </c>
      <c r="AR182" s="3">
        <v>152.9</v>
      </c>
      <c r="AS182" s="3">
        <v>295.5</v>
      </c>
      <c r="AT182" s="3">
        <v>232</v>
      </c>
      <c r="AU182" s="3">
        <v>248.7</v>
      </c>
      <c r="AV182" s="3">
        <v>189.1</v>
      </c>
      <c r="AW182" s="3">
        <v>165</v>
      </c>
      <c r="AX182" s="3">
        <v>201.2</v>
      </c>
      <c r="AY182" s="3">
        <v>268.89999999999998</v>
      </c>
      <c r="AZ182" s="3">
        <v>244.8</v>
      </c>
      <c r="BA182" s="3">
        <v>157.69999999999999</v>
      </c>
      <c r="BB182" s="3">
        <v>219</v>
      </c>
      <c r="BC182" s="3">
        <v>148.30000000000001</v>
      </c>
      <c r="BD182" s="3">
        <v>128.4</v>
      </c>
      <c r="BE182" s="3">
        <v>125.1</v>
      </c>
      <c r="BF182" s="3">
        <v>137.9</v>
      </c>
      <c r="BG182" s="3">
        <v>146.30000000000001</v>
      </c>
      <c r="BH182" s="3">
        <v>144.19999999999999</v>
      </c>
      <c r="BI182" s="3">
        <v>88.7</v>
      </c>
      <c r="BJ182" s="3">
        <v>138.69999999999999</v>
      </c>
      <c r="BK182" s="3">
        <v>163.19999999999999</v>
      </c>
      <c r="BL182" s="3">
        <v>154.9</v>
      </c>
      <c r="BM182" s="3">
        <v>158.69999999999999</v>
      </c>
      <c r="BN182" s="3">
        <v>90</v>
      </c>
      <c r="BO182" s="3">
        <v>230.5</v>
      </c>
      <c r="BP182" s="3">
        <v>211.7</v>
      </c>
      <c r="BQ182" s="3">
        <v>102.5</v>
      </c>
      <c r="BR182" s="3">
        <v>77.400000000000006</v>
      </c>
      <c r="BS182" s="3">
        <v>101.3</v>
      </c>
      <c r="BT182" s="3">
        <v>150.9</v>
      </c>
      <c r="BU182" s="3">
        <v>111.2</v>
      </c>
      <c r="BV182" s="3">
        <v>127.9</v>
      </c>
      <c r="BW182" s="3">
        <v>192.3</v>
      </c>
      <c r="BX182" s="3">
        <v>291.5</v>
      </c>
      <c r="BY182" s="3">
        <v>123.6</v>
      </c>
      <c r="BZ182" s="3">
        <v>228.4</v>
      </c>
      <c r="CA182" s="3">
        <v>206.2</v>
      </c>
      <c r="CB182" s="3">
        <v>269.39999999999998</v>
      </c>
      <c r="CC182" s="3">
        <v>217.5</v>
      </c>
      <c r="CD182" s="3">
        <v>215.5</v>
      </c>
      <c r="CE182" s="3">
        <v>164.6</v>
      </c>
      <c r="CF182" s="3">
        <v>33.200000000000003</v>
      </c>
      <c r="CG182" s="3">
        <v>107.3</v>
      </c>
      <c r="CH182" s="3">
        <v>107.2</v>
      </c>
      <c r="CI182" s="3">
        <v>213</v>
      </c>
      <c r="CJ182" s="3">
        <v>148.80000000000001</v>
      </c>
      <c r="CK182" s="3">
        <v>147.9</v>
      </c>
      <c r="CL182" s="3">
        <v>274</v>
      </c>
      <c r="CM182" s="3">
        <v>152.69999999999999</v>
      </c>
      <c r="CN182" s="3">
        <v>131.80000000000001</v>
      </c>
    </row>
    <row r="183" spans="1:92" x14ac:dyDescent="0.25">
      <c r="A183" s="4">
        <v>37288</v>
      </c>
      <c r="B183" s="3">
        <v>143</v>
      </c>
      <c r="C183" s="3">
        <v>138.69999999999999</v>
      </c>
      <c r="D183" s="3">
        <v>164</v>
      </c>
      <c r="E183" s="3">
        <v>133.30000000000001</v>
      </c>
      <c r="F183" s="3">
        <v>165.1</v>
      </c>
      <c r="G183" s="3">
        <v>167.1</v>
      </c>
      <c r="H183" s="3">
        <v>147.69999999999999</v>
      </c>
      <c r="I183" s="3">
        <v>175.1</v>
      </c>
      <c r="J183" s="3">
        <v>109.6</v>
      </c>
      <c r="K183" s="3">
        <v>141.80000000000001</v>
      </c>
      <c r="L183" s="3">
        <v>157.5</v>
      </c>
      <c r="M183" s="3">
        <v>164.1</v>
      </c>
      <c r="N183" s="3">
        <v>151.19999999999999</v>
      </c>
      <c r="O183" s="3">
        <v>166.6</v>
      </c>
      <c r="P183" s="3">
        <v>137.5</v>
      </c>
      <c r="Q183" s="3">
        <v>166.1</v>
      </c>
      <c r="R183" s="3">
        <v>151.30000000000001</v>
      </c>
      <c r="S183" s="3">
        <v>163.19999999999999</v>
      </c>
      <c r="T183" s="3">
        <v>138.9</v>
      </c>
      <c r="U183" s="3">
        <v>164.7</v>
      </c>
      <c r="V183" s="3">
        <v>115.9</v>
      </c>
      <c r="W183" s="3">
        <v>187.2</v>
      </c>
      <c r="X183" s="3">
        <v>137.6</v>
      </c>
      <c r="Y183" s="3">
        <v>162.1</v>
      </c>
      <c r="Z183" s="3">
        <v>157</v>
      </c>
      <c r="AA183" s="3">
        <v>154.1</v>
      </c>
      <c r="AB183" s="3">
        <v>152.4</v>
      </c>
      <c r="AC183" s="3">
        <v>135.4</v>
      </c>
      <c r="AD183" s="3">
        <v>127.4</v>
      </c>
      <c r="AE183" s="3">
        <v>151</v>
      </c>
      <c r="AF183" s="3">
        <v>144.4</v>
      </c>
      <c r="AG183" s="3">
        <v>141.19999999999999</v>
      </c>
      <c r="AH183" s="3">
        <v>149.6</v>
      </c>
      <c r="AI183" s="3">
        <v>154.19999999999999</v>
      </c>
      <c r="AJ183" s="3">
        <v>211.6</v>
      </c>
      <c r="AK183" s="3">
        <v>255.2</v>
      </c>
      <c r="AL183" s="3">
        <v>209.4</v>
      </c>
      <c r="AM183" s="3">
        <v>208.9</v>
      </c>
      <c r="AN183" s="3">
        <v>218.3</v>
      </c>
      <c r="AO183" s="3">
        <v>162</v>
      </c>
      <c r="AP183" s="3">
        <v>172.5</v>
      </c>
      <c r="AQ183" s="3">
        <v>206.8</v>
      </c>
      <c r="AR183" s="3">
        <v>153.1</v>
      </c>
      <c r="AS183" s="3">
        <v>295.60000000000002</v>
      </c>
      <c r="AT183" s="3">
        <v>232</v>
      </c>
      <c r="AU183" s="3">
        <v>248.8</v>
      </c>
      <c r="AV183" s="3">
        <v>189.9</v>
      </c>
      <c r="AW183" s="3">
        <v>164.3</v>
      </c>
      <c r="AX183" s="3">
        <v>201.2</v>
      </c>
      <c r="AY183" s="3">
        <v>268.89999999999998</v>
      </c>
      <c r="AZ183" s="3">
        <v>245</v>
      </c>
      <c r="BA183" s="3">
        <v>158.1</v>
      </c>
      <c r="BB183" s="3">
        <v>220.6</v>
      </c>
      <c r="BC183" s="3">
        <v>148.5</v>
      </c>
      <c r="BD183" s="3">
        <v>128.4</v>
      </c>
      <c r="BE183" s="3">
        <v>125.3</v>
      </c>
      <c r="BF183" s="3">
        <v>134.4</v>
      </c>
      <c r="BG183" s="3">
        <v>147.5</v>
      </c>
      <c r="BH183" s="3">
        <v>147.19999999999999</v>
      </c>
      <c r="BI183" s="3">
        <v>89.3</v>
      </c>
      <c r="BJ183" s="3">
        <v>141.69999999999999</v>
      </c>
      <c r="BK183" s="3">
        <v>163.1</v>
      </c>
      <c r="BL183" s="3">
        <v>155.30000000000001</v>
      </c>
      <c r="BM183" s="3">
        <v>158.69999999999999</v>
      </c>
      <c r="BN183" s="3">
        <v>90.3</v>
      </c>
      <c r="BO183" s="3">
        <v>230.8</v>
      </c>
      <c r="BP183" s="3">
        <v>212.1</v>
      </c>
      <c r="BQ183" s="3">
        <v>103.2</v>
      </c>
      <c r="BR183" s="3">
        <v>78.3</v>
      </c>
      <c r="BS183" s="3">
        <v>101.2</v>
      </c>
      <c r="BT183" s="3">
        <v>151.19999999999999</v>
      </c>
      <c r="BU183" s="3">
        <v>113</v>
      </c>
      <c r="BV183" s="3">
        <v>129.4</v>
      </c>
      <c r="BW183" s="3">
        <v>191.1</v>
      </c>
      <c r="BX183" s="3">
        <v>292.10000000000002</v>
      </c>
      <c r="BY183" s="3">
        <v>124.2</v>
      </c>
      <c r="BZ183" s="3">
        <v>228.4</v>
      </c>
      <c r="CA183" s="3">
        <v>206.6</v>
      </c>
      <c r="CB183" s="3">
        <v>270</v>
      </c>
      <c r="CC183" s="3">
        <v>217.6</v>
      </c>
      <c r="CD183" s="3">
        <v>215.9</v>
      </c>
      <c r="CE183" s="3">
        <v>166.7</v>
      </c>
      <c r="CF183" s="3">
        <v>32.799999999999997</v>
      </c>
      <c r="CG183" s="3">
        <v>109.5</v>
      </c>
      <c r="CH183" s="3">
        <v>107.1</v>
      </c>
      <c r="CI183" s="3">
        <v>214</v>
      </c>
      <c r="CJ183" s="3">
        <v>148.30000000000001</v>
      </c>
      <c r="CK183" s="3">
        <v>147.9</v>
      </c>
      <c r="CL183" s="3">
        <v>274.3</v>
      </c>
      <c r="CM183" s="3">
        <v>153.6</v>
      </c>
      <c r="CN183" s="3">
        <v>132</v>
      </c>
    </row>
    <row r="184" spans="1:92" x14ac:dyDescent="0.25">
      <c r="A184" s="4">
        <v>37316</v>
      </c>
      <c r="B184" s="3">
        <v>143.5</v>
      </c>
      <c r="C184" s="3">
        <v>137.80000000000001</v>
      </c>
      <c r="D184" s="3">
        <v>164.1</v>
      </c>
      <c r="E184" s="3">
        <v>133.1</v>
      </c>
      <c r="F184" s="3">
        <v>163.4</v>
      </c>
      <c r="G184" s="3">
        <v>169.4</v>
      </c>
      <c r="H184" s="3">
        <v>143.80000000000001</v>
      </c>
      <c r="I184" s="3">
        <v>173.2</v>
      </c>
      <c r="J184" s="3">
        <v>109.4</v>
      </c>
      <c r="K184" s="3">
        <v>141.6</v>
      </c>
      <c r="L184" s="3">
        <v>154.5</v>
      </c>
      <c r="M184" s="3">
        <v>161.6</v>
      </c>
      <c r="N184" s="3">
        <v>147.30000000000001</v>
      </c>
      <c r="O184" s="3">
        <v>165.8</v>
      </c>
      <c r="P184" s="3">
        <v>136.19999999999999</v>
      </c>
      <c r="Q184" s="3">
        <v>165.5</v>
      </c>
      <c r="R184" s="3">
        <v>150.9</v>
      </c>
      <c r="S184" s="3">
        <v>163.4</v>
      </c>
      <c r="T184" s="3">
        <v>139.6</v>
      </c>
      <c r="U184" s="3">
        <v>163.69999999999999</v>
      </c>
      <c r="V184" s="3">
        <v>116.2</v>
      </c>
      <c r="W184" s="3">
        <v>187.3</v>
      </c>
      <c r="X184" s="3">
        <v>138.30000000000001</v>
      </c>
      <c r="Y184" s="3">
        <v>162.4</v>
      </c>
      <c r="Z184" s="3">
        <v>154.9</v>
      </c>
      <c r="AA184" s="3">
        <v>152.30000000000001</v>
      </c>
      <c r="AB184" s="3">
        <v>150.30000000000001</v>
      </c>
      <c r="AC184" s="3">
        <v>141.4</v>
      </c>
      <c r="AD184" s="3">
        <v>134.19999999999999</v>
      </c>
      <c r="AE184" s="3">
        <v>152.30000000000001</v>
      </c>
      <c r="AF184" s="3">
        <v>145.4</v>
      </c>
      <c r="AG184" s="3">
        <v>142.4</v>
      </c>
      <c r="AH184" s="3">
        <v>149.1</v>
      </c>
      <c r="AI184" s="3">
        <v>153.69999999999999</v>
      </c>
      <c r="AJ184" s="3">
        <v>212.3</v>
      </c>
      <c r="AK184" s="3">
        <v>256.2</v>
      </c>
      <c r="AL184" s="3">
        <v>209.7</v>
      </c>
      <c r="AM184" s="3">
        <v>210.2</v>
      </c>
      <c r="AN184" s="3">
        <v>219.9</v>
      </c>
      <c r="AO184" s="3">
        <v>162.30000000000001</v>
      </c>
      <c r="AP184" s="3">
        <v>172.8</v>
      </c>
      <c r="AQ184" s="3">
        <v>207.7</v>
      </c>
      <c r="AR184" s="3">
        <v>152.9</v>
      </c>
      <c r="AS184" s="3">
        <v>295.5</v>
      </c>
      <c r="AT184" s="3">
        <v>232</v>
      </c>
      <c r="AU184" s="3">
        <v>248.5</v>
      </c>
      <c r="AV184" s="3">
        <v>191.1</v>
      </c>
      <c r="AW184" s="3">
        <v>164.8</v>
      </c>
      <c r="AX184" s="3">
        <v>201.2</v>
      </c>
      <c r="AY184" s="3">
        <v>268.89999999999998</v>
      </c>
      <c r="AZ184" s="3">
        <v>245.4</v>
      </c>
      <c r="BA184" s="3">
        <v>158.1</v>
      </c>
      <c r="BB184" s="3">
        <v>221.5</v>
      </c>
      <c r="BC184" s="3">
        <v>148.6</v>
      </c>
      <c r="BD184" s="3">
        <v>128.4</v>
      </c>
      <c r="BE184" s="3">
        <v>125.3</v>
      </c>
      <c r="BF184" s="3">
        <v>141.1</v>
      </c>
      <c r="BG184" s="3">
        <v>154.9</v>
      </c>
      <c r="BH184" s="3">
        <v>150.1</v>
      </c>
      <c r="BI184" s="3">
        <v>89.4</v>
      </c>
      <c r="BJ184" s="3">
        <v>142.1</v>
      </c>
      <c r="BK184" s="3">
        <v>163.19999999999999</v>
      </c>
      <c r="BL184" s="3">
        <v>155.6</v>
      </c>
      <c r="BM184" s="3">
        <v>158.69999999999999</v>
      </c>
      <c r="BN184" s="3">
        <v>89.7</v>
      </c>
      <c r="BO184" s="3">
        <v>231.4</v>
      </c>
      <c r="BP184" s="3">
        <v>212.6</v>
      </c>
      <c r="BQ184" s="3">
        <v>106.1</v>
      </c>
      <c r="BR184" s="3">
        <v>79.8</v>
      </c>
      <c r="BS184" s="3">
        <v>99.6</v>
      </c>
      <c r="BT184" s="3">
        <v>152.80000000000001</v>
      </c>
      <c r="BU184" s="3">
        <v>114.2</v>
      </c>
      <c r="BV184" s="3">
        <v>130.1</v>
      </c>
      <c r="BW184" s="3">
        <v>190.8</v>
      </c>
      <c r="BX184" s="3">
        <v>292.60000000000002</v>
      </c>
      <c r="BY184" s="3">
        <v>123.8</v>
      </c>
      <c r="BZ184" s="3">
        <v>228.8</v>
      </c>
      <c r="CA184" s="3">
        <v>208.8</v>
      </c>
      <c r="CB184" s="3">
        <v>270.5</v>
      </c>
      <c r="CC184" s="3">
        <v>217.5</v>
      </c>
      <c r="CD184" s="3">
        <v>216</v>
      </c>
      <c r="CE184" s="3">
        <v>167.4</v>
      </c>
      <c r="CF184" s="3">
        <v>32.9</v>
      </c>
      <c r="CG184" s="3">
        <v>111.3</v>
      </c>
      <c r="CH184" s="3">
        <v>106.7</v>
      </c>
      <c r="CI184" s="3">
        <v>213.9</v>
      </c>
      <c r="CJ184" s="3">
        <v>150.30000000000001</v>
      </c>
      <c r="CK184" s="3">
        <v>147.9</v>
      </c>
      <c r="CL184" s="3">
        <v>276.60000000000002</v>
      </c>
      <c r="CM184" s="3">
        <v>154.4</v>
      </c>
      <c r="CN184" s="3">
        <v>132.4</v>
      </c>
    </row>
    <row r="185" spans="1:92" x14ac:dyDescent="0.25">
      <c r="A185" s="4">
        <v>37347</v>
      </c>
      <c r="B185" s="3">
        <v>141.9</v>
      </c>
      <c r="C185" s="3">
        <v>138.19999999999999</v>
      </c>
      <c r="D185" s="3">
        <v>164.7</v>
      </c>
      <c r="E185" s="3">
        <v>132</v>
      </c>
      <c r="F185" s="3">
        <v>165.9</v>
      </c>
      <c r="G185" s="3">
        <v>168.9</v>
      </c>
      <c r="H185" s="3">
        <v>142</v>
      </c>
      <c r="I185" s="3">
        <v>174.6</v>
      </c>
      <c r="J185" s="3">
        <v>108.7</v>
      </c>
      <c r="K185" s="3">
        <v>141.9</v>
      </c>
      <c r="L185" s="3">
        <v>158.19999999999999</v>
      </c>
      <c r="M185" s="3">
        <v>166.8</v>
      </c>
      <c r="N185" s="3">
        <v>148.30000000000001</v>
      </c>
      <c r="O185" s="3">
        <v>164.1</v>
      </c>
      <c r="P185" s="3">
        <v>136.4</v>
      </c>
      <c r="Q185" s="3">
        <v>165.4</v>
      </c>
      <c r="R185" s="3">
        <v>150.4</v>
      </c>
      <c r="S185" s="3">
        <v>163.30000000000001</v>
      </c>
      <c r="T185" s="3">
        <v>139.9</v>
      </c>
      <c r="U185" s="3">
        <v>165.7</v>
      </c>
      <c r="V185" s="3">
        <v>115.8</v>
      </c>
      <c r="W185" s="3">
        <v>186.7</v>
      </c>
      <c r="X185" s="3">
        <v>138.1</v>
      </c>
      <c r="Y185" s="3">
        <v>163.19999999999999</v>
      </c>
      <c r="Z185" s="3">
        <v>158.9</v>
      </c>
      <c r="AA185" s="3">
        <v>157.19999999999999</v>
      </c>
      <c r="AB185" s="3">
        <v>153.69999999999999</v>
      </c>
      <c r="AC185" s="3">
        <v>130</v>
      </c>
      <c r="AD185" s="3">
        <v>120.8</v>
      </c>
      <c r="AE185" s="3">
        <v>151.6</v>
      </c>
      <c r="AF185" s="3">
        <v>148</v>
      </c>
      <c r="AG185" s="3">
        <v>145.4</v>
      </c>
      <c r="AH185" s="3">
        <v>148.80000000000001</v>
      </c>
      <c r="AI185" s="3">
        <v>154.5</v>
      </c>
      <c r="AJ185" s="3">
        <v>213.4</v>
      </c>
      <c r="AK185" s="3">
        <v>258.2</v>
      </c>
      <c r="AL185" s="3">
        <v>210.3</v>
      </c>
      <c r="AM185" s="3">
        <v>211.1</v>
      </c>
      <c r="AN185" s="3">
        <v>220.9</v>
      </c>
      <c r="AO185" s="3">
        <v>162.5</v>
      </c>
      <c r="AP185" s="3">
        <v>173.6</v>
      </c>
      <c r="AQ185" s="3">
        <v>208.9</v>
      </c>
      <c r="AR185" s="3">
        <v>153.30000000000001</v>
      </c>
      <c r="AS185" s="3">
        <v>295.7</v>
      </c>
      <c r="AT185" s="3">
        <v>232.2</v>
      </c>
      <c r="AU185" s="3">
        <v>252.8</v>
      </c>
      <c r="AV185" s="3">
        <v>192</v>
      </c>
      <c r="AW185" s="3">
        <v>166.6</v>
      </c>
      <c r="AX185" s="3">
        <v>217.1</v>
      </c>
      <c r="AY185" s="3">
        <v>273.60000000000002</v>
      </c>
      <c r="AZ185" s="3">
        <v>247.6</v>
      </c>
      <c r="BA185" s="3">
        <v>156.9</v>
      </c>
      <c r="BB185" s="3">
        <v>224.2</v>
      </c>
      <c r="BC185" s="3">
        <v>148.6</v>
      </c>
      <c r="BD185" s="3">
        <v>128.5</v>
      </c>
      <c r="BE185" s="3">
        <v>125.8</v>
      </c>
      <c r="BF185" s="3">
        <v>145.9</v>
      </c>
      <c r="BG185" s="3">
        <v>150.9</v>
      </c>
      <c r="BH185" s="3">
        <v>148.1</v>
      </c>
      <c r="BI185" s="3">
        <v>88.8</v>
      </c>
      <c r="BJ185" s="3">
        <v>140.80000000000001</v>
      </c>
      <c r="BK185" s="3">
        <v>162.6</v>
      </c>
      <c r="BL185" s="3">
        <v>155.80000000000001</v>
      </c>
      <c r="BM185" s="3">
        <v>158.69999999999999</v>
      </c>
      <c r="BN185" s="3">
        <v>89.8</v>
      </c>
      <c r="BO185" s="3">
        <v>232.6</v>
      </c>
      <c r="BP185" s="3">
        <v>213.7</v>
      </c>
      <c r="BQ185" s="3">
        <v>105.6</v>
      </c>
      <c r="BR185" s="3">
        <v>79.5</v>
      </c>
      <c r="BS185" s="3">
        <v>100.2</v>
      </c>
      <c r="BT185" s="3">
        <v>152.30000000000001</v>
      </c>
      <c r="BU185" s="3">
        <v>114.1</v>
      </c>
      <c r="BV185" s="3">
        <v>130.1</v>
      </c>
      <c r="BW185" s="3">
        <v>190.8</v>
      </c>
      <c r="BX185" s="3">
        <v>295.60000000000002</v>
      </c>
      <c r="BY185" s="3">
        <v>124.1</v>
      </c>
      <c r="BZ185" s="3">
        <v>229.7</v>
      </c>
      <c r="CA185" s="3">
        <v>219.3</v>
      </c>
      <c r="CB185" s="3">
        <v>271.10000000000002</v>
      </c>
      <c r="CC185" s="3">
        <v>218.3</v>
      </c>
      <c r="CD185" s="3">
        <v>218.6</v>
      </c>
      <c r="CE185" s="3">
        <v>169.1</v>
      </c>
      <c r="CF185" s="3">
        <v>32.5</v>
      </c>
      <c r="CG185" s="3">
        <v>108.1</v>
      </c>
      <c r="CH185" s="3">
        <v>106.5</v>
      </c>
      <c r="CI185" s="3">
        <v>213.4</v>
      </c>
      <c r="CJ185" s="3">
        <v>148.30000000000001</v>
      </c>
      <c r="CK185" s="3">
        <v>157.9</v>
      </c>
      <c r="CL185" s="3">
        <v>279.10000000000002</v>
      </c>
      <c r="CM185" s="3">
        <v>156.5</v>
      </c>
      <c r="CN185" s="3">
        <v>135.1</v>
      </c>
    </row>
    <row r="186" spans="1:92" x14ac:dyDescent="0.25">
      <c r="A186" s="4">
        <v>37377</v>
      </c>
      <c r="B186" s="3">
        <v>142.9</v>
      </c>
      <c r="C186" s="3">
        <v>138.5</v>
      </c>
      <c r="D186" s="3">
        <v>164.3</v>
      </c>
      <c r="E186" s="3">
        <v>136.5</v>
      </c>
      <c r="F186" s="3">
        <v>168.5</v>
      </c>
      <c r="G186" s="3">
        <v>174.7</v>
      </c>
      <c r="H186" s="3">
        <v>144.6</v>
      </c>
      <c r="I186" s="3">
        <v>171.8</v>
      </c>
      <c r="J186" s="3">
        <v>107.7</v>
      </c>
      <c r="K186" s="3">
        <v>141.69999999999999</v>
      </c>
      <c r="L186" s="3">
        <v>157.19999999999999</v>
      </c>
      <c r="M186" s="3">
        <v>164.5</v>
      </c>
      <c r="N186" s="3">
        <v>149.69999999999999</v>
      </c>
      <c r="O186" s="3">
        <v>164.9</v>
      </c>
      <c r="P186" s="3">
        <v>136.19999999999999</v>
      </c>
      <c r="Q186" s="3">
        <v>165</v>
      </c>
      <c r="R186" s="3">
        <v>147.4</v>
      </c>
      <c r="S186" s="3">
        <v>163.30000000000001</v>
      </c>
      <c r="T186" s="3">
        <v>140</v>
      </c>
      <c r="U186" s="3">
        <v>164.7</v>
      </c>
      <c r="V186" s="3">
        <v>114.4</v>
      </c>
      <c r="W186" s="3">
        <v>187.1</v>
      </c>
      <c r="X186" s="3">
        <v>138</v>
      </c>
      <c r="Y186" s="3">
        <v>163.6</v>
      </c>
      <c r="Z186" s="3">
        <v>161.30000000000001</v>
      </c>
      <c r="AA186" s="3">
        <v>162</v>
      </c>
      <c r="AB186" s="3">
        <v>154.69999999999999</v>
      </c>
      <c r="AC186" s="3">
        <v>123.2</v>
      </c>
      <c r="AD186" s="3">
        <v>112.7</v>
      </c>
      <c r="AE186" s="3">
        <v>151.69999999999999</v>
      </c>
      <c r="AF186" s="3">
        <v>149.30000000000001</v>
      </c>
      <c r="AG186" s="3">
        <v>146.80000000000001</v>
      </c>
      <c r="AH186" s="3">
        <v>148.9</v>
      </c>
      <c r="AI186" s="3">
        <v>153.30000000000001</v>
      </c>
      <c r="AJ186" s="3">
        <v>214.4</v>
      </c>
      <c r="AK186" s="3">
        <v>258.7</v>
      </c>
      <c r="AL186" s="3">
        <v>210.9</v>
      </c>
      <c r="AM186" s="3">
        <v>211.4</v>
      </c>
      <c r="AN186" s="3">
        <v>221.5</v>
      </c>
      <c r="AO186" s="3">
        <v>161.80000000000001</v>
      </c>
      <c r="AP186" s="3">
        <v>174.4</v>
      </c>
      <c r="AQ186" s="3">
        <v>209.9</v>
      </c>
      <c r="AR186" s="3">
        <v>153.80000000000001</v>
      </c>
      <c r="AS186" s="3">
        <v>299.89999999999998</v>
      </c>
      <c r="AT186" s="3">
        <v>234.3</v>
      </c>
      <c r="AU186" s="3">
        <v>253</v>
      </c>
      <c r="AV186" s="3">
        <v>193.2</v>
      </c>
      <c r="AW186" s="3">
        <v>169.8</v>
      </c>
      <c r="AX186" s="3">
        <v>217.1</v>
      </c>
      <c r="AY186" s="3">
        <v>273.60000000000002</v>
      </c>
      <c r="AZ186" s="3">
        <v>248.6</v>
      </c>
      <c r="BA186" s="3">
        <v>157.69999999999999</v>
      </c>
      <c r="BB186" s="3">
        <v>225.1</v>
      </c>
      <c r="BC186" s="3">
        <v>146.4</v>
      </c>
      <c r="BD186" s="3">
        <v>128.6</v>
      </c>
      <c r="BE186" s="3">
        <v>125.8</v>
      </c>
      <c r="BF186" s="3">
        <v>146.19999999999999</v>
      </c>
      <c r="BG186" s="3">
        <v>152</v>
      </c>
      <c r="BH186" s="3">
        <v>151.1</v>
      </c>
      <c r="BI186" s="3">
        <v>89.1</v>
      </c>
      <c r="BJ186" s="3">
        <v>142</v>
      </c>
      <c r="BK186" s="3">
        <v>162.4</v>
      </c>
      <c r="BL186" s="3">
        <v>156.5</v>
      </c>
      <c r="BM186" s="3">
        <v>158.69999999999999</v>
      </c>
      <c r="BN186" s="3">
        <v>89.6</v>
      </c>
      <c r="BO186" s="3">
        <v>233.9</v>
      </c>
      <c r="BP186" s="3">
        <v>215.1</v>
      </c>
      <c r="BQ186" s="3">
        <v>106.4</v>
      </c>
      <c r="BR186" s="3">
        <v>79.400000000000006</v>
      </c>
      <c r="BS186" s="3">
        <v>100.2</v>
      </c>
      <c r="BT186" s="3">
        <v>152.9</v>
      </c>
      <c r="BU186" s="3">
        <v>114.3</v>
      </c>
      <c r="BV186" s="3">
        <v>130.80000000000001</v>
      </c>
      <c r="BW186" s="3">
        <v>190.2</v>
      </c>
      <c r="BX186" s="3">
        <v>296.89999999999998</v>
      </c>
      <c r="BY186" s="3">
        <v>124.3</v>
      </c>
      <c r="BZ186" s="3">
        <v>230.7</v>
      </c>
      <c r="CA186" s="3">
        <v>218.4</v>
      </c>
      <c r="CB186" s="3">
        <v>271.60000000000002</v>
      </c>
      <c r="CC186" s="3">
        <v>218.6</v>
      </c>
      <c r="CD186" s="3">
        <v>218.8</v>
      </c>
      <c r="CE186" s="3">
        <v>169.3</v>
      </c>
      <c r="CF186" s="3">
        <v>32.299999999999997</v>
      </c>
      <c r="CG186" s="3">
        <v>108.3</v>
      </c>
      <c r="CH186" s="3">
        <v>106.4</v>
      </c>
      <c r="CI186" s="3">
        <v>206.6</v>
      </c>
      <c r="CJ186" s="3">
        <v>146</v>
      </c>
      <c r="CK186" s="3">
        <v>157.9</v>
      </c>
      <c r="CL186" s="3">
        <v>279.89999999999998</v>
      </c>
      <c r="CM186" s="3">
        <v>158.4</v>
      </c>
      <c r="CN186" s="3">
        <v>135.6</v>
      </c>
    </row>
    <row r="187" spans="1:92" x14ac:dyDescent="0.25">
      <c r="A187" s="4">
        <v>37408</v>
      </c>
      <c r="B187" s="3">
        <v>143.80000000000001</v>
      </c>
      <c r="C187" s="3">
        <v>138.5</v>
      </c>
      <c r="D187" s="3">
        <v>164.5</v>
      </c>
      <c r="E187" s="3">
        <v>133.5</v>
      </c>
      <c r="F187" s="3">
        <v>176.1</v>
      </c>
      <c r="G187" s="3">
        <v>187.4</v>
      </c>
      <c r="H187" s="3">
        <v>146.30000000000001</v>
      </c>
      <c r="I187" s="3">
        <v>171.9</v>
      </c>
      <c r="J187" s="3">
        <v>107.5</v>
      </c>
      <c r="K187" s="3">
        <v>142.1</v>
      </c>
      <c r="L187" s="3">
        <v>158</v>
      </c>
      <c r="M187" s="3">
        <v>164.3</v>
      </c>
      <c r="N187" s="3">
        <v>152.4</v>
      </c>
      <c r="O187" s="3">
        <v>164.5</v>
      </c>
      <c r="P187" s="3">
        <v>137.80000000000001</v>
      </c>
      <c r="Q187" s="3">
        <v>166.1</v>
      </c>
      <c r="R187" s="3">
        <v>149.4</v>
      </c>
      <c r="S187" s="3">
        <v>163.5</v>
      </c>
      <c r="T187" s="3">
        <v>139.5</v>
      </c>
      <c r="U187" s="3">
        <v>165.2</v>
      </c>
      <c r="V187" s="3">
        <v>115.5</v>
      </c>
      <c r="W187" s="3">
        <v>186.3</v>
      </c>
      <c r="X187" s="3">
        <v>137.9</v>
      </c>
      <c r="Y187" s="3">
        <v>164.6</v>
      </c>
      <c r="Z187" s="3">
        <v>154.30000000000001</v>
      </c>
      <c r="AA187" s="3">
        <v>141.5</v>
      </c>
      <c r="AB187" s="3">
        <v>154.69999999999999</v>
      </c>
      <c r="AC187" s="3">
        <v>115.2</v>
      </c>
      <c r="AD187" s="3">
        <v>103.3</v>
      </c>
      <c r="AE187" s="3">
        <v>150.9</v>
      </c>
      <c r="AF187" s="3">
        <v>145.69999999999999</v>
      </c>
      <c r="AG187" s="3">
        <v>142.80000000000001</v>
      </c>
      <c r="AH187" s="3">
        <v>148.9</v>
      </c>
      <c r="AI187" s="3">
        <v>153.9</v>
      </c>
      <c r="AJ187" s="3">
        <v>215.2</v>
      </c>
      <c r="AK187" s="3">
        <v>259.60000000000002</v>
      </c>
      <c r="AL187" s="3">
        <v>211.2</v>
      </c>
      <c r="AM187" s="3">
        <v>211.8</v>
      </c>
      <c r="AN187" s="3">
        <v>222.1</v>
      </c>
      <c r="AO187" s="3">
        <v>161.69999999999999</v>
      </c>
      <c r="AP187" s="3">
        <v>174.7</v>
      </c>
      <c r="AQ187" s="3">
        <v>211.2</v>
      </c>
      <c r="AR187" s="3">
        <v>153.19999999999999</v>
      </c>
      <c r="AS187" s="3">
        <v>299.89999999999998</v>
      </c>
      <c r="AT187" s="3">
        <v>234.5</v>
      </c>
      <c r="AU187" s="3">
        <v>253.1</v>
      </c>
      <c r="AV187" s="3">
        <v>194.9</v>
      </c>
      <c r="AW187" s="3">
        <v>173.9</v>
      </c>
      <c r="AX187" s="3">
        <v>217.1</v>
      </c>
      <c r="AY187" s="3">
        <v>273.60000000000002</v>
      </c>
      <c r="AZ187" s="3">
        <v>249.6</v>
      </c>
      <c r="BA187" s="3">
        <v>157.6</v>
      </c>
      <c r="BB187" s="3">
        <v>226.5</v>
      </c>
      <c r="BC187" s="3">
        <v>145.9</v>
      </c>
      <c r="BD187" s="3">
        <v>128.69999999999999</v>
      </c>
      <c r="BE187" s="3">
        <v>126.2</v>
      </c>
      <c r="BF187" s="3">
        <v>143</v>
      </c>
      <c r="BG187" s="3">
        <v>152.1</v>
      </c>
      <c r="BH187" s="3">
        <v>147.19999999999999</v>
      </c>
      <c r="BI187" s="3">
        <v>88.5</v>
      </c>
      <c r="BJ187" s="3">
        <v>142.19999999999999</v>
      </c>
      <c r="BK187" s="3">
        <v>162.30000000000001</v>
      </c>
      <c r="BL187" s="3">
        <v>156.30000000000001</v>
      </c>
      <c r="BM187" s="3">
        <v>158.69999999999999</v>
      </c>
      <c r="BN187" s="3">
        <v>89.7</v>
      </c>
      <c r="BO187" s="3">
        <v>234.9</v>
      </c>
      <c r="BP187" s="3">
        <v>215.8</v>
      </c>
      <c r="BQ187" s="3">
        <v>105.8</v>
      </c>
      <c r="BR187" s="3">
        <v>78.400000000000006</v>
      </c>
      <c r="BS187" s="3">
        <v>98.7</v>
      </c>
      <c r="BT187" s="3">
        <v>151.6</v>
      </c>
      <c r="BU187" s="3">
        <v>113.7</v>
      </c>
      <c r="BV187" s="3">
        <v>130.30000000000001</v>
      </c>
      <c r="BW187" s="3">
        <v>189.4</v>
      </c>
      <c r="BX187" s="3">
        <v>297.7</v>
      </c>
      <c r="BY187" s="3">
        <v>123.7</v>
      </c>
      <c r="BZ187" s="3">
        <v>231.6</v>
      </c>
      <c r="CA187" s="3">
        <v>216.1</v>
      </c>
      <c r="CB187" s="3">
        <v>267.5</v>
      </c>
      <c r="CC187" s="3">
        <v>219.3</v>
      </c>
      <c r="CD187" s="3">
        <v>219.1</v>
      </c>
      <c r="CE187" s="3">
        <v>170</v>
      </c>
      <c r="CF187" s="3">
        <v>32</v>
      </c>
      <c r="CG187" s="3">
        <v>108.4</v>
      </c>
      <c r="CH187" s="3">
        <v>105.2</v>
      </c>
      <c r="CI187" s="3">
        <v>209.1</v>
      </c>
      <c r="CJ187" s="3">
        <v>148.9</v>
      </c>
      <c r="CK187" s="3">
        <v>158</v>
      </c>
      <c r="CL187" s="3">
        <v>281</v>
      </c>
      <c r="CM187" s="3">
        <v>161</v>
      </c>
      <c r="CN187" s="3">
        <v>136.30000000000001</v>
      </c>
    </row>
    <row r="188" spans="1:92" x14ac:dyDescent="0.25">
      <c r="A188" s="4">
        <v>37438</v>
      </c>
      <c r="B188" s="3">
        <v>143.5</v>
      </c>
      <c r="C188" s="3">
        <v>138.30000000000001</v>
      </c>
      <c r="D188" s="3">
        <v>164.6</v>
      </c>
      <c r="E188" s="3">
        <v>132</v>
      </c>
      <c r="F188" s="3">
        <v>172.9</v>
      </c>
      <c r="G188" s="3">
        <v>181.9</v>
      </c>
      <c r="H188" s="3">
        <v>146.19999999999999</v>
      </c>
      <c r="I188" s="3">
        <v>171.6</v>
      </c>
      <c r="J188" s="3">
        <v>109.6</v>
      </c>
      <c r="K188" s="3">
        <v>141.69999999999999</v>
      </c>
      <c r="L188" s="3">
        <v>159.30000000000001</v>
      </c>
      <c r="M188" s="3">
        <v>167.3</v>
      </c>
      <c r="N188" s="3">
        <v>150.69999999999999</v>
      </c>
      <c r="O188" s="3">
        <v>165.1</v>
      </c>
      <c r="P188" s="3">
        <v>137.9</v>
      </c>
      <c r="Q188" s="3">
        <v>165.3</v>
      </c>
      <c r="R188" s="3">
        <v>148.4</v>
      </c>
      <c r="S188" s="3">
        <v>163.6</v>
      </c>
      <c r="T188" s="3">
        <v>141.1</v>
      </c>
      <c r="U188" s="3">
        <v>164.1</v>
      </c>
      <c r="V188" s="3">
        <v>114.7</v>
      </c>
      <c r="W188" s="3">
        <v>185.2</v>
      </c>
      <c r="X188" s="3">
        <v>138.19999999999999</v>
      </c>
      <c r="Y188" s="3">
        <v>165.5</v>
      </c>
      <c r="Z188" s="3">
        <v>152.30000000000001</v>
      </c>
      <c r="AA188" s="3">
        <v>136.1</v>
      </c>
      <c r="AB188" s="3">
        <v>154.5</v>
      </c>
      <c r="AC188" s="3">
        <v>114.3</v>
      </c>
      <c r="AD188" s="3">
        <v>102</v>
      </c>
      <c r="AE188" s="3">
        <v>151.9</v>
      </c>
      <c r="AF188" s="3">
        <v>145.5</v>
      </c>
      <c r="AG188" s="3">
        <v>142.5</v>
      </c>
      <c r="AH188" s="3">
        <v>149</v>
      </c>
      <c r="AI188" s="3">
        <v>153.1</v>
      </c>
      <c r="AJ188" s="3">
        <v>215.6</v>
      </c>
      <c r="AK188" s="3">
        <v>260.5</v>
      </c>
      <c r="AL188" s="3">
        <v>211.8</v>
      </c>
      <c r="AM188" s="3">
        <v>212.5</v>
      </c>
      <c r="AN188" s="3">
        <v>222.6</v>
      </c>
      <c r="AO188" s="3">
        <v>163.19999999999999</v>
      </c>
      <c r="AP188" s="3">
        <v>175.4</v>
      </c>
      <c r="AQ188" s="3">
        <v>211.8</v>
      </c>
      <c r="AR188" s="3">
        <v>154.1</v>
      </c>
      <c r="AS188" s="3">
        <v>301.8</v>
      </c>
      <c r="AT188" s="3">
        <v>236.6</v>
      </c>
      <c r="AU188" s="3">
        <v>253</v>
      </c>
      <c r="AV188" s="3">
        <v>196.2</v>
      </c>
      <c r="AW188" s="3">
        <v>179</v>
      </c>
      <c r="AX188" s="3">
        <v>217.1</v>
      </c>
      <c r="AY188" s="3">
        <v>273.60000000000002</v>
      </c>
      <c r="AZ188" s="3">
        <v>251</v>
      </c>
      <c r="BA188" s="3">
        <v>157</v>
      </c>
      <c r="BB188" s="3">
        <v>229.9</v>
      </c>
      <c r="BC188" s="3">
        <v>145.69999999999999</v>
      </c>
      <c r="BD188" s="3">
        <v>128.80000000000001</v>
      </c>
      <c r="BE188" s="3">
        <v>126.2</v>
      </c>
      <c r="BF188" s="3">
        <v>141.19999999999999</v>
      </c>
      <c r="BG188" s="3">
        <v>151.5</v>
      </c>
      <c r="BH188" s="3">
        <v>144.4</v>
      </c>
      <c r="BI188" s="3">
        <v>87.1</v>
      </c>
      <c r="BJ188" s="3">
        <v>139.80000000000001</v>
      </c>
      <c r="BK188" s="3">
        <v>162.5</v>
      </c>
      <c r="BL188" s="3">
        <v>156.6</v>
      </c>
      <c r="BM188" s="3">
        <v>158.9</v>
      </c>
      <c r="BN188" s="3">
        <v>89.7</v>
      </c>
      <c r="BO188" s="3">
        <v>235.8</v>
      </c>
      <c r="BP188" s="3">
        <v>217.3</v>
      </c>
      <c r="BQ188" s="3">
        <v>99.5</v>
      </c>
      <c r="BR188" s="3">
        <v>72.2</v>
      </c>
      <c r="BS188" s="3">
        <v>95.3</v>
      </c>
      <c r="BT188" s="3">
        <v>146.69999999999999</v>
      </c>
      <c r="BU188" s="3">
        <v>110.9</v>
      </c>
      <c r="BV188" s="3">
        <v>128</v>
      </c>
      <c r="BW188" s="3">
        <v>189.1</v>
      </c>
      <c r="BX188" s="3">
        <v>298.89999999999998</v>
      </c>
      <c r="BY188" s="3">
        <v>123.3</v>
      </c>
      <c r="BZ188" s="3">
        <v>232.1</v>
      </c>
      <c r="CA188" s="3">
        <v>214.9</v>
      </c>
      <c r="CB188" s="3">
        <v>268</v>
      </c>
      <c r="CC188" s="3">
        <v>219.3</v>
      </c>
      <c r="CD188" s="3">
        <v>219.8</v>
      </c>
      <c r="CE188" s="3">
        <v>171.5</v>
      </c>
      <c r="CF188" s="3">
        <v>31.1</v>
      </c>
      <c r="CG188" s="3">
        <v>109.3</v>
      </c>
      <c r="CH188" s="3">
        <v>105.1</v>
      </c>
      <c r="CI188" s="3">
        <v>209.4</v>
      </c>
      <c r="CJ188" s="3">
        <v>149.30000000000001</v>
      </c>
      <c r="CK188" s="3">
        <v>157.1</v>
      </c>
      <c r="CL188" s="3">
        <v>279.89999999999998</v>
      </c>
      <c r="CM188" s="3">
        <v>162.6</v>
      </c>
      <c r="CN188" s="3">
        <v>136.5</v>
      </c>
    </row>
    <row r="189" spans="1:92" x14ac:dyDescent="0.25">
      <c r="A189" s="4">
        <v>37469</v>
      </c>
      <c r="B189" s="3">
        <v>142.30000000000001</v>
      </c>
      <c r="C189" s="3">
        <v>138.80000000000001</v>
      </c>
      <c r="D189" s="3">
        <v>164.3</v>
      </c>
      <c r="E189" s="3">
        <v>133.30000000000001</v>
      </c>
      <c r="F189" s="3">
        <v>170.7</v>
      </c>
      <c r="G189" s="3">
        <v>177.3</v>
      </c>
      <c r="H189" s="3">
        <v>149</v>
      </c>
      <c r="I189" s="3">
        <v>171.4</v>
      </c>
      <c r="J189" s="3">
        <v>109.1</v>
      </c>
      <c r="K189" s="3">
        <v>142.30000000000001</v>
      </c>
      <c r="L189" s="3">
        <v>157</v>
      </c>
      <c r="M189" s="3">
        <v>165</v>
      </c>
      <c r="N189" s="3">
        <v>148.19999999999999</v>
      </c>
      <c r="O189" s="3">
        <v>166</v>
      </c>
      <c r="P189" s="3">
        <v>136.6</v>
      </c>
      <c r="Q189" s="3">
        <v>164.2</v>
      </c>
      <c r="R189" s="3">
        <v>145.4</v>
      </c>
      <c r="S189" s="3">
        <v>163.4</v>
      </c>
      <c r="T189" s="3">
        <v>138.6</v>
      </c>
      <c r="U189" s="3">
        <v>163.69999999999999</v>
      </c>
      <c r="V189" s="3">
        <v>115.4</v>
      </c>
      <c r="W189" s="3">
        <v>185.3</v>
      </c>
      <c r="X189" s="3">
        <v>138.4</v>
      </c>
      <c r="Y189" s="3">
        <v>166</v>
      </c>
      <c r="Z189" s="3">
        <v>151.6</v>
      </c>
      <c r="AA189" s="3">
        <v>136.80000000000001</v>
      </c>
      <c r="AB189" s="3">
        <v>153.1</v>
      </c>
      <c r="AC189" s="3">
        <v>115.6</v>
      </c>
      <c r="AD189" s="3">
        <v>103.3</v>
      </c>
      <c r="AE189" s="3">
        <v>153.19999999999999</v>
      </c>
      <c r="AF189" s="3">
        <v>145.30000000000001</v>
      </c>
      <c r="AG189" s="3">
        <v>142.5</v>
      </c>
      <c r="AH189" s="3">
        <v>148.19999999999999</v>
      </c>
      <c r="AI189" s="3">
        <v>153.9</v>
      </c>
      <c r="AJ189" s="3">
        <v>216.2</v>
      </c>
      <c r="AK189" s="3">
        <v>261.60000000000002</v>
      </c>
      <c r="AL189" s="3">
        <v>212.3</v>
      </c>
      <c r="AM189" s="3">
        <v>212.2</v>
      </c>
      <c r="AN189" s="3">
        <v>222.9</v>
      </c>
      <c r="AO189" s="3">
        <v>160.19999999999999</v>
      </c>
      <c r="AP189" s="3">
        <v>175.5</v>
      </c>
      <c r="AQ189" s="3">
        <v>212.2</v>
      </c>
      <c r="AR189" s="3">
        <v>153.9</v>
      </c>
      <c r="AS189" s="3">
        <v>301.60000000000002</v>
      </c>
      <c r="AT189" s="3">
        <v>236.2</v>
      </c>
      <c r="AU189" s="3">
        <v>253.1</v>
      </c>
      <c r="AV189" s="3">
        <v>197.5</v>
      </c>
      <c r="AW189" s="3">
        <v>183.8</v>
      </c>
      <c r="AX189" s="3">
        <v>217.1</v>
      </c>
      <c r="AY189" s="3">
        <v>273.60000000000002</v>
      </c>
      <c r="AZ189" s="3">
        <v>251.5</v>
      </c>
      <c r="BA189" s="3">
        <v>157.6</v>
      </c>
      <c r="BB189" s="3">
        <v>231.1</v>
      </c>
      <c r="BC189" s="3">
        <v>145.4</v>
      </c>
      <c r="BD189" s="3">
        <v>128.80000000000001</v>
      </c>
      <c r="BE189" s="3">
        <v>126.2</v>
      </c>
      <c r="BF189" s="3">
        <v>139.69999999999999</v>
      </c>
      <c r="BG189" s="3">
        <v>149.30000000000001</v>
      </c>
      <c r="BH189" s="3">
        <v>147.1</v>
      </c>
      <c r="BI189" s="3">
        <v>88.2</v>
      </c>
      <c r="BJ189" s="3">
        <v>140.80000000000001</v>
      </c>
      <c r="BK189" s="3">
        <v>161.19999999999999</v>
      </c>
      <c r="BL189" s="3">
        <v>156.5</v>
      </c>
      <c r="BM189" s="3">
        <v>159.30000000000001</v>
      </c>
      <c r="BN189" s="3">
        <v>89.9</v>
      </c>
      <c r="BO189" s="3">
        <v>236.9</v>
      </c>
      <c r="BP189" s="3">
        <v>217.2</v>
      </c>
      <c r="BQ189" s="3">
        <v>101</v>
      </c>
      <c r="BR189" s="3">
        <v>74</v>
      </c>
      <c r="BS189" s="3">
        <v>96.1</v>
      </c>
      <c r="BT189" s="3">
        <v>149.1</v>
      </c>
      <c r="BU189" s="3">
        <v>110.5</v>
      </c>
      <c r="BV189" s="3">
        <v>128.9</v>
      </c>
      <c r="BW189" s="3">
        <v>188.5</v>
      </c>
      <c r="BX189" s="3">
        <v>301.8</v>
      </c>
      <c r="BY189" s="3">
        <v>121.9</v>
      </c>
      <c r="BZ189" s="3">
        <v>233.1</v>
      </c>
      <c r="CA189" s="3">
        <v>214.9</v>
      </c>
      <c r="CB189" s="3">
        <v>269.2</v>
      </c>
      <c r="CC189" s="3">
        <v>219.5</v>
      </c>
      <c r="CD189" s="3">
        <v>220.3</v>
      </c>
      <c r="CE189" s="3">
        <v>173.8</v>
      </c>
      <c r="CF189" s="3">
        <v>31</v>
      </c>
      <c r="CG189" s="3">
        <v>109.3</v>
      </c>
      <c r="CH189" s="3">
        <v>106.3</v>
      </c>
      <c r="CI189" s="3">
        <v>208.5</v>
      </c>
      <c r="CJ189" s="3">
        <v>149.69999999999999</v>
      </c>
      <c r="CK189" s="3">
        <v>157.19999999999999</v>
      </c>
      <c r="CL189" s="3">
        <v>284.2</v>
      </c>
      <c r="CM189" s="3">
        <v>164.6</v>
      </c>
      <c r="CN189" s="3">
        <v>137.30000000000001</v>
      </c>
    </row>
    <row r="190" spans="1:92" x14ac:dyDescent="0.25">
      <c r="A190" s="4">
        <v>37500</v>
      </c>
      <c r="B190" s="3">
        <v>143</v>
      </c>
      <c r="C190" s="3">
        <v>138</v>
      </c>
      <c r="D190" s="3">
        <v>163.9</v>
      </c>
      <c r="E190" s="3">
        <v>133.69999999999999</v>
      </c>
      <c r="F190" s="3">
        <v>173.4</v>
      </c>
      <c r="G190" s="3">
        <v>182</v>
      </c>
      <c r="H190" s="3">
        <v>149.9</v>
      </c>
      <c r="I190" s="3">
        <v>168.9</v>
      </c>
      <c r="J190" s="3">
        <v>109.5</v>
      </c>
      <c r="K190" s="3">
        <v>141.19999999999999</v>
      </c>
      <c r="L190" s="3">
        <v>158.4</v>
      </c>
      <c r="M190" s="3">
        <v>166.6</v>
      </c>
      <c r="N190" s="3">
        <v>149.30000000000001</v>
      </c>
      <c r="O190" s="3">
        <v>165.2</v>
      </c>
      <c r="P190" s="3">
        <v>136.5</v>
      </c>
      <c r="Q190" s="3">
        <v>164.8</v>
      </c>
      <c r="R190" s="3">
        <v>145.5</v>
      </c>
      <c r="S190" s="3">
        <v>165.7</v>
      </c>
      <c r="T190" s="3">
        <v>137.9</v>
      </c>
      <c r="U190" s="3">
        <v>164.3</v>
      </c>
      <c r="V190" s="3">
        <v>115.3</v>
      </c>
      <c r="W190" s="3">
        <v>185.2</v>
      </c>
      <c r="X190" s="3">
        <v>137.80000000000001</v>
      </c>
      <c r="Y190" s="3">
        <v>166.2</v>
      </c>
      <c r="Z190" s="3">
        <v>152.1</v>
      </c>
      <c r="AA190" s="3">
        <v>139.4</v>
      </c>
      <c r="AB190" s="3">
        <v>152.5</v>
      </c>
      <c r="AC190" s="3">
        <v>118.8</v>
      </c>
      <c r="AD190" s="3">
        <v>107.1</v>
      </c>
      <c r="AE190" s="3">
        <v>153.5</v>
      </c>
      <c r="AF190" s="3">
        <v>141.69999999999999</v>
      </c>
      <c r="AG190" s="3">
        <v>138.19999999999999</v>
      </c>
      <c r="AH190" s="3">
        <v>148.9</v>
      </c>
      <c r="AI190" s="3">
        <v>153.6</v>
      </c>
      <c r="AJ190" s="3">
        <v>216.9</v>
      </c>
      <c r="AK190" s="3">
        <v>264.10000000000002</v>
      </c>
      <c r="AL190" s="3">
        <v>212.8</v>
      </c>
      <c r="AM190" s="3">
        <v>212.4</v>
      </c>
      <c r="AN190" s="3">
        <v>222.9</v>
      </c>
      <c r="AO190" s="3">
        <v>161.5</v>
      </c>
      <c r="AP190" s="3">
        <v>175.9</v>
      </c>
      <c r="AQ190" s="3">
        <v>212.2</v>
      </c>
      <c r="AR190" s="3">
        <v>154.80000000000001</v>
      </c>
      <c r="AS190" s="3">
        <v>302.89999999999998</v>
      </c>
      <c r="AT190" s="3">
        <v>236.8</v>
      </c>
      <c r="AU190" s="3">
        <v>253.2</v>
      </c>
      <c r="AV190" s="3">
        <v>198.9</v>
      </c>
      <c r="AW190" s="3">
        <v>188.2</v>
      </c>
      <c r="AX190" s="3">
        <v>217.1</v>
      </c>
      <c r="AY190" s="3">
        <v>273.60000000000002</v>
      </c>
      <c r="AZ190" s="3">
        <v>253.1</v>
      </c>
      <c r="BA190" s="3">
        <v>155.9</v>
      </c>
      <c r="BB190" s="3">
        <v>232.9</v>
      </c>
      <c r="BC190" s="3">
        <v>148.30000000000001</v>
      </c>
      <c r="BD190" s="3">
        <v>128.80000000000001</v>
      </c>
      <c r="BE190" s="3">
        <v>126.3</v>
      </c>
      <c r="BF190" s="3">
        <v>155.19999999999999</v>
      </c>
      <c r="BG190" s="3">
        <v>153.30000000000001</v>
      </c>
      <c r="BH190" s="3">
        <v>149.5</v>
      </c>
      <c r="BI190" s="3">
        <v>87.7</v>
      </c>
      <c r="BJ190" s="3">
        <v>142.4</v>
      </c>
      <c r="BK190" s="3">
        <v>161.69999999999999</v>
      </c>
      <c r="BL190" s="3">
        <v>156.5</v>
      </c>
      <c r="BM190" s="3">
        <v>159.30000000000001</v>
      </c>
      <c r="BN190" s="3">
        <v>90.1</v>
      </c>
      <c r="BO190" s="3">
        <v>238</v>
      </c>
      <c r="BP190" s="3">
        <v>222.2</v>
      </c>
      <c r="BQ190" s="3">
        <v>105.1</v>
      </c>
      <c r="BR190" s="3">
        <v>79.599999999999994</v>
      </c>
      <c r="BS190" s="3">
        <v>98.8</v>
      </c>
      <c r="BT190" s="3">
        <v>151</v>
      </c>
      <c r="BU190" s="3">
        <v>114.1</v>
      </c>
      <c r="BV190" s="3">
        <v>130</v>
      </c>
      <c r="BW190" s="3">
        <v>188.9</v>
      </c>
      <c r="BX190" s="3">
        <v>302.39999999999998</v>
      </c>
      <c r="BY190" s="3">
        <v>121</v>
      </c>
      <c r="BZ190" s="3">
        <v>235</v>
      </c>
      <c r="CA190" s="3">
        <v>217.2</v>
      </c>
      <c r="CB190" s="3">
        <v>269.8</v>
      </c>
      <c r="CC190" s="3">
        <v>218.8</v>
      </c>
      <c r="CD190" s="3">
        <v>220.3</v>
      </c>
      <c r="CE190" s="3">
        <v>172.1</v>
      </c>
      <c r="CF190" s="3">
        <v>30.4</v>
      </c>
      <c r="CG190" s="3">
        <v>109.3</v>
      </c>
      <c r="CH190" s="3">
        <v>106.3</v>
      </c>
      <c r="CI190" s="3">
        <v>210.8</v>
      </c>
      <c r="CJ190" s="3">
        <v>148.6</v>
      </c>
      <c r="CK190" s="3">
        <v>157.19999999999999</v>
      </c>
      <c r="CL190" s="3">
        <v>286.8</v>
      </c>
      <c r="CM190" s="3">
        <v>166.3</v>
      </c>
      <c r="CN190" s="3">
        <v>137.6</v>
      </c>
    </row>
    <row r="191" spans="1:92" x14ac:dyDescent="0.25">
      <c r="A191" s="4">
        <v>37530</v>
      </c>
      <c r="B191" s="3">
        <v>143.1</v>
      </c>
      <c r="C191" s="3">
        <v>138.1</v>
      </c>
      <c r="D191" s="3">
        <v>164.9</v>
      </c>
      <c r="E191" s="3">
        <v>132.1</v>
      </c>
      <c r="F191" s="3">
        <v>171.6</v>
      </c>
      <c r="G191" s="3">
        <v>178.2</v>
      </c>
      <c r="H191" s="3">
        <v>152.6</v>
      </c>
      <c r="I191" s="3">
        <v>169.9</v>
      </c>
      <c r="J191" s="3">
        <v>105.4</v>
      </c>
      <c r="K191" s="3">
        <v>141.4</v>
      </c>
      <c r="L191" s="3">
        <v>159.1</v>
      </c>
      <c r="M191" s="3">
        <v>167.7</v>
      </c>
      <c r="N191" s="3">
        <v>149.4</v>
      </c>
      <c r="O191" s="3">
        <v>166.3</v>
      </c>
      <c r="P191" s="3">
        <v>136.69999999999999</v>
      </c>
      <c r="Q191" s="3">
        <v>164.3</v>
      </c>
      <c r="R191" s="3">
        <v>145</v>
      </c>
      <c r="S191" s="3">
        <v>167.6</v>
      </c>
      <c r="T191" s="3">
        <v>137.80000000000001</v>
      </c>
      <c r="U191" s="3">
        <v>162.6</v>
      </c>
      <c r="V191" s="3">
        <v>114.8</v>
      </c>
      <c r="W191" s="3">
        <v>185.3</v>
      </c>
      <c r="X191" s="3">
        <v>138</v>
      </c>
      <c r="Y191" s="3">
        <v>165.9</v>
      </c>
      <c r="Z191" s="3">
        <v>149.80000000000001</v>
      </c>
      <c r="AA191" s="3">
        <v>134.5</v>
      </c>
      <c r="AB191" s="3">
        <v>151.69999999999999</v>
      </c>
      <c r="AC191" s="3">
        <v>120.9</v>
      </c>
      <c r="AD191" s="3">
        <v>109.2</v>
      </c>
      <c r="AE191" s="3">
        <v>154.6</v>
      </c>
      <c r="AF191" s="3">
        <v>147</v>
      </c>
      <c r="AG191" s="3">
        <v>144.30000000000001</v>
      </c>
      <c r="AH191" s="3">
        <v>148.30000000000001</v>
      </c>
      <c r="AI191" s="3">
        <v>153.9</v>
      </c>
      <c r="AJ191" s="3">
        <v>217.5</v>
      </c>
      <c r="AK191" s="3">
        <v>265</v>
      </c>
      <c r="AL191" s="3">
        <v>212.7</v>
      </c>
      <c r="AM191" s="3">
        <v>212.3</v>
      </c>
      <c r="AN191" s="3">
        <v>223.3</v>
      </c>
      <c r="AO191" s="3">
        <v>159.6</v>
      </c>
      <c r="AP191" s="3">
        <v>176.3</v>
      </c>
      <c r="AQ191" s="3">
        <v>213</v>
      </c>
      <c r="AR191" s="3">
        <v>154.6</v>
      </c>
      <c r="AS191" s="3">
        <v>303.10000000000002</v>
      </c>
      <c r="AT191" s="3">
        <v>237.3</v>
      </c>
      <c r="AU191" s="3">
        <v>253.5</v>
      </c>
      <c r="AV191" s="3">
        <v>200.5</v>
      </c>
      <c r="AW191" s="3">
        <v>191.8</v>
      </c>
      <c r="AX191" s="3">
        <v>217.1</v>
      </c>
      <c r="AY191" s="3">
        <v>273.60000000000002</v>
      </c>
      <c r="AZ191" s="3">
        <v>254.9</v>
      </c>
      <c r="BA191" s="3">
        <v>156.1</v>
      </c>
      <c r="BB191" s="3">
        <v>234.2</v>
      </c>
      <c r="BC191" s="3">
        <v>151.1</v>
      </c>
      <c r="BD191" s="3">
        <v>128.80000000000001</v>
      </c>
      <c r="BE191" s="3">
        <v>126.3</v>
      </c>
      <c r="BF191" s="3">
        <v>157.6</v>
      </c>
      <c r="BG191" s="3">
        <v>150.1</v>
      </c>
      <c r="BH191" s="3">
        <v>147.9</v>
      </c>
      <c r="BI191" s="3">
        <v>87.7</v>
      </c>
      <c r="BJ191" s="3">
        <v>141.1</v>
      </c>
      <c r="BK191" s="3">
        <v>161.80000000000001</v>
      </c>
      <c r="BL191" s="3">
        <v>156.9</v>
      </c>
      <c r="BM191" s="3">
        <v>159.30000000000001</v>
      </c>
      <c r="BN191" s="3">
        <v>90.4</v>
      </c>
      <c r="BO191" s="3">
        <v>239.2</v>
      </c>
      <c r="BP191" s="3">
        <v>227.6</v>
      </c>
      <c r="BQ191" s="3">
        <v>104.4</v>
      </c>
      <c r="BR191" s="3">
        <v>79.2</v>
      </c>
      <c r="BS191" s="3">
        <v>97.1</v>
      </c>
      <c r="BT191" s="3">
        <v>150.30000000000001</v>
      </c>
      <c r="BU191" s="3">
        <v>114.2</v>
      </c>
      <c r="BV191" s="3">
        <v>129.5</v>
      </c>
      <c r="BW191" s="3">
        <v>189.6</v>
      </c>
      <c r="BX191" s="3">
        <v>303.5</v>
      </c>
      <c r="BY191" s="3">
        <v>120.1</v>
      </c>
      <c r="BZ191" s="3">
        <v>236</v>
      </c>
      <c r="CA191" s="3">
        <v>217.3</v>
      </c>
      <c r="CB191" s="3">
        <v>270.2</v>
      </c>
      <c r="CC191" s="3">
        <v>218.8</v>
      </c>
      <c r="CD191" s="3">
        <v>222.4</v>
      </c>
      <c r="CE191" s="3">
        <v>171</v>
      </c>
      <c r="CF191" s="3">
        <v>30.2</v>
      </c>
      <c r="CG191" s="3">
        <v>109.9</v>
      </c>
      <c r="CH191" s="3">
        <v>105.7</v>
      </c>
      <c r="CI191" s="3">
        <v>212.7</v>
      </c>
      <c r="CJ191" s="3">
        <v>147.5</v>
      </c>
      <c r="CK191" s="3">
        <v>155.9</v>
      </c>
      <c r="CL191" s="3">
        <v>286.10000000000002</v>
      </c>
      <c r="CM191" s="3">
        <v>168.6</v>
      </c>
      <c r="CN191" s="3">
        <v>138.1</v>
      </c>
    </row>
    <row r="192" spans="1:92" x14ac:dyDescent="0.25">
      <c r="A192" s="4">
        <v>37561</v>
      </c>
      <c r="B192" s="3">
        <v>142.80000000000001</v>
      </c>
      <c r="C192" s="3">
        <v>137.1</v>
      </c>
      <c r="D192" s="3">
        <v>163.5</v>
      </c>
      <c r="E192" s="3">
        <v>133.30000000000001</v>
      </c>
      <c r="F192" s="3">
        <v>174.1</v>
      </c>
      <c r="G192" s="3">
        <v>184.3</v>
      </c>
      <c r="H192" s="3">
        <v>148.80000000000001</v>
      </c>
      <c r="I192" s="3">
        <v>173</v>
      </c>
      <c r="J192" s="3">
        <v>106.6</v>
      </c>
      <c r="K192" s="3">
        <v>141.4</v>
      </c>
      <c r="L192" s="3">
        <v>159.5</v>
      </c>
      <c r="M192" s="3">
        <v>168.9</v>
      </c>
      <c r="N192" s="3">
        <v>148.30000000000001</v>
      </c>
      <c r="O192" s="3">
        <v>164</v>
      </c>
      <c r="P192" s="3">
        <v>134.69999999999999</v>
      </c>
      <c r="Q192" s="3">
        <v>163.30000000000001</v>
      </c>
      <c r="R192" s="3">
        <v>148.1</v>
      </c>
      <c r="S192" s="3">
        <v>167.7</v>
      </c>
      <c r="T192" s="3">
        <v>138.9</v>
      </c>
      <c r="U192" s="3">
        <v>162.6</v>
      </c>
      <c r="V192" s="3">
        <v>114.3</v>
      </c>
      <c r="W192" s="3">
        <v>184.8</v>
      </c>
      <c r="X192" s="3">
        <v>137.1</v>
      </c>
      <c r="Y192" s="3">
        <v>165.7</v>
      </c>
      <c r="Z192" s="3">
        <v>150.5</v>
      </c>
      <c r="AA192" s="3">
        <v>135.69999999999999</v>
      </c>
      <c r="AB192" s="3">
        <v>152.1</v>
      </c>
      <c r="AC192" s="3">
        <v>120</v>
      </c>
      <c r="AD192" s="3">
        <v>107.8</v>
      </c>
      <c r="AE192" s="3">
        <v>156.4</v>
      </c>
      <c r="AF192" s="3">
        <v>148.1</v>
      </c>
      <c r="AG192" s="3">
        <v>145.69999999999999</v>
      </c>
      <c r="AH192" s="3">
        <v>147.30000000000001</v>
      </c>
      <c r="AI192" s="3">
        <v>153.30000000000001</v>
      </c>
      <c r="AJ192" s="3">
        <v>218.1</v>
      </c>
      <c r="AK192" s="3">
        <v>264.3</v>
      </c>
      <c r="AL192" s="3">
        <v>213.3</v>
      </c>
      <c r="AM192" s="3">
        <v>212.3</v>
      </c>
      <c r="AN192" s="3">
        <v>223.7</v>
      </c>
      <c r="AO192" s="3">
        <v>157.9</v>
      </c>
      <c r="AP192" s="3">
        <v>175.4</v>
      </c>
      <c r="AQ192" s="3">
        <v>213.5</v>
      </c>
      <c r="AR192" s="3">
        <v>152.19999999999999</v>
      </c>
      <c r="AS192" s="3">
        <v>304.2</v>
      </c>
      <c r="AT192" s="3">
        <v>237.5</v>
      </c>
      <c r="AU192" s="3">
        <v>253.8</v>
      </c>
      <c r="AV192" s="3">
        <v>201.1</v>
      </c>
      <c r="AW192" s="3">
        <v>195.4</v>
      </c>
      <c r="AX192" s="3">
        <v>217.1</v>
      </c>
      <c r="AY192" s="3">
        <v>273.60000000000002</v>
      </c>
      <c r="AZ192" s="3">
        <v>255.7</v>
      </c>
      <c r="BA192" s="3">
        <v>156.19999999999999</v>
      </c>
      <c r="BB192" s="3">
        <v>235.2</v>
      </c>
      <c r="BC192" s="3">
        <v>152.30000000000001</v>
      </c>
      <c r="BD192" s="3">
        <v>128.80000000000001</v>
      </c>
      <c r="BE192" s="3">
        <v>126.3</v>
      </c>
      <c r="BF192" s="3">
        <v>144.9</v>
      </c>
      <c r="BG192" s="3">
        <v>152.19999999999999</v>
      </c>
      <c r="BH192" s="3">
        <v>149.9</v>
      </c>
      <c r="BI192" s="3">
        <v>87.7</v>
      </c>
      <c r="BJ192" s="3">
        <v>141.80000000000001</v>
      </c>
      <c r="BK192" s="3">
        <v>161.5</v>
      </c>
      <c r="BL192" s="3">
        <v>156.69999999999999</v>
      </c>
      <c r="BM192" s="3">
        <v>159.30000000000001</v>
      </c>
      <c r="BN192" s="3">
        <v>90.6</v>
      </c>
      <c r="BO192" s="3">
        <v>240.1</v>
      </c>
      <c r="BP192" s="3">
        <v>227.2</v>
      </c>
      <c r="BQ192" s="3">
        <v>105.9</v>
      </c>
      <c r="BR192" s="3">
        <v>80.599999999999994</v>
      </c>
      <c r="BS192" s="3">
        <v>99</v>
      </c>
      <c r="BT192" s="3">
        <v>151.80000000000001</v>
      </c>
      <c r="BU192" s="3">
        <v>114.2</v>
      </c>
      <c r="BV192" s="3">
        <v>130.1</v>
      </c>
      <c r="BW192" s="3">
        <v>188.7</v>
      </c>
      <c r="BX192" s="3">
        <v>304.10000000000002</v>
      </c>
      <c r="BY192" s="3">
        <v>119.5</v>
      </c>
      <c r="BZ192" s="3">
        <v>236.7</v>
      </c>
      <c r="CA192" s="3">
        <v>216.7</v>
      </c>
      <c r="CB192" s="3">
        <v>271</v>
      </c>
      <c r="CC192" s="3">
        <v>218.8</v>
      </c>
      <c r="CD192" s="3">
        <v>222.7</v>
      </c>
      <c r="CE192" s="3">
        <v>171</v>
      </c>
      <c r="CF192" s="3">
        <v>29.8</v>
      </c>
      <c r="CG192" s="3">
        <v>110</v>
      </c>
      <c r="CH192" s="3">
        <v>105.1</v>
      </c>
      <c r="CI192" s="3">
        <v>215.7</v>
      </c>
      <c r="CJ192" s="3">
        <v>148.69999999999999</v>
      </c>
      <c r="CK192" s="3">
        <v>156</v>
      </c>
      <c r="CL192" s="3">
        <v>288.39999999999998</v>
      </c>
      <c r="CM192" s="3">
        <v>169</v>
      </c>
      <c r="CN192" s="3">
        <v>138.69999999999999</v>
      </c>
    </row>
    <row r="193" spans="1:92" x14ac:dyDescent="0.25">
      <c r="A193" s="4">
        <v>37591</v>
      </c>
      <c r="B193" s="3">
        <v>142.1</v>
      </c>
      <c r="C193" s="3">
        <v>137.4</v>
      </c>
      <c r="D193" s="3">
        <v>163.9</v>
      </c>
      <c r="E193" s="3">
        <v>132.5</v>
      </c>
      <c r="F193" s="3">
        <v>173.1</v>
      </c>
      <c r="G193" s="3">
        <v>181.2</v>
      </c>
      <c r="H193" s="3">
        <v>151.4</v>
      </c>
      <c r="I193" s="3">
        <v>168.6</v>
      </c>
      <c r="J193" s="3">
        <v>106.1</v>
      </c>
      <c r="K193" s="3">
        <v>142</v>
      </c>
      <c r="L193" s="3">
        <v>158.5</v>
      </c>
      <c r="M193" s="3">
        <v>167.9</v>
      </c>
      <c r="N193" s="3">
        <v>147.30000000000001</v>
      </c>
      <c r="O193" s="3">
        <v>162.69999999999999</v>
      </c>
      <c r="P193" s="3">
        <v>135.9</v>
      </c>
      <c r="Q193" s="3">
        <v>164.2</v>
      </c>
      <c r="R193" s="3">
        <v>149.30000000000001</v>
      </c>
      <c r="S193" s="3">
        <v>167.8</v>
      </c>
      <c r="T193" s="3">
        <v>137.5</v>
      </c>
      <c r="U193" s="3">
        <v>161</v>
      </c>
      <c r="V193" s="3">
        <v>114.6</v>
      </c>
      <c r="W193" s="3">
        <v>184.5</v>
      </c>
      <c r="X193" s="3">
        <v>137.80000000000001</v>
      </c>
      <c r="Y193" s="3">
        <v>166.2</v>
      </c>
      <c r="Z193" s="3">
        <v>146.69999999999999</v>
      </c>
      <c r="AA193" s="3">
        <v>126.3</v>
      </c>
      <c r="AB193" s="3">
        <v>151.19999999999999</v>
      </c>
      <c r="AC193" s="3">
        <v>121.2</v>
      </c>
      <c r="AD193" s="3">
        <v>109.5</v>
      </c>
      <c r="AE193" s="3">
        <v>155.30000000000001</v>
      </c>
      <c r="AF193" s="3">
        <v>148.6</v>
      </c>
      <c r="AG193" s="3">
        <v>146.19999999999999</v>
      </c>
      <c r="AH193" s="3">
        <v>148.19999999999999</v>
      </c>
      <c r="AI193" s="3">
        <v>153.19999999999999</v>
      </c>
      <c r="AJ193" s="3">
        <v>218.7</v>
      </c>
      <c r="AK193" s="3">
        <v>264.7</v>
      </c>
      <c r="AL193" s="3">
        <v>213.8</v>
      </c>
      <c r="AM193" s="3">
        <v>211.9</v>
      </c>
      <c r="AN193" s="3">
        <v>223.9</v>
      </c>
      <c r="AO193" s="3">
        <v>155.5</v>
      </c>
      <c r="AP193" s="3">
        <v>174.8</v>
      </c>
      <c r="AQ193" s="3">
        <v>214.2</v>
      </c>
      <c r="AR193" s="3">
        <v>150.19999999999999</v>
      </c>
      <c r="AS193" s="3">
        <v>304.39999999999998</v>
      </c>
      <c r="AT193" s="3">
        <v>237.4</v>
      </c>
      <c r="AU193" s="3">
        <v>253.7</v>
      </c>
      <c r="AV193" s="3">
        <v>203</v>
      </c>
      <c r="AW193" s="3">
        <v>198.3</v>
      </c>
      <c r="AX193" s="3">
        <v>217.1</v>
      </c>
      <c r="AY193" s="3">
        <v>273.60000000000002</v>
      </c>
      <c r="AZ193" s="3">
        <v>256.60000000000002</v>
      </c>
      <c r="BA193" s="3">
        <v>156.19999999999999</v>
      </c>
      <c r="BB193" s="3">
        <v>235.9</v>
      </c>
      <c r="BC193" s="3">
        <v>152.1</v>
      </c>
      <c r="BD193" s="3">
        <v>128.80000000000001</v>
      </c>
      <c r="BE193" s="3">
        <v>126.4</v>
      </c>
      <c r="BF193" s="3">
        <v>158.30000000000001</v>
      </c>
      <c r="BG193" s="3">
        <v>160.1</v>
      </c>
      <c r="BH193" s="3">
        <v>155</v>
      </c>
      <c r="BI193" s="3">
        <v>87.2</v>
      </c>
      <c r="BJ193" s="3">
        <v>142.1</v>
      </c>
      <c r="BK193" s="3">
        <v>161.4</v>
      </c>
      <c r="BL193" s="3">
        <v>156.6</v>
      </c>
      <c r="BM193" s="3">
        <v>159.4</v>
      </c>
      <c r="BN193" s="3">
        <v>90.5</v>
      </c>
      <c r="BO193" s="3">
        <v>241.3</v>
      </c>
      <c r="BP193" s="3">
        <v>227.5</v>
      </c>
      <c r="BQ193" s="3">
        <v>105.2</v>
      </c>
      <c r="BR193" s="3">
        <v>78</v>
      </c>
      <c r="BS193" s="3">
        <v>96.7</v>
      </c>
      <c r="BT193" s="3">
        <v>151.69999999999999</v>
      </c>
      <c r="BU193" s="3">
        <v>112.5</v>
      </c>
      <c r="BV193" s="3">
        <v>130.80000000000001</v>
      </c>
      <c r="BW193" s="3">
        <v>189.1</v>
      </c>
      <c r="BX193" s="3">
        <v>305</v>
      </c>
      <c r="BY193" s="3">
        <v>118.6</v>
      </c>
      <c r="BZ193" s="3">
        <v>237.3</v>
      </c>
      <c r="CA193" s="3">
        <v>215.3</v>
      </c>
      <c r="CB193" s="3">
        <v>271.8</v>
      </c>
      <c r="CC193" s="3">
        <v>218.8</v>
      </c>
      <c r="CD193" s="3">
        <v>222.7</v>
      </c>
      <c r="CE193" s="3">
        <v>171.7</v>
      </c>
      <c r="CF193" s="3">
        <v>29.6</v>
      </c>
      <c r="CG193" s="3">
        <v>108.8</v>
      </c>
      <c r="CH193" s="3">
        <v>104</v>
      </c>
      <c r="CI193" s="3">
        <v>215.7</v>
      </c>
      <c r="CJ193" s="3">
        <v>149.4</v>
      </c>
      <c r="CK193" s="3">
        <v>155.9</v>
      </c>
      <c r="CL193" s="3">
        <v>289.8</v>
      </c>
      <c r="CM193" s="3">
        <v>169.4</v>
      </c>
      <c r="CN193" s="3">
        <v>139.19999999999999</v>
      </c>
    </row>
    <row r="194" spans="1:92" x14ac:dyDescent="0.25">
      <c r="A194" s="4">
        <v>37622</v>
      </c>
      <c r="B194" s="3">
        <v>142.30000000000001</v>
      </c>
      <c r="C194" s="3">
        <v>137.4</v>
      </c>
      <c r="D194" s="3">
        <v>161.80000000000001</v>
      </c>
      <c r="E194" s="3">
        <v>131.6</v>
      </c>
      <c r="F194" s="3">
        <v>172.3</v>
      </c>
      <c r="G194" s="3">
        <v>176.2</v>
      </c>
      <c r="H194" s="3">
        <v>150.5</v>
      </c>
      <c r="I194" s="3">
        <v>169.6</v>
      </c>
      <c r="J194" s="3">
        <v>107</v>
      </c>
      <c r="K194" s="3">
        <v>141.30000000000001</v>
      </c>
      <c r="L194" s="3">
        <v>157.5</v>
      </c>
      <c r="M194" s="3">
        <v>164.9</v>
      </c>
      <c r="N194" s="3">
        <v>149.80000000000001</v>
      </c>
      <c r="O194" s="3">
        <v>164.5</v>
      </c>
      <c r="P194" s="3">
        <v>134.5</v>
      </c>
      <c r="Q194" s="3">
        <v>164.8</v>
      </c>
      <c r="R194" s="3">
        <v>147.69999999999999</v>
      </c>
      <c r="S194" s="3">
        <v>167.9</v>
      </c>
      <c r="T194" s="3">
        <v>140.6</v>
      </c>
      <c r="U194" s="3">
        <v>160.69999999999999</v>
      </c>
      <c r="V194" s="3">
        <v>114.3</v>
      </c>
      <c r="W194" s="3">
        <v>184.7</v>
      </c>
      <c r="X194" s="3">
        <v>141.4</v>
      </c>
      <c r="Y194" s="3">
        <v>167.1</v>
      </c>
      <c r="Z194" s="3">
        <v>147.5</v>
      </c>
      <c r="AA194" s="3">
        <v>133.69999999999999</v>
      </c>
      <c r="AB194" s="3">
        <v>148.69999999999999</v>
      </c>
      <c r="AC194" s="3">
        <v>126.3</v>
      </c>
      <c r="AD194" s="3">
        <v>115.2</v>
      </c>
      <c r="AE194" s="3">
        <v>157</v>
      </c>
      <c r="AF194" s="3">
        <v>141.69999999999999</v>
      </c>
      <c r="AG194" s="3">
        <v>138.4</v>
      </c>
      <c r="AH194" s="3">
        <v>147.9</v>
      </c>
      <c r="AI194" s="3">
        <v>152.5</v>
      </c>
      <c r="AJ194" s="3">
        <v>219.1</v>
      </c>
      <c r="AK194" s="3">
        <v>265.7</v>
      </c>
      <c r="AL194" s="3">
        <v>214.7</v>
      </c>
      <c r="AM194" s="3">
        <v>212.8</v>
      </c>
      <c r="AN194" s="3">
        <v>224.3</v>
      </c>
      <c r="AO194" s="3">
        <v>158.1</v>
      </c>
      <c r="AP194" s="3">
        <v>176.1</v>
      </c>
      <c r="AQ194" s="3">
        <v>214.1</v>
      </c>
      <c r="AR194" s="3">
        <v>153</v>
      </c>
      <c r="AS194" s="3">
        <v>304.60000000000002</v>
      </c>
      <c r="AT194" s="3">
        <v>237.7</v>
      </c>
      <c r="AU194" s="3">
        <v>253.6</v>
      </c>
      <c r="AV194" s="3">
        <v>204.4</v>
      </c>
      <c r="AW194" s="3">
        <v>202.1</v>
      </c>
      <c r="AX194" s="3">
        <v>217.1</v>
      </c>
      <c r="AY194" s="3">
        <v>273.60000000000002</v>
      </c>
      <c r="AZ194" s="3">
        <v>259.60000000000002</v>
      </c>
      <c r="BA194" s="3">
        <v>154.9</v>
      </c>
      <c r="BB194" s="3">
        <v>240.2</v>
      </c>
      <c r="BC194" s="3">
        <v>151.80000000000001</v>
      </c>
      <c r="BD194" s="3">
        <v>128.9</v>
      </c>
      <c r="BE194" s="3">
        <v>126.4</v>
      </c>
      <c r="BF194" s="3">
        <v>165</v>
      </c>
      <c r="BG194" s="3">
        <v>148.4</v>
      </c>
      <c r="BH194" s="3">
        <v>145.5</v>
      </c>
      <c r="BI194" s="3">
        <v>86.7</v>
      </c>
      <c r="BJ194" s="3">
        <v>138.80000000000001</v>
      </c>
      <c r="BK194" s="3">
        <v>161</v>
      </c>
      <c r="BL194" s="3">
        <v>157.30000000000001</v>
      </c>
      <c r="BM194" s="3">
        <v>159.4</v>
      </c>
      <c r="BN194" s="3">
        <v>90.5</v>
      </c>
      <c r="BO194" s="3">
        <v>244.2</v>
      </c>
      <c r="BP194" s="3">
        <v>230.3</v>
      </c>
      <c r="BQ194" s="3">
        <v>99.8</v>
      </c>
      <c r="BR194" s="3">
        <v>73.400000000000006</v>
      </c>
      <c r="BS194" s="3">
        <v>95.2</v>
      </c>
      <c r="BT194" s="3">
        <v>150.30000000000001</v>
      </c>
      <c r="BU194" s="3">
        <v>109.9</v>
      </c>
      <c r="BV194" s="3">
        <v>128.9</v>
      </c>
      <c r="BW194" s="3">
        <v>188.2</v>
      </c>
      <c r="BX194" s="3">
        <v>307.39999999999998</v>
      </c>
      <c r="BY194" s="3">
        <v>119.9</v>
      </c>
      <c r="BZ194" s="3">
        <v>242.2</v>
      </c>
      <c r="CA194" s="3">
        <v>219.7</v>
      </c>
      <c r="CB194" s="3">
        <v>275.2</v>
      </c>
      <c r="CC194" s="3">
        <v>221</v>
      </c>
      <c r="CD194" s="3">
        <v>223.6</v>
      </c>
      <c r="CE194" s="3">
        <v>171.9</v>
      </c>
      <c r="CF194" s="3">
        <v>28.8</v>
      </c>
      <c r="CG194" s="3">
        <v>108.6</v>
      </c>
      <c r="CH194" s="3">
        <v>102.6</v>
      </c>
      <c r="CI194" s="3">
        <v>217.3</v>
      </c>
      <c r="CJ194" s="3">
        <v>147.4</v>
      </c>
      <c r="CK194" s="3">
        <v>157.30000000000001</v>
      </c>
      <c r="CL194" s="3">
        <v>291.2</v>
      </c>
      <c r="CM194" s="3">
        <v>169.9</v>
      </c>
      <c r="CN194" s="3">
        <v>139.30000000000001</v>
      </c>
    </row>
    <row r="195" spans="1:92" x14ac:dyDescent="0.25">
      <c r="A195" s="4">
        <v>37653</v>
      </c>
      <c r="B195" s="3">
        <v>143.1</v>
      </c>
      <c r="C195" s="3">
        <v>137</v>
      </c>
      <c r="D195" s="3">
        <v>163.30000000000001</v>
      </c>
      <c r="E195" s="3">
        <v>130.6</v>
      </c>
      <c r="F195" s="3">
        <v>172.5</v>
      </c>
      <c r="G195" s="3">
        <v>175.7</v>
      </c>
      <c r="H195" s="3">
        <v>147.1</v>
      </c>
      <c r="I195" s="3">
        <v>167.8</v>
      </c>
      <c r="J195" s="3">
        <v>110.9</v>
      </c>
      <c r="K195" s="3">
        <v>141.30000000000001</v>
      </c>
      <c r="L195" s="3">
        <v>157.9</v>
      </c>
      <c r="M195" s="3">
        <v>166.5</v>
      </c>
      <c r="N195" s="3">
        <v>148.1</v>
      </c>
      <c r="O195" s="3">
        <v>164.1</v>
      </c>
      <c r="P195" s="3">
        <v>135.80000000000001</v>
      </c>
      <c r="Q195" s="3">
        <v>165.5</v>
      </c>
      <c r="R195" s="3">
        <v>148.69999999999999</v>
      </c>
      <c r="S195" s="3">
        <v>168.2</v>
      </c>
      <c r="T195" s="3">
        <v>140.19999999999999</v>
      </c>
      <c r="U195" s="3">
        <v>161.9</v>
      </c>
      <c r="V195" s="3">
        <v>114.5</v>
      </c>
      <c r="W195" s="3">
        <v>185.4</v>
      </c>
      <c r="X195" s="3">
        <v>141.6</v>
      </c>
      <c r="Y195" s="3">
        <v>168.6</v>
      </c>
      <c r="Z195" s="3">
        <v>148</v>
      </c>
      <c r="AA195" s="3">
        <v>133.69999999999999</v>
      </c>
      <c r="AB195" s="3">
        <v>149.6</v>
      </c>
      <c r="AC195" s="3">
        <v>130.30000000000001</v>
      </c>
      <c r="AD195" s="3">
        <v>119.6</v>
      </c>
      <c r="AE195" s="3">
        <v>159.6</v>
      </c>
      <c r="AF195" s="3">
        <v>143.1</v>
      </c>
      <c r="AG195" s="3">
        <v>140</v>
      </c>
      <c r="AH195" s="3">
        <v>148</v>
      </c>
      <c r="AI195" s="3">
        <v>153.69999999999999</v>
      </c>
      <c r="AJ195" s="3">
        <v>219.4</v>
      </c>
      <c r="AK195" s="3">
        <v>266.60000000000002</v>
      </c>
      <c r="AL195" s="3">
        <v>215</v>
      </c>
      <c r="AM195" s="3">
        <v>212.9</v>
      </c>
      <c r="AN195" s="3">
        <v>224.6</v>
      </c>
      <c r="AO195" s="3">
        <v>157.4</v>
      </c>
      <c r="AP195" s="3">
        <v>176.6</v>
      </c>
      <c r="AQ195" s="3">
        <v>214.7</v>
      </c>
      <c r="AR195" s="3">
        <v>153.5</v>
      </c>
      <c r="AS195" s="3">
        <v>304.7</v>
      </c>
      <c r="AT195" s="3">
        <v>237.7</v>
      </c>
      <c r="AU195" s="3">
        <v>253.4</v>
      </c>
      <c r="AV195" s="3">
        <v>205.9</v>
      </c>
      <c r="AW195" s="3">
        <v>201.7</v>
      </c>
      <c r="AX195" s="3">
        <v>217.1</v>
      </c>
      <c r="AY195" s="3">
        <v>273.60000000000002</v>
      </c>
      <c r="AZ195" s="3">
        <v>260.2</v>
      </c>
      <c r="BA195" s="3">
        <v>155.30000000000001</v>
      </c>
      <c r="BB195" s="3">
        <v>240.5</v>
      </c>
      <c r="BC195" s="3">
        <v>151.9</v>
      </c>
      <c r="BD195" s="3">
        <v>128.9</v>
      </c>
      <c r="BE195" s="3">
        <v>126.4</v>
      </c>
      <c r="BF195" s="3">
        <v>186.5</v>
      </c>
      <c r="BG195" s="3">
        <v>150.30000000000001</v>
      </c>
      <c r="BH195" s="3">
        <v>147.5</v>
      </c>
      <c r="BI195" s="3">
        <v>86.8</v>
      </c>
      <c r="BJ195" s="3">
        <v>140.4</v>
      </c>
      <c r="BK195" s="3">
        <v>161.4</v>
      </c>
      <c r="BL195" s="3">
        <v>157.5</v>
      </c>
      <c r="BM195" s="3">
        <v>159.4</v>
      </c>
      <c r="BN195" s="3">
        <v>90.5</v>
      </c>
      <c r="BO195" s="3">
        <v>244.9</v>
      </c>
      <c r="BP195" s="3">
        <v>231</v>
      </c>
      <c r="BQ195" s="3">
        <v>102.2</v>
      </c>
      <c r="BR195" s="3">
        <v>75.8</v>
      </c>
      <c r="BS195" s="3">
        <v>96.9</v>
      </c>
      <c r="BT195" s="3">
        <v>152</v>
      </c>
      <c r="BU195" s="3">
        <v>112.1</v>
      </c>
      <c r="BV195" s="3">
        <v>130.80000000000001</v>
      </c>
      <c r="BW195" s="3">
        <v>190.1</v>
      </c>
      <c r="BX195" s="3">
        <v>307.89999999999998</v>
      </c>
      <c r="BY195" s="3">
        <v>119.9</v>
      </c>
      <c r="BZ195" s="3">
        <v>242.3</v>
      </c>
      <c r="CA195" s="3">
        <v>222.4</v>
      </c>
      <c r="CB195" s="3">
        <v>275.60000000000002</v>
      </c>
      <c r="CC195" s="3">
        <v>221.1</v>
      </c>
      <c r="CD195" s="3">
        <v>223.7</v>
      </c>
      <c r="CE195" s="3">
        <v>175.1</v>
      </c>
      <c r="CF195" s="3">
        <v>28.6</v>
      </c>
      <c r="CG195" s="3">
        <v>110.9</v>
      </c>
      <c r="CH195" s="3">
        <v>103.3</v>
      </c>
      <c r="CI195" s="3">
        <v>218.1</v>
      </c>
      <c r="CJ195" s="3">
        <v>148</v>
      </c>
      <c r="CK195" s="3">
        <v>157.30000000000001</v>
      </c>
      <c r="CL195" s="3">
        <v>292.2</v>
      </c>
      <c r="CM195" s="3">
        <v>169.9</v>
      </c>
      <c r="CN195" s="3">
        <v>139.4</v>
      </c>
    </row>
    <row r="196" spans="1:92" x14ac:dyDescent="0.25">
      <c r="A196" s="4">
        <v>37681</v>
      </c>
      <c r="B196" s="3">
        <v>144.69999999999999</v>
      </c>
      <c r="C196" s="3">
        <v>139.80000000000001</v>
      </c>
      <c r="D196" s="3">
        <v>164.4</v>
      </c>
      <c r="E196" s="3">
        <v>131.69999999999999</v>
      </c>
      <c r="F196" s="3">
        <v>173.9</v>
      </c>
      <c r="G196" s="3">
        <v>181.2</v>
      </c>
      <c r="H196" s="3">
        <v>146.1</v>
      </c>
      <c r="I196" s="3">
        <v>169.3</v>
      </c>
      <c r="J196" s="3">
        <v>109.4</v>
      </c>
      <c r="K196" s="3">
        <v>141.6</v>
      </c>
      <c r="L196" s="3">
        <v>156.4</v>
      </c>
      <c r="M196" s="3">
        <v>163.5</v>
      </c>
      <c r="N196" s="3">
        <v>149.19999999999999</v>
      </c>
      <c r="O196" s="3">
        <v>163.9</v>
      </c>
      <c r="P196" s="3">
        <v>136</v>
      </c>
      <c r="Q196" s="3">
        <v>166.3</v>
      </c>
      <c r="R196" s="3">
        <v>149.5</v>
      </c>
      <c r="S196" s="3">
        <v>168.2</v>
      </c>
      <c r="T196" s="3">
        <v>139.9</v>
      </c>
      <c r="U196" s="3">
        <v>160.4</v>
      </c>
      <c r="V196" s="3">
        <v>113.8</v>
      </c>
      <c r="W196" s="3">
        <v>187.4</v>
      </c>
      <c r="X196" s="3">
        <v>141</v>
      </c>
      <c r="Y196" s="3">
        <v>170.5</v>
      </c>
      <c r="Z196" s="3">
        <v>147.30000000000001</v>
      </c>
      <c r="AA196" s="3">
        <v>132.19999999999999</v>
      </c>
      <c r="AB196" s="3">
        <v>149.4</v>
      </c>
      <c r="AC196" s="3">
        <v>132</v>
      </c>
      <c r="AD196" s="3">
        <v>121.5</v>
      </c>
      <c r="AE196" s="3">
        <v>160.4</v>
      </c>
      <c r="AF196" s="3">
        <v>143.5</v>
      </c>
      <c r="AG196" s="3">
        <v>140.30000000000001</v>
      </c>
      <c r="AH196" s="3">
        <v>148.6</v>
      </c>
      <c r="AI196" s="3">
        <v>153</v>
      </c>
      <c r="AJ196" s="3">
        <v>219.8</v>
      </c>
      <c r="AK196" s="3">
        <v>266.3</v>
      </c>
      <c r="AL196" s="3">
        <v>215.6</v>
      </c>
      <c r="AM196" s="3">
        <v>214.3</v>
      </c>
      <c r="AN196" s="3">
        <v>226.6</v>
      </c>
      <c r="AO196" s="3">
        <v>156.69999999999999</v>
      </c>
      <c r="AP196" s="3">
        <v>177</v>
      </c>
      <c r="AQ196" s="3">
        <v>215.5</v>
      </c>
      <c r="AR196" s="3">
        <v>153.5</v>
      </c>
      <c r="AS196" s="3">
        <v>304.7</v>
      </c>
      <c r="AT196" s="3">
        <v>237.6</v>
      </c>
      <c r="AU196" s="3">
        <v>253.2</v>
      </c>
      <c r="AV196" s="3">
        <v>202.7</v>
      </c>
      <c r="AW196" s="3">
        <v>200.8</v>
      </c>
      <c r="AX196" s="3">
        <v>217.1</v>
      </c>
      <c r="AY196" s="3">
        <v>273.60000000000002</v>
      </c>
      <c r="AZ196" s="3">
        <v>260.8</v>
      </c>
      <c r="BA196" s="3">
        <v>155.5</v>
      </c>
      <c r="BB196" s="3">
        <v>240.3</v>
      </c>
      <c r="BC196" s="3">
        <v>152</v>
      </c>
      <c r="BD196" s="3">
        <v>128.9</v>
      </c>
      <c r="BE196" s="3">
        <v>126.4</v>
      </c>
      <c r="BF196" s="3">
        <v>190.8</v>
      </c>
      <c r="BG196" s="3">
        <v>158.6</v>
      </c>
      <c r="BH196" s="3">
        <v>150.5</v>
      </c>
      <c r="BI196" s="3">
        <v>86.9</v>
      </c>
      <c r="BJ196" s="3">
        <v>141.9</v>
      </c>
      <c r="BK196" s="3">
        <v>160.5</v>
      </c>
      <c r="BL196" s="3">
        <v>157.80000000000001</v>
      </c>
      <c r="BM196" s="3">
        <v>159.4</v>
      </c>
      <c r="BN196" s="3">
        <v>90.6</v>
      </c>
      <c r="BO196" s="3">
        <v>245.6</v>
      </c>
      <c r="BP196" s="3">
        <v>231.1</v>
      </c>
      <c r="BQ196" s="3">
        <v>104.7</v>
      </c>
      <c r="BR196" s="3">
        <v>76.599999999999994</v>
      </c>
      <c r="BS196" s="3">
        <v>96.8</v>
      </c>
      <c r="BT196" s="3">
        <v>152.69999999999999</v>
      </c>
      <c r="BU196" s="3">
        <v>113.5</v>
      </c>
      <c r="BV196" s="3">
        <v>131.19999999999999</v>
      </c>
      <c r="BW196" s="3">
        <v>190.1</v>
      </c>
      <c r="BX196" s="3">
        <v>308.39999999999998</v>
      </c>
      <c r="BY196" s="3">
        <v>119.4</v>
      </c>
      <c r="BZ196" s="3">
        <v>242.3</v>
      </c>
      <c r="CA196" s="3">
        <v>230.3</v>
      </c>
      <c r="CB196" s="3">
        <v>276.39999999999998</v>
      </c>
      <c r="CC196" s="3">
        <v>219.9</v>
      </c>
      <c r="CD196" s="3">
        <v>223.7</v>
      </c>
      <c r="CE196" s="3">
        <v>179.4</v>
      </c>
      <c r="CF196" s="3">
        <v>28.3</v>
      </c>
      <c r="CG196" s="3">
        <v>110</v>
      </c>
      <c r="CH196" s="3">
        <v>102.5</v>
      </c>
      <c r="CI196" s="3">
        <v>220.3</v>
      </c>
      <c r="CJ196" s="3">
        <v>147.80000000000001</v>
      </c>
      <c r="CK196" s="3">
        <v>157.30000000000001</v>
      </c>
      <c r="CL196" s="3">
        <v>292.5</v>
      </c>
      <c r="CM196" s="3">
        <v>169.9</v>
      </c>
      <c r="CN196" s="3">
        <v>140</v>
      </c>
    </row>
    <row r="197" spans="1:92" x14ac:dyDescent="0.25">
      <c r="A197" s="4">
        <v>37712</v>
      </c>
      <c r="B197" s="3">
        <v>145.6</v>
      </c>
      <c r="C197" s="3">
        <v>140</v>
      </c>
      <c r="D197" s="3">
        <v>165.3</v>
      </c>
      <c r="E197" s="3">
        <v>130.80000000000001</v>
      </c>
      <c r="F197" s="3">
        <v>180.3</v>
      </c>
      <c r="G197" s="3">
        <v>190.8</v>
      </c>
      <c r="H197" s="3">
        <v>153</v>
      </c>
      <c r="I197" s="3">
        <v>171.3</v>
      </c>
      <c r="J197" s="3">
        <v>106.5</v>
      </c>
      <c r="K197" s="3">
        <v>141.1</v>
      </c>
      <c r="L197" s="3">
        <v>155.1</v>
      </c>
      <c r="M197" s="3">
        <v>163.19999999999999</v>
      </c>
      <c r="N197" s="3">
        <v>146.1</v>
      </c>
      <c r="O197" s="3">
        <v>163.9</v>
      </c>
      <c r="P197" s="3">
        <v>135</v>
      </c>
      <c r="Q197" s="3">
        <v>166.5</v>
      </c>
      <c r="R197" s="3">
        <v>148.69999999999999</v>
      </c>
      <c r="S197" s="3">
        <v>168</v>
      </c>
      <c r="T197" s="3">
        <v>141.30000000000001</v>
      </c>
      <c r="U197" s="3">
        <v>156.19999999999999</v>
      </c>
      <c r="V197" s="3">
        <v>113.9</v>
      </c>
      <c r="W197" s="3">
        <v>187.8</v>
      </c>
      <c r="X197" s="3">
        <v>141</v>
      </c>
      <c r="Y197" s="3">
        <v>171</v>
      </c>
      <c r="Z197" s="3">
        <v>149.4</v>
      </c>
      <c r="AA197" s="3">
        <v>136.30000000000001</v>
      </c>
      <c r="AB197" s="3">
        <v>149.9</v>
      </c>
      <c r="AC197" s="3">
        <v>134.69999999999999</v>
      </c>
      <c r="AD197" s="3">
        <v>124.7</v>
      </c>
      <c r="AE197" s="3">
        <v>161</v>
      </c>
      <c r="AF197" s="3">
        <v>143.9</v>
      </c>
      <c r="AG197" s="3">
        <v>140.80000000000001</v>
      </c>
      <c r="AH197" s="3">
        <v>148.6</v>
      </c>
      <c r="AI197" s="3">
        <v>153.19999999999999</v>
      </c>
      <c r="AJ197" s="3">
        <v>220.6</v>
      </c>
      <c r="AK197" s="3">
        <v>267.10000000000002</v>
      </c>
      <c r="AL197" s="3">
        <v>216.1</v>
      </c>
      <c r="AM197" s="3">
        <v>215.3</v>
      </c>
      <c r="AN197" s="3">
        <v>227.6</v>
      </c>
      <c r="AO197" s="3">
        <v>157.30000000000001</v>
      </c>
      <c r="AP197" s="3">
        <v>178.1</v>
      </c>
      <c r="AQ197" s="3">
        <v>216.4</v>
      </c>
      <c r="AR197" s="3">
        <v>155</v>
      </c>
      <c r="AS197" s="3">
        <v>309.10000000000002</v>
      </c>
      <c r="AT197" s="3">
        <v>239.9</v>
      </c>
      <c r="AU197" s="3">
        <v>255.8</v>
      </c>
      <c r="AV197" s="3">
        <v>203.8</v>
      </c>
      <c r="AW197" s="3">
        <v>202.1</v>
      </c>
      <c r="AX197" s="3">
        <v>242.9</v>
      </c>
      <c r="AY197" s="3">
        <v>285.8</v>
      </c>
      <c r="AZ197" s="3">
        <v>262.8</v>
      </c>
      <c r="BA197" s="3">
        <v>155.19999999999999</v>
      </c>
      <c r="BB197" s="3">
        <v>243.1</v>
      </c>
      <c r="BC197" s="3">
        <v>151.1</v>
      </c>
      <c r="BD197" s="3">
        <v>129</v>
      </c>
      <c r="BE197" s="3">
        <v>126.7</v>
      </c>
      <c r="BF197" s="3">
        <v>154.5</v>
      </c>
      <c r="BG197" s="3">
        <v>152.69999999999999</v>
      </c>
      <c r="BH197" s="3">
        <v>148.19999999999999</v>
      </c>
      <c r="BI197" s="3">
        <v>86.5</v>
      </c>
      <c r="BJ197" s="3">
        <v>141.1</v>
      </c>
      <c r="BK197" s="3">
        <v>161.19999999999999</v>
      </c>
      <c r="BL197" s="3">
        <v>158.80000000000001</v>
      </c>
      <c r="BM197" s="3">
        <v>159.4</v>
      </c>
      <c r="BN197" s="3">
        <v>90.6</v>
      </c>
      <c r="BO197" s="3">
        <v>246.6</v>
      </c>
      <c r="BP197" s="3">
        <v>230.9</v>
      </c>
      <c r="BQ197" s="3">
        <v>102.7</v>
      </c>
      <c r="BR197" s="3">
        <v>77.5</v>
      </c>
      <c r="BS197" s="3">
        <v>98.2</v>
      </c>
      <c r="BT197" s="3">
        <v>151.4</v>
      </c>
      <c r="BU197" s="3">
        <v>113.2</v>
      </c>
      <c r="BV197" s="3">
        <v>131.5</v>
      </c>
      <c r="BW197" s="3">
        <v>189.8</v>
      </c>
      <c r="BX197" s="3">
        <v>310.5</v>
      </c>
      <c r="BY197" s="3">
        <v>120</v>
      </c>
      <c r="BZ197" s="3">
        <v>242.9</v>
      </c>
      <c r="CA197" s="3">
        <v>228.7</v>
      </c>
      <c r="CB197" s="3">
        <v>280.3</v>
      </c>
      <c r="CC197" s="3">
        <v>221.1</v>
      </c>
      <c r="CD197" s="3">
        <v>228.6</v>
      </c>
      <c r="CE197" s="3">
        <v>194</v>
      </c>
      <c r="CF197" s="3">
        <v>28.1</v>
      </c>
      <c r="CG197" s="3">
        <v>109</v>
      </c>
      <c r="CH197" s="3">
        <v>102</v>
      </c>
      <c r="CI197" s="3">
        <v>221.9</v>
      </c>
      <c r="CJ197" s="3">
        <v>148.9</v>
      </c>
      <c r="CK197" s="3">
        <v>157.80000000000001</v>
      </c>
      <c r="CL197" s="3">
        <v>295.10000000000002</v>
      </c>
      <c r="CM197" s="3">
        <v>169.3</v>
      </c>
      <c r="CN197" s="3">
        <v>139.4</v>
      </c>
    </row>
    <row r="198" spans="1:92" x14ac:dyDescent="0.25">
      <c r="A198" s="4">
        <v>37742</v>
      </c>
      <c r="B198" s="3">
        <v>145.5</v>
      </c>
      <c r="C198" s="3">
        <v>140.69999999999999</v>
      </c>
      <c r="D198" s="3">
        <v>166.2</v>
      </c>
      <c r="E198" s="3">
        <v>132.30000000000001</v>
      </c>
      <c r="F198" s="3">
        <v>188</v>
      </c>
      <c r="G198" s="3">
        <v>204.3</v>
      </c>
      <c r="H198" s="3">
        <v>151.69999999999999</v>
      </c>
      <c r="I198" s="3">
        <v>171</v>
      </c>
      <c r="J198" s="3">
        <v>108.4</v>
      </c>
      <c r="K198" s="3">
        <v>141.19999999999999</v>
      </c>
      <c r="L198" s="3">
        <v>157.80000000000001</v>
      </c>
      <c r="M198" s="3">
        <v>166.5</v>
      </c>
      <c r="N198" s="3">
        <v>148</v>
      </c>
      <c r="O198" s="3">
        <v>164</v>
      </c>
      <c r="P198" s="3">
        <v>136.6</v>
      </c>
      <c r="Q198" s="3">
        <v>164.9</v>
      </c>
      <c r="R198" s="3">
        <v>149.4</v>
      </c>
      <c r="S198" s="3">
        <v>168.2</v>
      </c>
      <c r="T198" s="3">
        <v>140.4</v>
      </c>
      <c r="U198" s="3">
        <v>158.30000000000001</v>
      </c>
      <c r="V198" s="3">
        <v>113.7</v>
      </c>
      <c r="W198" s="3">
        <v>188</v>
      </c>
      <c r="X198" s="3">
        <v>141.9</v>
      </c>
      <c r="Y198" s="3">
        <v>171.9</v>
      </c>
      <c r="Z198" s="3">
        <v>154</v>
      </c>
      <c r="AA198" s="3">
        <v>147.69999999999999</v>
      </c>
      <c r="AB198" s="3">
        <v>149.19999999999999</v>
      </c>
      <c r="AC198" s="3">
        <v>130.80000000000001</v>
      </c>
      <c r="AD198" s="3">
        <v>119.6</v>
      </c>
      <c r="AE198" s="3">
        <v>161.5</v>
      </c>
      <c r="AF198" s="3">
        <v>152.80000000000001</v>
      </c>
      <c r="AG198" s="3">
        <v>151</v>
      </c>
      <c r="AH198" s="3">
        <v>147.6</v>
      </c>
      <c r="AI198" s="3">
        <v>154.1</v>
      </c>
      <c r="AJ198" s="3">
        <v>221.2</v>
      </c>
      <c r="AK198" s="3">
        <v>269</v>
      </c>
      <c r="AL198" s="3">
        <v>216.7</v>
      </c>
      <c r="AM198" s="3">
        <v>216.8</v>
      </c>
      <c r="AN198" s="3">
        <v>228.9</v>
      </c>
      <c r="AO198" s="3">
        <v>159.6</v>
      </c>
      <c r="AP198" s="3">
        <v>178.5</v>
      </c>
      <c r="AQ198" s="3">
        <v>217.2</v>
      </c>
      <c r="AR198" s="3">
        <v>154.9</v>
      </c>
      <c r="AS198" s="3">
        <v>309.60000000000002</v>
      </c>
      <c r="AT198" s="3">
        <v>240.8</v>
      </c>
      <c r="AU198" s="3">
        <v>255.7</v>
      </c>
      <c r="AV198" s="3">
        <v>205.3</v>
      </c>
      <c r="AW198" s="3">
        <v>203.5</v>
      </c>
      <c r="AX198" s="3">
        <v>242.9</v>
      </c>
      <c r="AY198" s="3">
        <v>285.8</v>
      </c>
      <c r="AZ198" s="3">
        <v>263.39999999999998</v>
      </c>
      <c r="BA198" s="3">
        <v>155.30000000000001</v>
      </c>
      <c r="BB198" s="3">
        <v>243.4</v>
      </c>
      <c r="BC198" s="3">
        <v>149.5</v>
      </c>
      <c r="BD198" s="3">
        <v>129.4</v>
      </c>
      <c r="BE198" s="3">
        <v>127.5</v>
      </c>
      <c r="BF198" s="3">
        <v>148</v>
      </c>
      <c r="BG198" s="3">
        <v>155.19999999999999</v>
      </c>
      <c r="BH198" s="3">
        <v>153.80000000000001</v>
      </c>
      <c r="BI198" s="3">
        <v>86.4</v>
      </c>
      <c r="BJ198" s="3">
        <v>141.69999999999999</v>
      </c>
      <c r="BK198" s="3">
        <v>160.4</v>
      </c>
      <c r="BL198" s="3">
        <v>159.5</v>
      </c>
      <c r="BM198" s="3">
        <v>165.6</v>
      </c>
      <c r="BN198" s="3">
        <v>90.5</v>
      </c>
      <c r="BO198" s="3">
        <v>247.5</v>
      </c>
      <c r="BP198" s="3">
        <v>231.5</v>
      </c>
      <c r="BQ198" s="3">
        <v>103</v>
      </c>
      <c r="BR198" s="3">
        <v>76.8</v>
      </c>
      <c r="BS198" s="3">
        <v>98.5</v>
      </c>
      <c r="BT198" s="3">
        <v>152</v>
      </c>
      <c r="BU198" s="3">
        <v>113.8</v>
      </c>
      <c r="BV198" s="3">
        <v>131.6</v>
      </c>
      <c r="BW198" s="3">
        <v>188.5</v>
      </c>
      <c r="BX198" s="3">
        <v>311.5</v>
      </c>
      <c r="BY198" s="3">
        <v>120.4</v>
      </c>
      <c r="BZ198" s="3">
        <v>244.5</v>
      </c>
      <c r="CA198" s="3">
        <v>220.2</v>
      </c>
      <c r="CB198" s="3">
        <v>283.8</v>
      </c>
      <c r="CC198" s="3">
        <v>225.2</v>
      </c>
      <c r="CD198" s="3">
        <v>229</v>
      </c>
      <c r="CE198" s="3">
        <v>189.3</v>
      </c>
      <c r="CF198" s="3">
        <v>27.8</v>
      </c>
      <c r="CG198" s="3">
        <v>106.9</v>
      </c>
      <c r="CH198" s="3">
        <v>101.9</v>
      </c>
      <c r="CI198" s="3">
        <v>222.1</v>
      </c>
      <c r="CJ198" s="3">
        <v>145.30000000000001</v>
      </c>
      <c r="CK198" s="3">
        <v>157.80000000000001</v>
      </c>
      <c r="CL198" s="3">
        <v>293.39999999999998</v>
      </c>
      <c r="CM198" s="3">
        <v>169.4</v>
      </c>
      <c r="CN198" s="3">
        <v>139.80000000000001</v>
      </c>
    </row>
    <row r="199" spans="1:92" x14ac:dyDescent="0.25">
      <c r="A199" s="4">
        <v>37773</v>
      </c>
      <c r="B199" s="3">
        <v>144.5</v>
      </c>
      <c r="C199" s="3">
        <v>140.6</v>
      </c>
      <c r="D199" s="3">
        <v>165</v>
      </c>
      <c r="E199" s="3">
        <v>131.19999999999999</v>
      </c>
      <c r="F199" s="3">
        <v>186.2</v>
      </c>
      <c r="G199" s="3">
        <v>203.5</v>
      </c>
      <c r="H199" s="3">
        <v>151.4</v>
      </c>
      <c r="I199" s="3">
        <v>170.5</v>
      </c>
      <c r="J199" s="3">
        <v>109.5</v>
      </c>
      <c r="K199" s="3">
        <v>140.30000000000001</v>
      </c>
      <c r="L199" s="3">
        <v>154.80000000000001</v>
      </c>
      <c r="M199" s="3">
        <v>161.69999999999999</v>
      </c>
      <c r="N199" s="3">
        <v>148</v>
      </c>
      <c r="O199" s="3">
        <v>163.6</v>
      </c>
      <c r="P199" s="3">
        <v>136.80000000000001</v>
      </c>
      <c r="Q199" s="3">
        <v>165.3</v>
      </c>
      <c r="R199" s="3">
        <v>150.69999999999999</v>
      </c>
      <c r="S199" s="3">
        <v>168</v>
      </c>
      <c r="T199" s="3">
        <v>141.69999999999999</v>
      </c>
      <c r="U199" s="3">
        <v>158</v>
      </c>
      <c r="V199" s="3">
        <v>114.7</v>
      </c>
      <c r="W199" s="3">
        <v>187.2</v>
      </c>
      <c r="X199" s="3">
        <v>142</v>
      </c>
      <c r="Y199" s="3">
        <v>172.5</v>
      </c>
      <c r="Z199" s="3">
        <v>148.6</v>
      </c>
      <c r="AA199" s="3">
        <v>134.1</v>
      </c>
      <c r="AB199" s="3">
        <v>150.30000000000001</v>
      </c>
      <c r="AC199" s="3">
        <v>128.9</v>
      </c>
      <c r="AD199" s="3">
        <v>117.1</v>
      </c>
      <c r="AE199" s="3">
        <v>161.6</v>
      </c>
      <c r="AF199" s="3">
        <v>152.6</v>
      </c>
      <c r="AG199" s="3">
        <v>150.30000000000001</v>
      </c>
      <c r="AH199" s="3">
        <v>150.80000000000001</v>
      </c>
      <c r="AI199" s="3">
        <v>153.6</v>
      </c>
      <c r="AJ199" s="3">
        <v>221.6</v>
      </c>
      <c r="AK199" s="3">
        <v>271.10000000000002</v>
      </c>
      <c r="AL199" s="3">
        <v>217.1</v>
      </c>
      <c r="AM199" s="3">
        <v>217.5</v>
      </c>
      <c r="AN199" s="3">
        <v>229.4</v>
      </c>
      <c r="AO199" s="3">
        <v>161.30000000000001</v>
      </c>
      <c r="AP199" s="3">
        <v>178.5</v>
      </c>
      <c r="AQ199" s="3">
        <v>217.9</v>
      </c>
      <c r="AR199" s="3">
        <v>154.19999999999999</v>
      </c>
      <c r="AS199" s="3">
        <v>310.3</v>
      </c>
      <c r="AT199" s="3">
        <v>240.9</v>
      </c>
      <c r="AU199" s="3">
        <v>255.9</v>
      </c>
      <c r="AV199" s="3">
        <v>206.7</v>
      </c>
      <c r="AW199" s="3">
        <v>205.5</v>
      </c>
      <c r="AX199" s="3">
        <v>242.9</v>
      </c>
      <c r="AY199" s="3">
        <v>285.8</v>
      </c>
      <c r="AZ199" s="3">
        <v>264.5</v>
      </c>
      <c r="BA199" s="3">
        <v>155.4</v>
      </c>
      <c r="BB199" s="3">
        <v>244</v>
      </c>
      <c r="BC199" s="3">
        <v>149.19999999999999</v>
      </c>
      <c r="BD199" s="3">
        <v>129.69999999999999</v>
      </c>
      <c r="BE199" s="3">
        <v>128.30000000000001</v>
      </c>
      <c r="BF199" s="3">
        <v>146.1</v>
      </c>
      <c r="BG199" s="3">
        <v>155.30000000000001</v>
      </c>
      <c r="BH199" s="3">
        <v>149.9</v>
      </c>
      <c r="BI199" s="3">
        <v>86.1</v>
      </c>
      <c r="BJ199" s="3">
        <v>142.30000000000001</v>
      </c>
      <c r="BK199" s="3">
        <v>160.5</v>
      </c>
      <c r="BL199" s="3">
        <v>159.30000000000001</v>
      </c>
      <c r="BM199" s="3">
        <v>165.6</v>
      </c>
      <c r="BN199" s="3">
        <v>89.8</v>
      </c>
      <c r="BO199" s="3">
        <v>248.4</v>
      </c>
      <c r="BP199" s="3">
        <v>232.1</v>
      </c>
      <c r="BQ199" s="3">
        <v>103</v>
      </c>
      <c r="BR199" s="3">
        <v>75.8</v>
      </c>
      <c r="BS199" s="3">
        <v>96.1</v>
      </c>
      <c r="BT199" s="3">
        <v>151.69999999999999</v>
      </c>
      <c r="BU199" s="3">
        <v>113.3</v>
      </c>
      <c r="BV199" s="3">
        <v>131.6</v>
      </c>
      <c r="BW199" s="3">
        <v>187.1</v>
      </c>
      <c r="BX199" s="3">
        <v>312.3</v>
      </c>
      <c r="BY199" s="3">
        <v>120.3</v>
      </c>
      <c r="BZ199" s="3">
        <v>245.5</v>
      </c>
      <c r="CA199" s="3">
        <v>217.7</v>
      </c>
      <c r="CB199" s="3">
        <v>284.89999999999998</v>
      </c>
      <c r="CC199" s="3">
        <v>223.8</v>
      </c>
      <c r="CD199" s="3">
        <v>229</v>
      </c>
      <c r="CE199" s="3">
        <v>189.7</v>
      </c>
      <c r="CF199" s="3">
        <v>27.5</v>
      </c>
      <c r="CG199" s="3">
        <v>106.2</v>
      </c>
      <c r="CH199" s="3">
        <v>100.2</v>
      </c>
      <c r="CI199" s="3">
        <v>223.3</v>
      </c>
      <c r="CJ199" s="3">
        <v>149.19999999999999</v>
      </c>
      <c r="CK199" s="3">
        <v>157.80000000000001</v>
      </c>
      <c r="CL199" s="3">
        <v>296.3</v>
      </c>
      <c r="CM199" s="3">
        <v>168.1</v>
      </c>
      <c r="CN199" s="3">
        <v>139.69999999999999</v>
      </c>
    </row>
    <row r="200" spans="1:92" x14ac:dyDescent="0.25">
      <c r="A200" s="4">
        <v>37803</v>
      </c>
      <c r="B200" s="3">
        <v>144.5</v>
      </c>
      <c r="C200" s="3">
        <v>141.5</v>
      </c>
      <c r="D200" s="3">
        <v>165.3</v>
      </c>
      <c r="E200" s="3">
        <v>132.69999999999999</v>
      </c>
      <c r="F200" s="3">
        <v>187.3</v>
      </c>
      <c r="G200" s="3">
        <v>199.9</v>
      </c>
      <c r="H200" s="3">
        <v>155.30000000000001</v>
      </c>
      <c r="I200" s="3">
        <v>170.5</v>
      </c>
      <c r="J200" s="3">
        <v>109.7</v>
      </c>
      <c r="K200" s="3">
        <v>141</v>
      </c>
      <c r="L200" s="3">
        <v>156.6</v>
      </c>
      <c r="M200" s="3">
        <v>165.2</v>
      </c>
      <c r="N200" s="3">
        <v>146.6</v>
      </c>
      <c r="O200" s="3">
        <v>163.5</v>
      </c>
      <c r="P200" s="3">
        <v>135.9</v>
      </c>
      <c r="Q200" s="3">
        <v>165.9</v>
      </c>
      <c r="R200" s="3">
        <v>150.69999999999999</v>
      </c>
      <c r="S200" s="3">
        <v>171.6</v>
      </c>
      <c r="T200" s="3">
        <v>140.69999999999999</v>
      </c>
      <c r="U200" s="3">
        <v>157.69999999999999</v>
      </c>
      <c r="V200" s="3">
        <v>114.8</v>
      </c>
      <c r="W200" s="3">
        <v>187.6</v>
      </c>
      <c r="X200" s="3">
        <v>144.5</v>
      </c>
      <c r="Y200" s="3">
        <v>172.9</v>
      </c>
      <c r="Z200" s="3">
        <v>145.30000000000001</v>
      </c>
      <c r="AA200" s="3">
        <v>125.8</v>
      </c>
      <c r="AB200" s="3">
        <v>150.9</v>
      </c>
      <c r="AC200" s="3">
        <v>126.7</v>
      </c>
      <c r="AD200" s="3">
        <v>114.6</v>
      </c>
      <c r="AE200" s="3">
        <v>160.69999999999999</v>
      </c>
      <c r="AF200" s="3">
        <v>149.4</v>
      </c>
      <c r="AG200" s="3">
        <v>146.69999999999999</v>
      </c>
      <c r="AH200" s="3">
        <v>150.6</v>
      </c>
      <c r="AI200" s="3">
        <v>154.30000000000001</v>
      </c>
      <c r="AJ200" s="3">
        <v>222.3</v>
      </c>
      <c r="AK200" s="3">
        <v>272.3</v>
      </c>
      <c r="AL200" s="3">
        <v>217.6</v>
      </c>
      <c r="AM200" s="3">
        <v>216.7</v>
      </c>
      <c r="AN200" s="3">
        <v>229.2</v>
      </c>
      <c r="AO200" s="3">
        <v>158.1</v>
      </c>
      <c r="AP200" s="3">
        <v>177.8</v>
      </c>
      <c r="AQ200" s="3">
        <v>218.3</v>
      </c>
      <c r="AR200" s="3">
        <v>152.4</v>
      </c>
      <c r="AS200" s="3">
        <v>314.10000000000002</v>
      </c>
      <c r="AT200" s="3">
        <v>245.6</v>
      </c>
      <c r="AU200" s="3">
        <v>256.7</v>
      </c>
      <c r="AV200" s="3">
        <v>208.2</v>
      </c>
      <c r="AW200" s="3">
        <v>208.8</v>
      </c>
      <c r="AX200" s="3">
        <v>242.9</v>
      </c>
      <c r="AY200" s="3">
        <v>285.8</v>
      </c>
      <c r="AZ200" s="3">
        <v>265.5</v>
      </c>
      <c r="BA200" s="3">
        <v>155</v>
      </c>
      <c r="BB200" s="3">
        <v>247.2</v>
      </c>
      <c r="BC200" s="3">
        <v>149.1</v>
      </c>
      <c r="BD200" s="3">
        <v>130</v>
      </c>
      <c r="BE200" s="3">
        <v>128.9</v>
      </c>
      <c r="BF200" s="3">
        <v>149.19999999999999</v>
      </c>
      <c r="BG200" s="3">
        <v>153.5</v>
      </c>
      <c r="BH200" s="3">
        <v>147.9</v>
      </c>
      <c r="BI200" s="3">
        <v>85.5</v>
      </c>
      <c r="BJ200" s="3">
        <v>139.4</v>
      </c>
      <c r="BK200" s="3">
        <v>160.4</v>
      </c>
      <c r="BL200" s="3">
        <v>160.19999999999999</v>
      </c>
      <c r="BM200" s="3">
        <v>165.6</v>
      </c>
      <c r="BN200" s="3">
        <v>90.7</v>
      </c>
      <c r="BO200" s="3">
        <v>249.2</v>
      </c>
      <c r="BP200" s="3">
        <v>232.9</v>
      </c>
      <c r="BQ200" s="3">
        <v>98.6</v>
      </c>
      <c r="BR200" s="3">
        <v>72.5</v>
      </c>
      <c r="BS200" s="3">
        <v>94.2</v>
      </c>
      <c r="BT200" s="3">
        <v>148.5</v>
      </c>
      <c r="BU200" s="3">
        <v>110.6</v>
      </c>
      <c r="BV200" s="3">
        <v>130.69999999999999</v>
      </c>
      <c r="BW200" s="3">
        <v>186.6</v>
      </c>
      <c r="BX200" s="3">
        <v>316.7</v>
      </c>
      <c r="BY200" s="3">
        <v>119</v>
      </c>
      <c r="BZ200" s="3">
        <v>246.5</v>
      </c>
      <c r="CA200" s="3">
        <v>218.2</v>
      </c>
      <c r="CB200" s="3">
        <v>285.5</v>
      </c>
      <c r="CC200" s="3">
        <v>224.9</v>
      </c>
      <c r="CD200" s="3">
        <v>229</v>
      </c>
      <c r="CE200" s="3">
        <v>201.3</v>
      </c>
      <c r="CF200" s="3">
        <v>26.7</v>
      </c>
      <c r="CG200" s="3">
        <v>106.5</v>
      </c>
      <c r="CH200" s="3">
        <v>99</v>
      </c>
      <c r="CI200" s="3">
        <v>222.8</v>
      </c>
      <c r="CJ200" s="3">
        <v>150.1</v>
      </c>
      <c r="CK200" s="3">
        <v>155.9</v>
      </c>
      <c r="CL200" s="3">
        <v>297.10000000000002</v>
      </c>
      <c r="CM200" s="3">
        <v>168.2</v>
      </c>
      <c r="CN200" s="3">
        <v>140.30000000000001</v>
      </c>
    </row>
    <row r="201" spans="1:92" x14ac:dyDescent="0.25">
      <c r="A201" s="4">
        <v>37834</v>
      </c>
      <c r="B201" s="3">
        <v>144.6</v>
      </c>
      <c r="C201" s="3">
        <v>141.19999999999999</v>
      </c>
      <c r="D201" s="3">
        <v>166.6</v>
      </c>
      <c r="E201" s="3">
        <v>130.9</v>
      </c>
      <c r="F201" s="3">
        <v>183.2</v>
      </c>
      <c r="G201" s="3">
        <v>196.3</v>
      </c>
      <c r="H201" s="3">
        <v>149.19999999999999</v>
      </c>
      <c r="I201" s="3">
        <v>172.7</v>
      </c>
      <c r="J201" s="3">
        <v>111.3</v>
      </c>
      <c r="K201" s="3">
        <v>141.1</v>
      </c>
      <c r="L201" s="3">
        <v>153.80000000000001</v>
      </c>
      <c r="M201" s="3">
        <v>160</v>
      </c>
      <c r="N201" s="3">
        <v>148.1</v>
      </c>
      <c r="O201" s="3">
        <v>163.19999999999999</v>
      </c>
      <c r="P201" s="3">
        <v>136.6</v>
      </c>
      <c r="Q201" s="3">
        <v>166.4</v>
      </c>
      <c r="R201" s="3">
        <v>150.5</v>
      </c>
      <c r="S201" s="3">
        <v>171.5</v>
      </c>
      <c r="T201" s="3">
        <v>138.6</v>
      </c>
      <c r="U201" s="3">
        <v>157.19999999999999</v>
      </c>
      <c r="V201" s="3">
        <v>114.1</v>
      </c>
      <c r="W201" s="3">
        <v>186.4</v>
      </c>
      <c r="X201" s="3">
        <v>147.30000000000001</v>
      </c>
      <c r="Y201" s="3">
        <v>173.1</v>
      </c>
      <c r="Z201" s="3">
        <v>144</v>
      </c>
      <c r="AA201" s="3">
        <v>123</v>
      </c>
      <c r="AB201" s="3">
        <v>150.80000000000001</v>
      </c>
      <c r="AC201" s="3">
        <v>130.6</v>
      </c>
      <c r="AD201" s="3">
        <v>118.8</v>
      </c>
      <c r="AE201" s="3">
        <v>163.19999999999999</v>
      </c>
      <c r="AF201" s="3">
        <v>149.80000000000001</v>
      </c>
      <c r="AG201" s="3">
        <v>147.30000000000001</v>
      </c>
      <c r="AH201" s="3">
        <v>149.80000000000001</v>
      </c>
      <c r="AI201" s="3">
        <v>154.5</v>
      </c>
      <c r="AJ201" s="3">
        <v>222.8</v>
      </c>
      <c r="AK201" s="3">
        <v>272.7</v>
      </c>
      <c r="AL201" s="3">
        <v>218</v>
      </c>
      <c r="AM201" s="3">
        <v>216.8</v>
      </c>
      <c r="AN201" s="3">
        <v>229.3</v>
      </c>
      <c r="AO201" s="3">
        <v>158.5</v>
      </c>
      <c r="AP201" s="3">
        <v>178.9</v>
      </c>
      <c r="AQ201" s="3">
        <v>218.4</v>
      </c>
      <c r="AR201" s="3">
        <v>154.69999999999999</v>
      </c>
      <c r="AS201" s="3">
        <v>314.39999999999998</v>
      </c>
      <c r="AT201" s="3">
        <v>245.9</v>
      </c>
      <c r="AU201" s="3">
        <v>256.7</v>
      </c>
      <c r="AV201" s="3">
        <v>202.8</v>
      </c>
      <c r="AW201" s="3">
        <v>212.7</v>
      </c>
      <c r="AX201" s="3">
        <v>242.9</v>
      </c>
      <c r="AY201" s="3">
        <v>285.8</v>
      </c>
      <c r="AZ201" s="3">
        <v>266.39999999999998</v>
      </c>
      <c r="BA201" s="3">
        <v>155</v>
      </c>
      <c r="BB201" s="3">
        <v>248.8</v>
      </c>
      <c r="BC201" s="3">
        <v>149</v>
      </c>
      <c r="BD201" s="3">
        <v>130.4</v>
      </c>
      <c r="BE201" s="3">
        <v>129.1</v>
      </c>
      <c r="BF201" s="3">
        <v>153.6</v>
      </c>
      <c r="BG201" s="3">
        <v>152.30000000000001</v>
      </c>
      <c r="BH201" s="3">
        <v>150.80000000000001</v>
      </c>
      <c r="BI201" s="3">
        <v>85.4</v>
      </c>
      <c r="BJ201" s="3">
        <v>139.1</v>
      </c>
      <c r="BK201" s="3">
        <v>160.1</v>
      </c>
      <c r="BL201" s="3">
        <v>159.9</v>
      </c>
      <c r="BM201" s="3">
        <v>165.6</v>
      </c>
      <c r="BN201" s="3">
        <v>90.8</v>
      </c>
      <c r="BO201" s="3">
        <v>250.3</v>
      </c>
      <c r="BP201" s="3">
        <v>233.8</v>
      </c>
      <c r="BQ201" s="3">
        <v>100.3</v>
      </c>
      <c r="BR201" s="3">
        <v>74.599999999999994</v>
      </c>
      <c r="BS201" s="3">
        <v>96.1</v>
      </c>
      <c r="BT201" s="3">
        <v>150.9</v>
      </c>
      <c r="BU201" s="3">
        <v>112.2</v>
      </c>
      <c r="BV201" s="3">
        <v>131.69999999999999</v>
      </c>
      <c r="BW201" s="3">
        <v>188</v>
      </c>
      <c r="BX201" s="3">
        <v>317.39999999999998</v>
      </c>
      <c r="BY201" s="3">
        <v>118.2</v>
      </c>
      <c r="BZ201" s="3">
        <v>247.1</v>
      </c>
      <c r="CA201" s="3">
        <v>220.6</v>
      </c>
      <c r="CB201" s="3">
        <v>284.89999999999998</v>
      </c>
      <c r="CC201" s="3">
        <v>224.1</v>
      </c>
      <c r="CD201" s="3">
        <v>229.9</v>
      </c>
      <c r="CE201" s="3">
        <v>204.7</v>
      </c>
      <c r="CF201" s="3">
        <v>26.1</v>
      </c>
      <c r="CG201" s="3">
        <v>106.7</v>
      </c>
      <c r="CH201" s="3">
        <v>101.5</v>
      </c>
      <c r="CI201" s="3">
        <v>223.1</v>
      </c>
      <c r="CJ201" s="3">
        <v>149.6</v>
      </c>
      <c r="CK201" s="3">
        <v>155.9</v>
      </c>
      <c r="CL201" s="3">
        <v>297</v>
      </c>
      <c r="CM201" s="3">
        <v>167.6</v>
      </c>
      <c r="CN201" s="3">
        <v>141.1</v>
      </c>
    </row>
    <row r="202" spans="1:92" x14ac:dyDescent="0.25">
      <c r="A202" s="4">
        <v>37865</v>
      </c>
      <c r="B202" s="3">
        <v>146.9</v>
      </c>
      <c r="C202" s="3">
        <v>141.6</v>
      </c>
      <c r="D202" s="3">
        <v>164.9</v>
      </c>
      <c r="E202" s="3">
        <v>132</v>
      </c>
      <c r="F202" s="3">
        <v>184.9</v>
      </c>
      <c r="G202" s="3">
        <v>192.9</v>
      </c>
      <c r="H202" s="3">
        <v>150.30000000000001</v>
      </c>
      <c r="I202" s="3">
        <v>172.7</v>
      </c>
      <c r="J202" s="3">
        <v>111.9</v>
      </c>
      <c r="K202" s="3">
        <v>142.4</v>
      </c>
      <c r="L202" s="3">
        <v>158.80000000000001</v>
      </c>
      <c r="M202" s="3">
        <v>168</v>
      </c>
      <c r="N202" s="3">
        <v>148.1</v>
      </c>
      <c r="O202" s="3">
        <v>164.4</v>
      </c>
      <c r="P202" s="3">
        <v>134.1</v>
      </c>
      <c r="Q202" s="3">
        <v>168</v>
      </c>
      <c r="R202" s="3">
        <v>150.19999999999999</v>
      </c>
      <c r="S202" s="3">
        <v>171.6</v>
      </c>
      <c r="T202" s="3">
        <v>139.1</v>
      </c>
      <c r="U202" s="3">
        <v>154.30000000000001</v>
      </c>
      <c r="V202" s="3">
        <v>114.1</v>
      </c>
      <c r="W202" s="3">
        <v>184.2</v>
      </c>
      <c r="X202" s="3">
        <v>147.5</v>
      </c>
      <c r="Y202" s="3">
        <v>173.6</v>
      </c>
      <c r="Z202" s="3">
        <v>145.80000000000001</v>
      </c>
      <c r="AA202" s="3">
        <v>128.5</v>
      </c>
      <c r="AB202" s="3">
        <v>149.80000000000001</v>
      </c>
      <c r="AC202" s="3">
        <v>140.6</v>
      </c>
      <c r="AD202" s="3">
        <v>131.1</v>
      </c>
      <c r="AE202" s="3">
        <v>164.8</v>
      </c>
      <c r="AF202" s="3">
        <v>147.5</v>
      </c>
      <c r="AG202" s="3">
        <v>144.5</v>
      </c>
      <c r="AH202" s="3">
        <v>151</v>
      </c>
      <c r="AI202" s="3">
        <v>155.1</v>
      </c>
      <c r="AJ202" s="3">
        <v>223.1</v>
      </c>
      <c r="AK202" s="3">
        <v>275.3</v>
      </c>
      <c r="AL202" s="3">
        <v>218.2</v>
      </c>
      <c r="AM202" s="3">
        <v>216.8</v>
      </c>
      <c r="AN202" s="3">
        <v>229.7</v>
      </c>
      <c r="AO202" s="3">
        <v>157.19999999999999</v>
      </c>
      <c r="AP202" s="3">
        <v>179.2</v>
      </c>
      <c r="AQ202" s="3">
        <v>218.8</v>
      </c>
      <c r="AR202" s="3">
        <v>154.9</v>
      </c>
      <c r="AS202" s="3">
        <v>314.39999999999998</v>
      </c>
      <c r="AT202" s="3">
        <v>245.8</v>
      </c>
      <c r="AU202" s="3">
        <v>257</v>
      </c>
      <c r="AV202" s="3">
        <v>204</v>
      </c>
      <c r="AW202" s="3">
        <v>217.5</v>
      </c>
      <c r="AX202" s="3">
        <v>242.9</v>
      </c>
      <c r="AY202" s="3">
        <v>285.8</v>
      </c>
      <c r="AZ202" s="3">
        <v>267.3</v>
      </c>
      <c r="BA202" s="3">
        <v>155.6</v>
      </c>
      <c r="BB202" s="3">
        <v>250.1</v>
      </c>
      <c r="BC202" s="3">
        <v>151.69999999999999</v>
      </c>
      <c r="BD202" s="3">
        <v>130.80000000000001</v>
      </c>
      <c r="BE202" s="3">
        <v>129.4</v>
      </c>
      <c r="BF202" s="3">
        <v>152.19999999999999</v>
      </c>
      <c r="BG202" s="3">
        <v>155.6</v>
      </c>
      <c r="BH202" s="3">
        <v>153.4</v>
      </c>
      <c r="BI202" s="3">
        <v>85.2</v>
      </c>
      <c r="BJ202" s="3">
        <v>142.30000000000001</v>
      </c>
      <c r="BK202" s="3">
        <v>160.69999999999999</v>
      </c>
      <c r="BL202" s="3">
        <v>160</v>
      </c>
      <c r="BM202" s="3">
        <v>165.6</v>
      </c>
      <c r="BN202" s="3">
        <v>91.5</v>
      </c>
      <c r="BO202" s="3">
        <v>251.3</v>
      </c>
      <c r="BP202" s="3">
        <v>236.9</v>
      </c>
      <c r="BQ202" s="3">
        <v>104</v>
      </c>
      <c r="BR202" s="3">
        <v>77.099999999999994</v>
      </c>
      <c r="BS202" s="3">
        <v>97.5</v>
      </c>
      <c r="BT202" s="3">
        <v>151.69999999999999</v>
      </c>
      <c r="BU202" s="3">
        <v>115.7</v>
      </c>
      <c r="BV202" s="3">
        <v>131.80000000000001</v>
      </c>
      <c r="BW202" s="3">
        <v>188.3</v>
      </c>
      <c r="BX202" s="3">
        <v>317.89999999999998</v>
      </c>
      <c r="BY202" s="3">
        <v>117.7</v>
      </c>
      <c r="BZ202" s="3">
        <v>248.5</v>
      </c>
      <c r="CA202" s="3">
        <v>222.2</v>
      </c>
      <c r="CB202" s="3">
        <v>284.89999999999998</v>
      </c>
      <c r="CC202" s="3">
        <v>222.6</v>
      </c>
      <c r="CD202" s="3">
        <v>229.9</v>
      </c>
      <c r="CE202" s="3">
        <v>192</v>
      </c>
      <c r="CF202" s="3">
        <v>25.8</v>
      </c>
      <c r="CG202" s="3">
        <v>108</v>
      </c>
      <c r="CH202" s="3">
        <v>100.6</v>
      </c>
      <c r="CI202" s="3">
        <v>225.6</v>
      </c>
      <c r="CJ202" s="3">
        <v>149</v>
      </c>
      <c r="CK202" s="3">
        <v>155.9</v>
      </c>
      <c r="CL202" s="3">
        <v>302.3</v>
      </c>
      <c r="CM202" s="3">
        <v>166.8</v>
      </c>
      <c r="CN202" s="3">
        <v>141.6</v>
      </c>
    </row>
    <row r="203" spans="1:92" x14ac:dyDescent="0.25">
      <c r="A203" s="4">
        <v>37895</v>
      </c>
      <c r="B203" s="3">
        <v>149.69999999999999</v>
      </c>
      <c r="C203" s="3">
        <v>140.80000000000001</v>
      </c>
      <c r="D203" s="3">
        <v>166.4</v>
      </c>
      <c r="E203" s="3">
        <v>133.6</v>
      </c>
      <c r="F203" s="3">
        <v>183.2</v>
      </c>
      <c r="G203" s="3">
        <v>189.9</v>
      </c>
      <c r="H203" s="3">
        <v>150.69999999999999</v>
      </c>
      <c r="I203" s="3">
        <v>173.1</v>
      </c>
      <c r="J203" s="3">
        <v>111</v>
      </c>
      <c r="K203" s="3">
        <v>141.69999999999999</v>
      </c>
      <c r="L203" s="3">
        <v>153.9</v>
      </c>
      <c r="M203" s="3">
        <v>161</v>
      </c>
      <c r="N203" s="3">
        <v>146.80000000000001</v>
      </c>
      <c r="O203" s="3">
        <v>167.5</v>
      </c>
      <c r="P203" s="3">
        <v>136.6</v>
      </c>
      <c r="Q203" s="3">
        <v>168.6</v>
      </c>
      <c r="R203" s="3">
        <v>151.19999999999999</v>
      </c>
      <c r="S203" s="3">
        <v>173.3</v>
      </c>
      <c r="T203" s="3">
        <v>138</v>
      </c>
      <c r="U203" s="3">
        <v>154.19999999999999</v>
      </c>
      <c r="V203" s="3">
        <v>112.6</v>
      </c>
      <c r="W203" s="3">
        <v>185.9</v>
      </c>
      <c r="X203" s="3">
        <v>147.19999999999999</v>
      </c>
      <c r="Y203" s="3">
        <v>173.6</v>
      </c>
      <c r="Z203" s="3">
        <v>148.6</v>
      </c>
      <c r="AA203" s="3">
        <v>135.5</v>
      </c>
      <c r="AB203" s="3">
        <v>149.30000000000001</v>
      </c>
      <c r="AC203" s="3">
        <v>136.30000000000001</v>
      </c>
      <c r="AD203" s="3">
        <v>125.7</v>
      </c>
      <c r="AE203" s="3">
        <v>164.7</v>
      </c>
      <c r="AF203" s="3">
        <v>150.80000000000001</v>
      </c>
      <c r="AG203" s="3">
        <v>147.9</v>
      </c>
      <c r="AH203" s="3">
        <v>153.1</v>
      </c>
      <c r="AI203" s="3">
        <v>154.69999999999999</v>
      </c>
      <c r="AJ203" s="3">
        <v>222.9</v>
      </c>
      <c r="AK203" s="3">
        <v>275.89999999999998</v>
      </c>
      <c r="AL203" s="3">
        <v>218.9</v>
      </c>
      <c r="AM203" s="3">
        <v>217.4</v>
      </c>
      <c r="AN203" s="3">
        <v>229.9</v>
      </c>
      <c r="AO203" s="3">
        <v>159</v>
      </c>
      <c r="AP203" s="3">
        <v>179.4</v>
      </c>
      <c r="AQ203" s="3">
        <v>219.1</v>
      </c>
      <c r="AR203" s="3">
        <v>154.80000000000001</v>
      </c>
      <c r="AS203" s="3">
        <v>314.39999999999998</v>
      </c>
      <c r="AT203" s="3">
        <v>245.8</v>
      </c>
      <c r="AU203" s="3">
        <v>257.5</v>
      </c>
      <c r="AV203" s="3">
        <v>205.6</v>
      </c>
      <c r="AW203" s="3">
        <v>218.4</v>
      </c>
      <c r="AX203" s="3">
        <v>242.9</v>
      </c>
      <c r="AY203" s="3">
        <v>285.8</v>
      </c>
      <c r="AZ203" s="3">
        <v>271.39999999999998</v>
      </c>
      <c r="BA203" s="3">
        <v>155.69999999999999</v>
      </c>
      <c r="BB203" s="3">
        <v>250.7</v>
      </c>
      <c r="BC203" s="3">
        <v>154.19999999999999</v>
      </c>
      <c r="BD203" s="3">
        <v>130.9</v>
      </c>
      <c r="BE203" s="3">
        <v>129.6</v>
      </c>
      <c r="BF203" s="3">
        <v>161.30000000000001</v>
      </c>
      <c r="BG203" s="3">
        <v>153.80000000000001</v>
      </c>
      <c r="BH203" s="3">
        <v>151.30000000000001</v>
      </c>
      <c r="BI203" s="3">
        <v>84.6</v>
      </c>
      <c r="BJ203" s="3">
        <v>140.5</v>
      </c>
      <c r="BK203" s="3">
        <v>160.19999999999999</v>
      </c>
      <c r="BL203" s="3">
        <v>160.30000000000001</v>
      </c>
      <c r="BM203" s="3">
        <v>165.6</v>
      </c>
      <c r="BN203" s="3">
        <v>91.1</v>
      </c>
      <c r="BO203" s="3">
        <v>252.4</v>
      </c>
      <c r="BP203" s="3">
        <v>240</v>
      </c>
      <c r="BQ203" s="3">
        <v>103.4</v>
      </c>
      <c r="BR203" s="3">
        <v>76.599999999999994</v>
      </c>
      <c r="BS203" s="3">
        <v>96.4</v>
      </c>
      <c r="BT203" s="3">
        <v>151.19999999999999</v>
      </c>
      <c r="BU203" s="3">
        <v>115.7</v>
      </c>
      <c r="BV203" s="3">
        <v>131.4</v>
      </c>
      <c r="BW203" s="3">
        <v>188.6</v>
      </c>
      <c r="BX203" s="3">
        <v>319.7</v>
      </c>
      <c r="BY203" s="3">
        <v>117.6</v>
      </c>
      <c r="BZ203" s="3">
        <v>250</v>
      </c>
      <c r="CA203" s="3">
        <v>221.1</v>
      </c>
      <c r="CB203" s="3">
        <v>285.2</v>
      </c>
      <c r="CC203" s="3">
        <v>222.4</v>
      </c>
      <c r="CD203" s="3">
        <v>231.7</v>
      </c>
      <c r="CE203" s="3">
        <v>189.1</v>
      </c>
      <c r="CF203" s="3">
        <v>25.7</v>
      </c>
      <c r="CG203" s="3">
        <v>107</v>
      </c>
      <c r="CH203" s="3">
        <v>101.4</v>
      </c>
      <c r="CI203" s="3">
        <v>225.5</v>
      </c>
      <c r="CJ203" s="3">
        <v>148.9</v>
      </c>
      <c r="CK203" s="3">
        <v>155.1</v>
      </c>
      <c r="CL203" s="3">
        <v>304</v>
      </c>
      <c r="CM203" s="3">
        <v>165.9</v>
      </c>
      <c r="CN203" s="3">
        <v>142.1</v>
      </c>
    </row>
    <row r="204" spans="1:92" x14ac:dyDescent="0.25">
      <c r="A204" s="4">
        <v>37926</v>
      </c>
      <c r="B204" s="3">
        <v>152</v>
      </c>
      <c r="C204" s="3">
        <v>140.9</v>
      </c>
      <c r="D204" s="3">
        <v>165</v>
      </c>
      <c r="E204" s="3">
        <v>132.30000000000001</v>
      </c>
      <c r="F204" s="3">
        <v>179.4</v>
      </c>
      <c r="G204" s="3">
        <v>184.4</v>
      </c>
      <c r="H204" s="3">
        <v>159.30000000000001</v>
      </c>
      <c r="I204" s="3">
        <v>174</v>
      </c>
      <c r="J204" s="3">
        <v>111.2</v>
      </c>
      <c r="K204" s="3">
        <v>141.69999999999999</v>
      </c>
      <c r="L204" s="3">
        <v>155.30000000000001</v>
      </c>
      <c r="M204" s="3">
        <v>163.9</v>
      </c>
      <c r="N204" s="3">
        <v>145.30000000000001</v>
      </c>
      <c r="O204" s="3">
        <v>170.1</v>
      </c>
      <c r="P204" s="3">
        <v>134.4</v>
      </c>
      <c r="Q204" s="3">
        <v>170.3</v>
      </c>
      <c r="R204" s="3">
        <v>156.19999999999999</v>
      </c>
      <c r="S204" s="3">
        <v>173.6</v>
      </c>
      <c r="T204" s="3">
        <v>139.1</v>
      </c>
      <c r="U204" s="3">
        <v>154.5</v>
      </c>
      <c r="V204" s="3">
        <v>112.8</v>
      </c>
      <c r="W204" s="3">
        <v>185.7</v>
      </c>
      <c r="X204" s="3">
        <v>146.1</v>
      </c>
      <c r="Y204" s="3">
        <v>172.9</v>
      </c>
      <c r="Z204" s="3">
        <v>154</v>
      </c>
      <c r="AA204" s="3">
        <v>145.80000000000001</v>
      </c>
      <c r="AB204" s="3">
        <v>150.69999999999999</v>
      </c>
      <c r="AC204" s="3">
        <v>133.5</v>
      </c>
      <c r="AD204" s="3">
        <v>122.2</v>
      </c>
      <c r="AE204" s="3">
        <v>164.1</v>
      </c>
      <c r="AF204" s="3">
        <v>152.80000000000001</v>
      </c>
      <c r="AG204" s="3">
        <v>150.19999999999999</v>
      </c>
      <c r="AH204" s="3">
        <v>153.30000000000001</v>
      </c>
      <c r="AI204" s="3">
        <v>153.30000000000001</v>
      </c>
      <c r="AJ204" s="3">
        <v>223.7</v>
      </c>
      <c r="AK204" s="3">
        <v>276</v>
      </c>
      <c r="AL204" s="3">
        <v>219.4</v>
      </c>
      <c r="AM204" s="3">
        <v>216.8</v>
      </c>
      <c r="AN204" s="3">
        <v>230.2</v>
      </c>
      <c r="AO204" s="3">
        <v>155</v>
      </c>
      <c r="AP204" s="3">
        <v>178.5</v>
      </c>
      <c r="AQ204" s="3">
        <v>219.7</v>
      </c>
      <c r="AR204" s="3">
        <v>152.5</v>
      </c>
      <c r="AS204" s="3">
        <v>314.3</v>
      </c>
      <c r="AT204" s="3">
        <v>245.3</v>
      </c>
      <c r="AU204" s="3">
        <v>257.5</v>
      </c>
      <c r="AV204" s="3">
        <v>207.4</v>
      </c>
      <c r="AW204" s="3">
        <v>220.9</v>
      </c>
      <c r="AX204" s="3">
        <v>242.9</v>
      </c>
      <c r="AY204" s="3">
        <v>285.8</v>
      </c>
      <c r="AZ204" s="3">
        <v>272.10000000000002</v>
      </c>
      <c r="BA204" s="3">
        <v>155.5</v>
      </c>
      <c r="BB204" s="3">
        <v>250</v>
      </c>
      <c r="BC204" s="3">
        <v>154.5</v>
      </c>
      <c r="BD204" s="3">
        <v>131.1</v>
      </c>
      <c r="BE204" s="3">
        <v>129.9</v>
      </c>
      <c r="BF204" s="3">
        <v>160.69999999999999</v>
      </c>
      <c r="BG204" s="3">
        <v>155.69999999999999</v>
      </c>
      <c r="BH204" s="3">
        <v>152.69999999999999</v>
      </c>
      <c r="BI204" s="3">
        <v>85.4</v>
      </c>
      <c r="BJ204" s="3">
        <v>140.30000000000001</v>
      </c>
      <c r="BK204" s="3">
        <v>160.5</v>
      </c>
      <c r="BL204" s="3">
        <v>160.4</v>
      </c>
      <c r="BM204" s="3">
        <v>165.6</v>
      </c>
      <c r="BN204" s="3">
        <v>90.6</v>
      </c>
      <c r="BO204" s="3">
        <v>253.6</v>
      </c>
      <c r="BP204" s="3">
        <v>240.7</v>
      </c>
      <c r="BQ204" s="3">
        <v>104.4</v>
      </c>
      <c r="BR204" s="3">
        <v>76.599999999999994</v>
      </c>
      <c r="BS204" s="3">
        <v>96.9</v>
      </c>
      <c r="BT204" s="3">
        <v>151.5</v>
      </c>
      <c r="BU204" s="3">
        <v>115.3</v>
      </c>
      <c r="BV204" s="3">
        <v>131.5</v>
      </c>
      <c r="BW204" s="3">
        <v>188.2</v>
      </c>
      <c r="BX204" s="3">
        <v>320.3</v>
      </c>
      <c r="BY204" s="3">
        <v>117.4</v>
      </c>
      <c r="BZ204" s="3">
        <v>251.1</v>
      </c>
      <c r="CA204" s="3">
        <v>221.5</v>
      </c>
      <c r="CB204" s="3">
        <v>281.60000000000002</v>
      </c>
      <c r="CC204" s="3">
        <v>221.4</v>
      </c>
      <c r="CD204" s="3">
        <v>231.9</v>
      </c>
      <c r="CE204" s="3">
        <v>181.1</v>
      </c>
      <c r="CF204" s="3">
        <v>25.4</v>
      </c>
      <c r="CG204" s="3">
        <v>107.2</v>
      </c>
      <c r="CH204" s="3">
        <v>100.3</v>
      </c>
      <c r="CI204" s="3">
        <v>225.7</v>
      </c>
      <c r="CJ204" s="3">
        <v>150.19999999999999</v>
      </c>
      <c r="CK204" s="3">
        <v>155.1</v>
      </c>
      <c r="CL204" s="3">
        <v>303.7</v>
      </c>
      <c r="CM204" s="3">
        <v>165.5</v>
      </c>
      <c r="CN204" s="3">
        <v>142.6</v>
      </c>
    </row>
    <row r="205" spans="1:92" x14ac:dyDescent="0.25">
      <c r="A205" s="4">
        <v>37956</v>
      </c>
      <c r="B205" s="3">
        <v>152</v>
      </c>
      <c r="C205" s="3">
        <v>140.69999999999999</v>
      </c>
      <c r="D205" s="3">
        <v>166</v>
      </c>
      <c r="E205" s="3">
        <v>132.69999999999999</v>
      </c>
      <c r="F205" s="3">
        <v>177.9</v>
      </c>
      <c r="G205" s="3">
        <v>186</v>
      </c>
      <c r="H205" s="3">
        <v>158.30000000000001</v>
      </c>
      <c r="I205" s="3">
        <v>175.9</v>
      </c>
      <c r="J205" s="3">
        <v>112.1</v>
      </c>
      <c r="K205" s="3">
        <v>143</v>
      </c>
      <c r="L205" s="3">
        <v>157.19999999999999</v>
      </c>
      <c r="M205" s="3">
        <v>167.1</v>
      </c>
      <c r="N205" s="3">
        <v>145.1</v>
      </c>
      <c r="O205" s="3">
        <v>168.8</v>
      </c>
      <c r="P205" s="3">
        <v>136.5</v>
      </c>
      <c r="Q205" s="3">
        <v>170.6</v>
      </c>
      <c r="R205" s="3">
        <v>157</v>
      </c>
      <c r="S205" s="3">
        <v>173.8</v>
      </c>
      <c r="T205" s="3">
        <v>142.4</v>
      </c>
      <c r="U205" s="3">
        <v>155.1</v>
      </c>
      <c r="V205" s="3">
        <v>114.1</v>
      </c>
      <c r="W205" s="3">
        <v>185.6</v>
      </c>
      <c r="X205" s="3">
        <v>147.9</v>
      </c>
      <c r="Y205" s="3">
        <v>173.8</v>
      </c>
      <c r="Z205" s="3">
        <v>154.19999999999999</v>
      </c>
      <c r="AA205" s="3">
        <v>148.4</v>
      </c>
      <c r="AB205" s="3">
        <v>149.1</v>
      </c>
      <c r="AC205" s="3">
        <v>132.4</v>
      </c>
      <c r="AD205" s="3">
        <v>120.9</v>
      </c>
      <c r="AE205" s="3">
        <v>164.2</v>
      </c>
      <c r="AF205" s="3">
        <v>153.19999999999999</v>
      </c>
      <c r="AG205" s="3">
        <v>150.69999999999999</v>
      </c>
      <c r="AH205" s="3">
        <v>152.69999999999999</v>
      </c>
      <c r="AI205" s="3">
        <v>153.1</v>
      </c>
      <c r="AJ205" s="3">
        <v>224.5</v>
      </c>
      <c r="AK205" s="3">
        <v>276.60000000000002</v>
      </c>
      <c r="AL205" s="3">
        <v>219.7</v>
      </c>
      <c r="AM205" s="3">
        <v>217</v>
      </c>
      <c r="AN205" s="3">
        <v>230.5</v>
      </c>
      <c r="AO205" s="3">
        <v>154.80000000000001</v>
      </c>
      <c r="AP205" s="3">
        <v>177.9</v>
      </c>
      <c r="AQ205" s="3">
        <v>220.1</v>
      </c>
      <c r="AR205" s="3">
        <v>150.69999999999999</v>
      </c>
      <c r="AS205" s="3">
        <v>314</v>
      </c>
      <c r="AT205" s="3">
        <v>245.1</v>
      </c>
      <c r="AU205" s="3">
        <v>257.60000000000002</v>
      </c>
      <c r="AV205" s="3">
        <v>218.8</v>
      </c>
      <c r="AW205" s="3">
        <v>221.2</v>
      </c>
      <c r="AX205" s="3">
        <v>242.9</v>
      </c>
      <c r="AY205" s="3">
        <v>285.8</v>
      </c>
      <c r="AZ205" s="3">
        <v>272.7</v>
      </c>
      <c r="BA205" s="3">
        <v>155.80000000000001</v>
      </c>
      <c r="BB205" s="3">
        <v>257</v>
      </c>
      <c r="BC205" s="3">
        <v>154.6</v>
      </c>
      <c r="BD205" s="3">
        <v>131.5</v>
      </c>
      <c r="BE205" s="3">
        <v>130.30000000000001</v>
      </c>
      <c r="BF205" s="3">
        <v>166.3</v>
      </c>
      <c r="BG205" s="3">
        <v>160.6</v>
      </c>
      <c r="BH205" s="3">
        <v>157.5</v>
      </c>
      <c r="BI205" s="3">
        <v>84.1</v>
      </c>
      <c r="BJ205" s="3">
        <v>142.9</v>
      </c>
      <c r="BK205" s="3">
        <v>160.30000000000001</v>
      </c>
      <c r="BL205" s="3">
        <v>160.4</v>
      </c>
      <c r="BM205" s="3">
        <v>165.6</v>
      </c>
      <c r="BN205" s="3">
        <v>90.6</v>
      </c>
      <c r="BO205" s="3">
        <v>254.2</v>
      </c>
      <c r="BP205" s="3">
        <v>241</v>
      </c>
      <c r="BQ205" s="3">
        <v>103.5</v>
      </c>
      <c r="BR205" s="3">
        <v>74.900000000000006</v>
      </c>
      <c r="BS205" s="3">
        <v>96.8</v>
      </c>
      <c r="BT205" s="3">
        <v>152.1</v>
      </c>
      <c r="BU205" s="3">
        <v>113.9</v>
      </c>
      <c r="BV205" s="3">
        <v>131.1</v>
      </c>
      <c r="BW205" s="3">
        <v>187.6</v>
      </c>
      <c r="BX205" s="3">
        <v>319.5</v>
      </c>
      <c r="BY205" s="3">
        <v>116.9</v>
      </c>
      <c r="BZ205" s="3">
        <v>251.6</v>
      </c>
      <c r="CA205" s="3">
        <v>221.7</v>
      </c>
      <c r="CB205" s="3">
        <v>282.60000000000002</v>
      </c>
      <c r="CC205" s="3">
        <v>220.5</v>
      </c>
      <c r="CD205" s="3">
        <v>232.1</v>
      </c>
      <c r="CE205" s="3">
        <v>199.1</v>
      </c>
      <c r="CF205" s="3">
        <v>25.2</v>
      </c>
      <c r="CG205" s="3">
        <v>106.4</v>
      </c>
      <c r="CH205" s="3">
        <v>100.3</v>
      </c>
      <c r="CI205" s="3">
        <v>227.7</v>
      </c>
      <c r="CJ205" s="3">
        <v>150.5</v>
      </c>
      <c r="CK205" s="3">
        <v>155.1</v>
      </c>
      <c r="CL205" s="3">
        <v>303.60000000000002</v>
      </c>
      <c r="CM205" s="3">
        <v>165.3</v>
      </c>
      <c r="CN205" s="3">
        <v>143</v>
      </c>
    </row>
    <row r="206" spans="1:92" x14ac:dyDescent="0.25">
      <c r="A206" s="4">
        <v>37987</v>
      </c>
      <c r="B206" s="3">
        <v>151.69999999999999</v>
      </c>
      <c r="C206" s="3">
        <v>141</v>
      </c>
      <c r="D206" s="3">
        <v>166.3</v>
      </c>
      <c r="E206" s="3">
        <v>133.69999999999999</v>
      </c>
      <c r="F206" s="3">
        <v>185.3</v>
      </c>
      <c r="G206" s="3">
        <v>191.3</v>
      </c>
      <c r="H206" s="3">
        <v>153.80000000000001</v>
      </c>
      <c r="I206" s="3">
        <v>175.8</v>
      </c>
      <c r="J206" s="3">
        <v>117</v>
      </c>
      <c r="K206" s="3">
        <v>142.69999999999999</v>
      </c>
      <c r="L206" s="3">
        <v>153.69999999999999</v>
      </c>
      <c r="M206" s="3">
        <v>161.1</v>
      </c>
      <c r="N206" s="3">
        <v>146</v>
      </c>
      <c r="O206" s="3">
        <v>170.3</v>
      </c>
      <c r="P206" s="3">
        <v>133.80000000000001</v>
      </c>
      <c r="Q206" s="3">
        <v>171.1</v>
      </c>
      <c r="R206" s="3">
        <v>155.9</v>
      </c>
      <c r="S206" s="3">
        <v>173.8</v>
      </c>
      <c r="T206" s="3">
        <v>140.9</v>
      </c>
      <c r="U206" s="3">
        <v>154</v>
      </c>
      <c r="V206" s="3">
        <v>113.7</v>
      </c>
      <c r="W206" s="3">
        <v>185.6</v>
      </c>
      <c r="X206" s="3">
        <v>151</v>
      </c>
      <c r="Y206" s="3">
        <v>173.1</v>
      </c>
      <c r="Z206" s="3">
        <v>156.19999999999999</v>
      </c>
      <c r="AA206" s="3">
        <v>148.4</v>
      </c>
      <c r="AB206" s="3">
        <v>152.4</v>
      </c>
      <c r="AC206" s="3">
        <v>132.6</v>
      </c>
      <c r="AD206" s="3">
        <v>121.2</v>
      </c>
      <c r="AE206" s="3">
        <v>164</v>
      </c>
      <c r="AF206" s="3">
        <v>145.1</v>
      </c>
      <c r="AG206" s="3">
        <v>141.6</v>
      </c>
      <c r="AH206" s="3">
        <v>152</v>
      </c>
      <c r="AI206" s="3">
        <v>153.1</v>
      </c>
      <c r="AJ206" s="3">
        <v>225.2</v>
      </c>
      <c r="AK206" s="3">
        <v>276.5</v>
      </c>
      <c r="AL206" s="3">
        <v>220.4</v>
      </c>
      <c r="AM206" s="3">
        <v>216.9</v>
      </c>
      <c r="AN206" s="3">
        <v>230.4</v>
      </c>
      <c r="AO206" s="3">
        <v>155.1</v>
      </c>
      <c r="AP206" s="3">
        <v>179.6</v>
      </c>
      <c r="AQ206" s="3">
        <v>220.2</v>
      </c>
      <c r="AR206" s="3">
        <v>154.1</v>
      </c>
      <c r="AS206" s="3">
        <v>314.10000000000002</v>
      </c>
      <c r="AT206" s="3">
        <v>245.5</v>
      </c>
      <c r="AU206" s="3">
        <v>257.89999999999998</v>
      </c>
      <c r="AV206" s="3">
        <v>220.4</v>
      </c>
      <c r="AW206" s="3">
        <v>222.6</v>
      </c>
      <c r="AX206" s="3">
        <v>242.9</v>
      </c>
      <c r="AY206" s="3">
        <v>285.8</v>
      </c>
      <c r="AZ206" s="3">
        <v>276.3</v>
      </c>
      <c r="BA206" s="3">
        <v>155.69999999999999</v>
      </c>
      <c r="BB206" s="3">
        <v>259.2</v>
      </c>
      <c r="BC206" s="3">
        <v>155.19999999999999</v>
      </c>
      <c r="BD206" s="3">
        <v>132.1</v>
      </c>
      <c r="BE206" s="3">
        <v>131.1</v>
      </c>
      <c r="BF206" s="3">
        <v>164.4</v>
      </c>
      <c r="BG206" s="3">
        <v>151.30000000000001</v>
      </c>
      <c r="BH206" s="3">
        <v>149.69999999999999</v>
      </c>
      <c r="BI206" s="3">
        <v>83.9</v>
      </c>
      <c r="BJ206" s="3">
        <v>140.9</v>
      </c>
      <c r="BK206" s="3">
        <v>159.4</v>
      </c>
      <c r="BL206" s="3">
        <v>159.80000000000001</v>
      </c>
      <c r="BM206" s="3">
        <v>165.6</v>
      </c>
      <c r="BN206" s="3">
        <v>90.6</v>
      </c>
      <c r="BO206" s="3">
        <v>257.5</v>
      </c>
      <c r="BP206" s="3">
        <v>243</v>
      </c>
      <c r="BQ206" s="3">
        <v>98.6</v>
      </c>
      <c r="BR206" s="3">
        <v>72.7</v>
      </c>
      <c r="BS206" s="3">
        <v>94.2</v>
      </c>
      <c r="BT206" s="3">
        <v>150</v>
      </c>
      <c r="BU206" s="3">
        <v>112.1</v>
      </c>
      <c r="BV206" s="3">
        <v>129</v>
      </c>
      <c r="BW206" s="3">
        <v>186.4</v>
      </c>
      <c r="BX206" s="3">
        <v>319.5</v>
      </c>
      <c r="BY206" s="3">
        <v>119.3</v>
      </c>
      <c r="BZ206" s="3">
        <v>255.3</v>
      </c>
      <c r="CA206" s="3">
        <v>222.9</v>
      </c>
      <c r="CB206" s="3">
        <v>286.60000000000002</v>
      </c>
      <c r="CC206" s="3">
        <v>225.5</v>
      </c>
      <c r="CD206" s="3">
        <v>236.2</v>
      </c>
      <c r="CE206" s="3">
        <v>179.4</v>
      </c>
      <c r="CF206" s="3">
        <v>24.9</v>
      </c>
      <c r="CG206" s="3">
        <v>103.4</v>
      </c>
      <c r="CH206" s="3">
        <v>98.8</v>
      </c>
      <c r="CI206" s="3">
        <v>228.1</v>
      </c>
      <c r="CJ206" s="3">
        <v>150.69999999999999</v>
      </c>
      <c r="CK206" s="3">
        <v>152.9</v>
      </c>
      <c r="CL206" s="3">
        <v>304.39999999999998</v>
      </c>
      <c r="CM206" s="3">
        <v>165.3</v>
      </c>
      <c r="CN206" s="3">
        <v>143.19999999999999</v>
      </c>
    </row>
    <row r="207" spans="1:92" x14ac:dyDescent="0.25">
      <c r="A207" s="4">
        <v>38018</v>
      </c>
      <c r="B207" s="3">
        <v>154.1</v>
      </c>
      <c r="C207" s="3">
        <v>141.69999999999999</v>
      </c>
      <c r="D207" s="3">
        <v>165.8</v>
      </c>
      <c r="E207" s="3">
        <v>134.6</v>
      </c>
      <c r="F207" s="3">
        <v>186.5</v>
      </c>
      <c r="G207" s="3">
        <v>192.2</v>
      </c>
      <c r="H207" s="3">
        <v>161</v>
      </c>
      <c r="I207" s="3">
        <v>175.3</v>
      </c>
      <c r="J207" s="3">
        <v>117.7</v>
      </c>
      <c r="K207" s="3">
        <v>142.5</v>
      </c>
      <c r="L207" s="3">
        <v>153</v>
      </c>
      <c r="M207" s="3">
        <v>160.4</v>
      </c>
      <c r="N207" s="3">
        <v>145.30000000000001</v>
      </c>
      <c r="O207" s="3">
        <v>172.2</v>
      </c>
      <c r="P207" s="3">
        <v>137.6</v>
      </c>
      <c r="Q207" s="3">
        <v>172.2</v>
      </c>
      <c r="R207" s="3">
        <v>155.30000000000001</v>
      </c>
      <c r="S207" s="3">
        <v>173.7</v>
      </c>
      <c r="T207" s="3">
        <v>143.9</v>
      </c>
      <c r="U207" s="3">
        <v>154.5</v>
      </c>
      <c r="V207" s="3">
        <v>115</v>
      </c>
      <c r="W207" s="3">
        <v>186.3</v>
      </c>
      <c r="X207" s="3">
        <v>151.9</v>
      </c>
      <c r="Y207" s="3">
        <v>173</v>
      </c>
      <c r="Z207" s="3">
        <v>155.5</v>
      </c>
      <c r="AA207" s="3">
        <v>148.4</v>
      </c>
      <c r="AB207" s="3">
        <v>151.30000000000001</v>
      </c>
      <c r="AC207" s="3">
        <v>131.5</v>
      </c>
      <c r="AD207" s="3">
        <v>119.7</v>
      </c>
      <c r="AE207" s="3">
        <v>164.8</v>
      </c>
      <c r="AF207" s="3">
        <v>146.19999999999999</v>
      </c>
      <c r="AG207" s="3">
        <v>142.80000000000001</v>
      </c>
      <c r="AH207" s="3">
        <v>152.4</v>
      </c>
      <c r="AI207" s="3">
        <v>152.9</v>
      </c>
      <c r="AJ207" s="3">
        <v>225.4</v>
      </c>
      <c r="AK207" s="3">
        <v>276.7</v>
      </c>
      <c r="AL207" s="3">
        <v>220.8</v>
      </c>
      <c r="AM207" s="3">
        <v>217</v>
      </c>
      <c r="AN207" s="3">
        <v>230.6</v>
      </c>
      <c r="AO207" s="3">
        <v>154.6</v>
      </c>
      <c r="AP207" s="3">
        <v>179.8</v>
      </c>
      <c r="AQ207" s="3">
        <v>220.5</v>
      </c>
      <c r="AR207" s="3">
        <v>154.30000000000001</v>
      </c>
      <c r="AS207" s="3">
        <v>314.2</v>
      </c>
      <c r="AT207" s="3">
        <v>245.4</v>
      </c>
      <c r="AU207" s="3">
        <v>258</v>
      </c>
      <c r="AV207" s="3">
        <v>222</v>
      </c>
      <c r="AW207" s="3">
        <v>223.6</v>
      </c>
      <c r="AX207" s="3">
        <v>242.9</v>
      </c>
      <c r="AY207" s="3">
        <v>285.8</v>
      </c>
      <c r="AZ207" s="3">
        <v>276.5</v>
      </c>
      <c r="BA207" s="3">
        <v>155.4</v>
      </c>
      <c r="BB207" s="3">
        <v>259.5</v>
      </c>
      <c r="BC207" s="3">
        <v>155.80000000000001</v>
      </c>
      <c r="BD207" s="3">
        <v>133.1</v>
      </c>
      <c r="BE207" s="3">
        <v>132.5</v>
      </c>
      <c r="BF207" s="3">
        <v>161.5</v>
      </c>
      <c r="BG207" s="3">
        <v>155.6</v>
      </c>
      <c r="BH207" s="3">
        <v>153.6</v>
      </c>
      <c r="BI207" s="3">
        <v>84.5</v>
      </c>
      <c r="BJ207" s="3">
        <v>143.19999999999999</v>
      </c>
      <c r="BK207" s="3">
        <v>159.30000000000001</v>
      </c>
      <c r="BL207" s="3">
        <v>159.19999999999999</v>
      </c>
      <c r="BM207" s="3">
        <v>165.6</v>
      </c>
      <c r="BN207" s="3">
        <v>91.3</v>
      </c>
      <c r="BO207" s="3">
        <v>258.10000000000002</v>
      </c>
      <c r="BP207" s="3">
        <v>243.3</v>
      </c>
      <c r="BQ207" s="3">
        <v>99.6</v>
      </c>
      <c r="BR207" s="3">
        <v>72.7</v>
      </c>
      <c r="BS207" s="3">
        <v>94.5</v>
      </c>
      <c r="BT207" s="3">
        <v>150.4</v>
      </c>
      <c r="BU207" s="3">
        <v>112.9</v>
      </c>
      <c r="BV207" s="3">
        <v>130.6</v>
      </c>
      <c r="BW207" s="3">
        <v>188</v>
      </c>
      <c r="BX207" s="3">
        <v>319.89999999999998</v>
      </c>
      <c r="BY207" s="3">
        <v>119.9</v>
      </c>
      <c r="BZ207" s="3">
        <v>256.2</v>
      </c>
      <c r="CA207" s="3">
        <v>223.2</v>
      </c>
      <c r="CB207" s="3">
        <v>286.89999999999998</v>
      </c>
      <c r="CC207" s="3">
        <v>228.1</v>
      </c>
      <c r="CD207" s="3">
        <v>236.3</v>
      </c>
      <c r="CE207" s="3">
        <v>183.4</v>
      </c>
      <c r="CF207" s="3">
        <v>24.6</v>
      </c>
      <c r="CG207" s="3">
        <v>103.8</v>
      </c>
      <c r="CH207" s="3">
        <v>98.5</v>
      </c>
      <c r="CI207" s="3">
        <v>229</v>
      </c>
      <c r="CJ207" s="3">
        <v>148.9</v>
      </c>
      <c r="CK207" s="3">
        <v>152.9</v>
      </c>
      <c r="CL207" s="3">
        <v>306.10000000000002</v>
      </c>
      <c r="CM207" s="3">
        <v>165.4</v>
      </c>
      <c r="CN207" s="3">
        <v>143.5</v>
      </c>
    </row>
    <row r="208" spans="1:92" x14ac:dyDescent="0.25">
      <c r="A208" s="4">
        <v>38047</v>
      </c>
      <c r="B208" s="3">
        <v>154.69999999999999</v>
      </c>
      <c r="C208" s="3">
        <v>141.80000000000001</v>
      </c>
      <c r="D208" s="3">
        <v>166</v>
      </c>
      <c r="E208" s="3">
        <v>135.30000000000001</v>
      </c>
      <c r="F208" s="3">
        <v>184.8</v>
      </c>
      <c r="G208" s="3">
        <v>195</v>
      </c>
      <c r="H208" s="3">
        <v>158.69999999999999</v>
      </c>
      <c r="I208" s="3">
        <v>173.8</v>
      </c>
      <c r="J208" s="3">
        <v>122.5</v>
      </c>
      <c r="K208" s="3">
        <v>142.6</v>
      </c>
      <c r="L208" s="3">
        <v>153.80000000000001</v>
      </c>
      <c r="M208" s="3">
        <v>161.30000000000001</v>
      </c>
      <c r="N208" s="3">
        <v>145.80000000000001</v>
      </c>
      <c r="O208" s="3">
        <v>173.1</v>
      </c>
      <c r="P208" s="3">
        <v>136.19999999999999</v>
      </c>
      <c r="Q208" s="3">
        <v>172.9</v>
      </c>
      <c r="R208" s="3">
        <v>155.9</v>
      </c>
      <c r="S208" s="3">
        <v>173.2</v>
      </c>
      <c r="T208" s="3">
        <v>143.4</v>
      </c>
      <c r="U208" s="3">
        <v>153.30000000000001</v>
      </c>
      <c r="V208" s="3">
        <v>112.1</v>
      </c>
      <c r="W208" s="3">
        <v>187</v>
      </c>
      <c r="X208" s="3">
        <v>151.6</v>
      </c>
      <c r="Y208" s="3">
        <v>173.2</v>
      </c>
      <c r="Z208" s="3">
        <v>156.1</v>
      </c>
      <c r="AA208" s="3">
        <v>152</v>
      </c>
      <c r="AB208" s="3">
        <v>149.80000000000001</v>
      </c>
      <c r="AC208" s="3">
        <v>131.69999999999999</v>
      </c>
      <c r="AD208" s="3">
        <v>120.1</v>
      </c>
      <c r="AE208" s="3">
        <v>164.2</v>
      </c>
      <c r="AF208" s="3">
        <v>143.6</v>
      </c>
      <c r="AG208" s="3">
        <v>139.9</v>
      </c>
      <c r="AH208" s="3">
        <v>151.9</v>
      </c>
      <c r="AI208" s="3">
        <v>152.30000000000001</v>
      </c>
      <c r="AJ208" s="3">
        <v>225.8</v>
      </c>
      <c r="AK208" s="3">
        <v>277.5</v>
      </c>
      <c r="AL208" s="3">
        <v>221.4</v>
      </c>
      <c r="AM208" s="3">
        <v>219.1</v>
      </c>
      <c r="AN208" s="3">
        <v>233.1</v>
      </c>
      <c r="AO208" s="3">
        <v>154.9</v>
      </c>
      <c r="AP208" s="3">
        <v>180.7</v>
      </c>
      <c r="AQ208" s="3">
        <v>221.8</v>
      </c>
      <c r="AR208" s="3">
        <v>155</v>
      </c>
      <c r="AS208" s="3">
        <v>314.3</v>
      </c>
      <c r="AT208" s="3">
        <v>245.6</v>
      </c>
      <c r="AU208" s="3">
        <v>258</v>
      </c>
      <c r="AV208" s="3">
        <v>232.9</v>
      </c>
      <c r="AW208" s="3">
        <v>225.5</v>
      </c>
      <c r="AX208" s="3">
        <v>242.9</v>
      </c>
      <c r="AY208" s="3">
        <v>285.8</v>
      </c>
      <c r="AZ208" s="3">
        <v>277</v>
      </c>
      <c r="BA208" s="3">
        <v>155.9</v>
      </c>
      <c r="BB208" s="3">
        <v>260.10000000000002</v>
      </c>
      <c r="BC208" s="3">
        <v>155.6</v>
      </c>
      <c r="BD208" s="3">
        <v>134.4</v>
      </c>
      <c r="BE208" s="3">
        <v>134.4</v>
      </c>
      <c r="BF208" s="3">
        <v>162.9</v>
      </c>
      <c r="BG208" s="3">
        <v>158.4</v>
      </c>
      <c r="BH208" s="3">
        <v>153.4</v>
      </c>
      <c r="BI208" s="3">
        <v>83.8</v>
      </c>
      <c r="BJ208" s="3">
        <v>143.30000000000001</v>
      </c>
      <c r="BK208" s="3">
        <v>160.1</v>
      </c>
      <c r="BL208" s="3">
        <v>160.30000000000001</v>
      </c>
      <c r="BM208" s="3">
        <v>165.6</v>
      </c>
      <c r="BN208" s="3">
        <v>91.8</v>
      </c>
      <c r="BO208" s="3">
        <v>258.60000000000002</v>
      </c>
      <c r="BP208" s="3">
        <v>244.4</v>
      </c>
      <c r="BQ208" s="3">
        <v>100.7</v>
      </c>
      <c r="BR208" s="3">
        <v>72.900000000000006</v>
      </c>
      <c r="BS208" s="3">
        <v>94.2</v>
      </c>
      <c r="BT208" s="3">
        <v>150.6</v>
      </c>
      <c r="BU208" s="3">
        <v>114.1</v>
      </c>
      <c r="BV208" s="3">
        <v>131.4</v>
      </c>
      <c r="BW208" s="3">
        <v>187.7</v>
      </c>
      <c r="BX208" s="3">
        <v>320.60000000000002</v>
      </c>
      <c r="BY208" s="3">
        <v>119.1</v>
      </c>
      <c r="BZ208" s="3">
        <v>256.8</v>
      </c>
      <c r="CA208" s="3">
        <v>225.5</v>
      </c>
      <c r="CB208" s="3">
        <v>286.89999999999998</v>
      </c>
      <c r="CC208" s="3">
        <v>226.8</v>
      </c>
      <c r="CD208" s="3">
        <v>238.5</v>
      </c>
      <c r="CE208" s="3">
        <v>180.2</v>
      </c>
      <c r="CF208" s="3">
        <v>24.3</v>
      </c>
      <c r="CG208" s="3">
        <v>103.4</v>
      </c>
      <c r="CH208" s="3">
        <v>99</v>
      </c>
      <c r="CI208" s="3">
        <v>229.5</v>
      </c>
      <c r="CJ208" s="3">
        <v>149.30000000000001</v>
      </c>
      <c r="CK208" s="3">
        <v>152.9</v>
      </c>
      <c r="CL208" s="3">
        <v>306.39999999999998</v>
      </c>
      <c r="CM208" s="3">
        <v>165.1</v>
      </c>
      <c r="CN208" s="3">
        <v>144</v>
      </c>
    </row>
    <row r="209" spans="1:92" x14ac:dyDescent="0.25">
      <c r="A209" s="4">
        <v>38078</v>
      </c>
      <c r="B209" s="3">
        <v>157.19999999999999</v>
      </c>
      <c r="C209" s="3">
        <v>141.6</v>
      </c>
      <c r="D209" s="3">
        <v>165.8</v>
      </c>
      <c r="E209" s="3">
        <v>134.30000000000001</v>
      </c>
      <c r="F209" s="3">
        <v>187.2</v>
      </c>
      <c r="G209" s="3">
        <v>194.6</v>
      </c>
      <c r="H209" s="3">
        <v>159</v>
      </c>
      <c r="I209" s="3">
        <v>173.8</v>
      </c>
      <c r="J209" s="3">
        <v>122.6</v>
      </c>
      <c r="K209" s="3">
        <v>140.5</v>
      </c>
      <c r="L209" s="3">
        <v>155.6</v>
      </c>
      <c r="M209" s="3">
        <v>163.6</v>
      </c>
      <c r="N209" s="3">
        <v>146.80000000000001</v>
      </c>
      <c r="O209" s="3">
        <v>173.3</v>
      </c>
      <c r="P209" s="3">
        <v>133.19999999999999</v>
      </c>
      <c r="Q209" s="3">
        <v>172.7</v>
      </c>
      <c r="R209" s="3">
        <v>159.9</v>
      </c>
      <c r="S209" s="3">
        <v>172.8</v>
      </c>
      <c r="T209" s="3">
        <v>141.80000000000001</v>
      </c>
      <c r="U209" s="3">
        <v>153.5</v>
      </c>
      <c r="V209" s="3">
        <v>112.5</v>
      </c>
      <c r="W209" s="3">
        <v>186.5</v>
      </c>
      <c r="X209" s="3">
        <v>151.30000000000001</v>
      </c>
      <c r="Y209" s="3">
        <v>176.2</v>
      </c>
      <c r="Z209" s="3">
        <v>156.4</v>
      </c>
      <c r="AA209" s="3">
        <v>152.9</v>
      </c>
      <c r="AB209" s="3">
        <v>149.6</v>
      </c>
      <c r="AC209" s="3">
        <v>127.5</v>
      </c>
      <c r="AD209" s="3">
        <v>115.1</v>
      </c>
      <c r="AE209" s="3">
        <v>164.5</v>
      </c>
      <c r="AF209" s="3">
        <v>143.19999999999999</v>
      </c>
      <c r="AG209" s="3">
        <v>139.5</v>
      </c>
      <c r="AH209" s="3">
        <v>151.9</v>
      </c>
      <c r="AI209" s="3">
        <v>152.9</v>
      </c>
      <c r="AJ209" s="3">
        <v>226.7</v>
      </c>
      <c r="AK209" s="3">
        <v>277.3</v>
      </c>
      <c r="AL209" s="3">
        <v>221.3</v>
      </c>
      <c r="AM209" s="3">
        <v>220.4</v>
      </c>
      <c r="AN209" s="3">
        <v>234.7</v>
      </c>
      <c r="AO209" s="3">
        <v>155</v>
      </c>
      <c r="AP209" s="3">
        <v>181.5</v>
      </c>
      <c r="AQ209" s="3">
        <v>222.7</v>
      </c>
      <c r="AR209" s="3">
        <v>155.69999999999999</v>
      </c>
      <c r="AS209" s="3">
        <v>320.39999999999998</v>
      </c>
      <c r="AT209" s="3">
        <v>250</v>
      </c>
      <c r="AU209" s="3">
        <v>261</v>
      </c>
      <c r="AV209" s="3">
        <v>234.8</v>
      </c>
      <c r="AW209" s="3">
        <v>228.3</v>
      </c>
      <c r="AX209" s="3">
        <v>257.7</v>
      </c>
      <c r="AY209" s="3">
        <v>301.60000000000002</v>
      </c>
      <c r="AZ209" s="3">
        <v>278.89999999999998</v>
      </c>
      <c r="BA209" s="3">
        <v>155.6</v>
      </c>
      <c r="BB209" s="3">
        <v>262.39999999999998</v>
      </c>
      <c r="BC209" s="3">
        <v>155.6</v>
      </c>
      <c r="BD209" s="3">
        <v>135.9</v>
      </c>
      <c r="BE209" s="3">
        <v>135.9</v>
      </c>
      <c r="BF209" s="3">
        <v>172.5</v>
      </c>
      <c r="BG209" s="3">
        <v>157.4</v>
      </c>
      <c r="BH209" s="3">
        <v>155</v>
      </c>
      <c r="BI209" s="3">
        <v>83.6</v>
      </c>
      <c r="BJ209" s="3">
        <v>142.6</v>
      </c>
      <c r="BK209" s="3">
        <v>158</v>
      </c>
      <c r="BL209" s="3">
        <v>159.80000000000001</v>
      </c>
      <c r="BM209" s="3">
        <v>169.6</v>
      </c>
      <c r="BN209" s="3">
        <v>92.1</v>
      </c>
      <c r="BO209" s="3">
        <v>259.5</v>
      </c>
      <c r="BP209" s="3">
        <v>245.3</v>
      </c>
      <c r="BQ209" s="3">
        <v>101.2</v>
      </c>
      <c r="BR209" s="3">
        <v>72.599999999999994</v>
      </c>
      <c r="BS209" s="3">
        <v>93.9</v>
      </c>
      <c r="BT209" s="3">
        <v>150.5</v>
      </c>
      <c r="BU209" s="3">
        <v>114.4</v>
      </c>
      <c r="BV209" s="3">
        <v>131.4</v>
      </c>
      <c r="BW209" s="3">
        <v>187.8</v>
      </c>
      <c r="BX209" s="3">
        <v>322.2</v>
      </c>
      <c r="BY209" s="3">
        <v>118.6</v>
      </c>
      <c r="BZ209" s="3">
        <v>257.89999999999998</v>
      </c>
      <c r="CA209" s="3">
        <v>227.5</v>
      </c>
      <c r="CB209" s="3">
        <v>282.8</v>
      </c>
      <c r="CC209" s="3">
        <v>231.4</v>
      </c>
      <c r="CD209" s="3">
        <v>239.6</v>
      </c>
      <c r="CE209" s="3">
        <v>184.9</v>
      </c>
      <c r="CF209" s="3">
        <v>23.9</v>
      </c>
      <c r="CG209" s="3">
        <v>103</v>
      </c>
      <c r="CH209" s="3">
        <v>98.8</v>
      </c>
      <c r="CI209" s="3">
        <v>230.3</v>
      </c>
      <c r="CJ209" s="3">
        <v>148.69999999999999</v>
      </c>
      <c r="CK209" s="3">
        <v>157.4</v>
      </c>
      <c r="CL209" s="3">
        <v>309.7</v>
      </c>
      <c r="CM209" s="3">
        <v>165.6</v>
      </c>
      <c r="CN209" s="3">
        <v>144.80000000000001</v>
      </c>
    </row>
    <row r="210" spans="1:92" x14ac:dyDescent="0.25">
      <c r="A210" s="4">
        <v>38108</v>
      </c>
      <c r="B210" s="3">
        <v>156.6</v>
      </c>
      <c r="C210" s="3">
        <v>141.30000000000001</v>
      </c>
      <c r="D210" s="3">
        <v>164.2</v>
      </c>
      <c r="E210" s="3">
        <v>135.5</v>
      </c>
      <c r="F210" s="3">
        <v>187.3</v>
      </c>
      <c r="G210" s="3">
        <v>197.9</v>
      </c>
      <c r="H210" s="3">
        <v>160.30000000000001</v>
      </c>
      <c r="I210" s="3">
        <v>174.1</v>
      </c>
      <c r="J210" s="3">
        <v>119.3</v>
      </c>
      <c r="K210" s="3">
        <v>141.4</v>
      </c>
      <c r="L210" s="3">
        <v>152.30000000000001</v>
      </c>
      <c r="M210" s="3">
        <v>159.6</v>
      </c>
      <c r="N210" s="3">
        <v>144.69999999999999</v>
      </c>
      <c r="O210" s="3">
        <v>172.9</v>
      </c>
      <c r="P210" s="3">
        <v>131.30000000000001</v>
      </c>
      <c r="Q210" s="3">
        <v>171.8</v>
      </c>
      <c r="R210" s="3">
        <v>160.19999999999999</v>
      </c>
      <c r="S210" s="3">
        <v>173.2</v>
      </c>
      <c r="T210" s="3">
        <v>141.5</v>
      </c>
      <c r="U210" s="3">
        <v>151.30000000000001</v>
      </c>
      <c r="V210" s="3">
        <v>111.8</v>
      </c>
      <c r="W210" s="3">
        <v>187</v>
      </c>
      <c r="X210" s="3">
        <v>151.69999999999999</v>
      </c>
      <c r="Y210" s="3">
        <v>177.5</v>
      </c>
      <c r="Z210" s="3">
        <v>160.9</v>
      </c>
      <c r="AA210" s="3">
        <v>164.2</v>
      </c>
      <c r="AB210" s="3">
        <v>149.30000000000001</v>
      </c>
      <c r="AC210" s="3">
        <v>125.7</v>
      </c>
      <c r="AD210" s="3">
        <v>113.6</v>
      </c>
      <c r="AE210" s="3">
        <v>161.6</v>
      </c>
      <c r="AF210" s="3">
        <v>151.19999999999999</v>
      </c>
      <c r="AG210" s="3">
        <v>148.5</v>
      </c>
      <c r="AH210" s="3">
        <v>152.1</v>
      </c>
      <c r="AI210" s="3">
        <v>152.1</v>
      </c>
      <c r="AJ210" s="3">
        <v>227.1</v>
      </c>
      <c r="AK210" s="3">
        <v>280</v>
      </c>
      <c r="AL210" s="3">
        <v>222.2</v>
      </c>
      <c r="AM210" s="3">
        <v>221.1</v>
      </c>
      <c r="AN210" s="3">
        <v>235.2</v>
      </c>
      <c r="AO210" s="3">
        <v>156.30000000000001</v>
      </c>
      <c r="AP210" s="3">
        <v>181.8</v>
      </c>
      <c r="AQ210" s="3">
        <v>222.9</v>
      </c>
      <c r="AR210" s="3">
        <v>156</v>
      </c>
      <c r="AS210" s="3">
        <v>320.5</v>
      </c>
      <c r="AT210" s="3">
        <v>250</v>
      </c>
      <c r="AU210" s="3">
        <v>261.10000000000002</v>
      </c>
      <c r="AV210" s="3">
        <v>237.3</v>
      </c>
      <c r="AW210" s="3">
        <v>232.1</v>
      </c>
      <c r="AX210" s="3">
        <v>257.7</v>
      </c>
      <c r="AY210" s="3">
        <v>301.60000000000002</v>
      </c>
      <c r="AZ210" s="3">
        <v>280.39999999999998</v>
      </c>
      <c r="BA210" s="3">
        <v>155.80000000000001</v>
      </c>
      <c r="BB210" s="3">
        <v>263.5</v>
      </c>
      <c r="BC210" s="3">
        <v>154.1</v>
      </c>
      <c r="BD210" s="3">
        <v>136.69999999999999</v>
      </c>
      <c r="BE210" s="3">
        <v>136.30000000000001</v>
      </c>
      <c r="BF210" s="3">
        <v>182.4</v>
      </c>
      <c r="BG210" s="3">
        <v>159.6</v>
      </c>
      <c r="BH210" s="3">
        <v>157.9</v>
      </c>
      <c r="BI210" s="3">
        <v>83.5</v>
      </c>
      <c r="BJ210" s="3">
        <v>143</v>
      </c>
      <c r="BK210" s="3">
        <v>158.4</v>
      </c>
      <c r="BL210" s="3">
        <v>159.30000000000001</v>
      </c>
      <c r="BM210" s="3">
        <v>169.6</v>
      </c>
      <c r="BN210" s="3">
        <v>92.1</v>
      </c>
      <c r="BO210" s="3">
        <v>261.10000000000002</v>
      </c>
      <c r="BP210" s="3">
        <v>246.1</v>
      </c>
      <c r="BQ210" s="3">
        <v>101.6</v>
      </c>
      <c r="BR210" s="3">
        <v>72.900000000000006</v>
      </c>
      <c r="BS210" s="3">
        <v>93.8</v>
      </c>
      <c r="BT210" s="3">
        <v>149.9</v>
      </c>
      <c r="BU210" s="3">
        <v>114.4</v>
      </c>
      <c r="BV210" s="3">
        <v>131.5</v>
      </c>
      <c r="BW210" s="3">
        <v>187.6</v>
      </c>
      <c r="BX210" s="3">
        <v>323</v>
      </c>
      <c r="BY210" s="3">
        <v>117.3</v>
      </c>
      <c r="BZ210" s="3">
        <v>259.2</v>
      </c>
      <c r="CA210" s="3">
        <v>238.2</v>
      </c>
      <c r="CB210" s="3">
        <v>279.2</v>
      </c>
      <c r="CC210" s="3">
        <v>230.8</v>
      </c>
      <c r="CD210" s="3">
        <v>240.2</v>
      </c>
      <c r="CE210" s="3">
        <v>190.2</v>
      </c>
      <c r="CF210" s="3">
        <v>23.7</v>
      </c>
      <c r="CG210" s="3">
        <v>101.9</v>
      </c>
      <c r="CH210" s="3">
        <v>97.9</v>
      </c>
      <c r="CI210" s="3">
        <v>229.4</v>
      </c>
      <c r="CJ210" s="3">
        <v>148</v>
      </c>
      <c r="CK210" s="3">
        <v>157.4</v>
      </c>
      <c r="CL210" s="3">
        <v>311.3</v>
      </c>
      <c r="CM210" s="3">
        <v>165.7</v>
      </c>
      <c r="CN210" s="3">
        <v>145.6</v>
      </c>
    </row>
    <row r="211" spans="1:92" x14ac:dyDescent="0.25">
      <c r="A211" s="4">
        <v>38139</v>
      </c>
      <c r="B211" s="3">
        <v>156.1</v>
      </c>
      <c r="C211" s="3">
        <v>139.9</v>
      </c>
      <c r="D211" s="3">
        <v>164.8</v>
      </c>
      <c r="E211" s="3">
        <v>134.4</v>
      </c>
      <c r="F211" s="3">
        <v>187.9</v>
      </c>
      <c r="G211" s="3">
        <v>194.9</v>
      </c>
      <c r="H211" s="3">
        <v>155.80000000000001</v>
      </c>
      <c r="I211" s="3">
        <v>173.4</v>
      </c>
      <c r="J211" s="3">
        <v>115.3</v>
      </c>
      <c r="K211" s="3">
        <v>140.19999999999999</v>
      </c>
      <c r="L211" s="3">
        <v>154</v>
      </c>
      <c r="M211" s="3">
        <v>162.30000000000001</v>
      </c>
      <c r="N211" s="3">
        <v>144.5</v>
      </c>
      <c r="O211" s="3">
        <v>172.7</v>
      </c>
      <c r="P211" s="3">
        <v>136.69999999999999</v>
      </c>
      <c r="Q211" s="3">
        <v>170.6</v>
      </c>
      <c r="R211" s="3">
        <v>160.6</v>
      </c>
      <c r="S211" s="3">
        <v>173.3</v>
      </c>
      <c r="T211" s="3">
        <v>142.80000000000001</v>
      </c>
      <c r="U211" s="3">
        <v>148.30000000000001</v>
      </c>
      <c r="V211" s="3">
        <v>113.3</v>
      </c>
      <c r="W211" s="3">
        <v>185.1</v>
      </c>
      <c r="X211" s="3">
        <v>151.6</v>
      </c>
      <c r="Y211" s="3">
        <v>178.2</v>
      </c>
      <c r="Z211" s="3">
        <v>160.6</v>
      </c>
      <c r="AA211" s="3">
        <v>163.1</v>
      </c>
      <c r="AB211" s="3">
        <v>149.5</v>
      </c>
      <c r="AC211" s="3">
        <v>121.6</v>
      </c>
      <c r="AD211" s="3">
        <v>108.9</v>
      </c>
      <c r="AE211" s="3">
        <v>160.80000000000001</v>
      </c>
      <c r="AF211" s="3">
        <v>144.69999999999999</v>
      </c>
      <c r="AG211" s="3">
        <v>141.19999999999999</v>
      </c>
      <c r="AH211" s="3">
        <v>152.1</v>
      </c>
      <c r="AI211" s="3">
        <v>152.4</v>
      </c>
      <c r="AJ211" s="3">
        <v>227.2</v>
      </c>
      <c r="AK211" s="3">
        <v>279.89999999999998</v>
      </c>
      <c r="AL211" s="3">
        <v>222.9</v>
      </c>
      <c r="AM211" s="3">
        <v>221.1</v>
      </c>
      <c r="AN211" s="3">
        <v>235.8</v>
      </c>
      <c r="AO211" s="3">
        <v>153.80000000000001</v>
      </c>
      <c r="AP211" s="3">
        <v>181.7</v>
      </c>
      <c r="AQ211" s="3">
        <v>223.5</v>
      </c>
      <c r="AR211" s="3">
        <v>155.4</v>
      </c>
      <c r="AS211" s="3">
        <v>322.5</v>
      </c>
      <c r="AT211" s="3">
        <v>251</v>
      </c>
      <c r="AU211" s="3">
        <v>261.5</v>
      </c>
      <c r="AV211" s="3">
        <v>249.6</v>
      </c>
      <c r="AW211" s="3">
        <v>235.4</v>
      </c>
      <c r="AX211" s="3">
        <v>257.7</v>
      </c>
      <c r="AY211" s="3">
        <v>301.60000000000002</v>
      </c>
      <c r="AZ211" s="3">
        <v>281.10000000000002</v>
      </c>
      <c r="BA211" s="3">
        <v>156</v>
      </c>
      <c r="BB211" s="3">
        <v>264.39999999999998</v>
      </c>
      <c r="BC211" s="3">
        <v>154</v>
      </c>
      <c r="BD211" s="3">
        <v>137.5</v>
      </c>
      <c r="BE211" s="3">
        <v>136.69999999999999</v>
      </c>
      <c r="BF211" s="3">
        <v>174.4</v>
      </c>
      <c r="BG211" s="3">
        <v>160.5</v>
      </c>
      <c r="BH211" s="3">
        <v>157.19999999999999</v>
      </c>
      <c r="BI211" s="3">
        <v>83.8</v>
      </c>
      <c r="BJ211" s="3">
        <v>142.4</v>
      </c>
      <c r="BK211" s="3">
        <v>157.5</v>
      </c>
      <c r="BL211" s="3">
        <v>160</v>
      </c>
      <c r="BM211" s="3">
        <v>169.6</v>
      </c>
      <c r="BN211" s="3">
        <v>91.7</v>
      </c>
      <c r="BO211" s="3">
        <v>262</v>
      </c>
      <c r="BP211" s="3">
        <v>246.4</v>
      </c>
      <c r="BQ211" s="3">
        <v>100.7</v>
      </c>
      <c r="BR211" s="3">
        <v>72</v>
      </c>
      <c r="BS211" s="3">
        <v>92.7</v>
      </c>
      <c r="BT211" s="3">
        <v>149.69999999999999</v>
      </c>
      <c r="BU211" s="3">
        <v>114.3</v>
      </c>
      <c r="BV211" s="3">
        <v>131.69999999999999</v>
      </c>
      <c r="BW211" s="3">
        <v>185.8</v>
      </c>
      <c r="BX211" s="3">
        <v>323.8</v>
      </c>
      <c r="BY211" s="3">
        <v>116.1</v>
      </c>
      <c r="BZ211" s="3">
        <v>260.3</v>
      </c>
      <c r="CA211" s="3">
        <v>237.5</v>
      </c>
      <c r="CB211" s="3">
        <v>279.39999999999998</v>
      </c>
      <c r="CC211" s="3">
        <v>233.1</v>
      </c>
      <c r="CD211" s="3">
        <v>240.2</v>
      </c>
      <c r="CE211" s="3">
        <v>191</v>
      </c>
      <c r="CF211" s="3">
        <v>23.7</v>
      </c>
      <c r="CG211" s="3">
        <v>103.6</v>
      </c>
      <c r="CH211" s="3">
        <v>98.3</v>
      </c>
      <c r="CI211" s="3">
        <v>230.7</v>
      </c>
      <c r="CJ211" s="3">
        <v>149.69999999999999</v>
      </c>
      <c r="CK211" s="3">
        <v>157.4</v>
      </c>
      <c r="CL211" s="3">
        <v>312.2</v>
      </c>
      <c r="CM211" s="3">
        <v>166.7</v>
      </c>
      <c r="CN211" s="3">
        <v>146.4</v>
      </c>
    </row>
    <row r="212" spans="1:92" x14ac:dyDescent="0.25">
      <c r="A212" s="4">
        <v>38169</v>
      </c>
      <c r="B212" s="3">
        <v>155.6</v>
      </c>
      <c r="C212" s="3">
        <v>140</v>
      </c>
      <c r="D212" s="3">
        <v>164.5</v>
      </c>
      <c r="E212" s="3">
        <v>134.9</v>
      </c>
      <c r="F212" s="3">
        <v>188.5</v>
      </c>
      <c r="G212" s="3">
        <v>194</v>
      </c>
      <c r="H212" s="3">
        <v>156.4</v>
      </c>
      <c r="I212" s="3">
        <v>172.9</v>
      </c>
      <c r="J212" s="3">
        <v>119.7</v>
      </c>
      <c r="K212" s="3">
        <v>140.5</v>
      </c>
      <c r="L212" s="3">
        <v>153.69999999999999</v>
      </c>
      <c r="M212" s="3">
        <v>162.1</v>
      </c>
      <c r="N212" s="3">
        <v>144.19999999999999</v>
      </c>
      <c r="O212" s="3">
        <v>172.7</v>
      </c>
      <c r="P212" s="3">
        <v>138.6</v>
      </c>
      <c r="Q212" s="3">
        <v>170.8</v>
      </c>
      <c r="R212" s="3">
        <v>159.4</v>
      </c>
      <c r="S212" s="3">
        <v>173.6</v>
      </c>
      <c r="T212" s="3">
        <v>141.5</v>
      </c>
      <c r="U212" s="3">
        <v>149.80000000000001</v>
      </c>
      <c r="V212" s="3">
        <v>112.9</v>
      </c>
      <c r="W212" s="3">
        <v>184.8</v>
      </c>
      <c r="X212" s="3">
        <v>151.5</v>
      </c>
      <c r="Y212" s="3">
        <v>178.4</v>
      </c>
      <c r="Z212" s="3">
        <v>155.1</v>
      </c>
      <c r="AA212" s="3">
        <v>150.9</v>
      </c>
      <c r="AB212" s="3">
        <v>148.9</v>
      </c>
      <c r="AC212" s="3">
        <v>119.5</v>
      </c>
      <c r="AD212" s="3">
        <v>106.5</v>
      </c>
      <c r="AE212" s="3">
        <v>160.4</v>
      </c>
      <c r="AF212" s="3">
        <v>137.80000000000001</v>
      </c>
      <c r="AG212" s="3">
        <v>133.30000000000001</v>
      </c>
      <c r="AH212" s="3">
        <v>151.80000000000001</v>
      </c>
      <c r="AI212" s="3">
        <v>151.6</v>
      </c>
      <c r="AJ212" s="3">
        <v>227.5</v>
      </c>
      <c r="AK212" s="3">
        <v>280.39999999999998</v>
      </c>
      <c r="AL212" s="3">
        <v>223.3</v>
      </c>
      <c r="AM212" s="3">
        <v>220.8</v>
      </c>
      <c r="AN212" s="3">
        <v>235.9</v>
      </c>
      <c r="AO212" s="3">
        <v>152.19999999999999</v>
      </c>
      <c r="AP212" s="3">
        <v>181.5</v>
      </c>
      <c r="AQ212" s="3">
        <v>223.6</v>
      </c>
      <c r="AR212" s="3">
        <v>154.9</v>
      </c>
      <c r="AS212" s="3">
        <v>325.60000000000002</v>
      </c>
      <c r="AT212" s="3">
        <v>253.4</v>
      </c>
      <c r="AU212" s="3">
        <v>262.3</v>
      </c>
      <c r="AV212" s="3">
        <v>261.7</v>
      </c>
      <c r="AW212" s="3">
        <v>240</v>
      </c>
      <c r="AX212" s="3">
        <v>257.7</v>
      </c>
      <c r="AY212" s="3">
        <v>301.60000000000002</v>
      </c>
      <c r="AZ212" s="3">
        <v>282.2</v>
      </c>
      <c r="BA212" s="3">
        <v>155.19999999999999</v>
      </c>
      <c r="BB212" s="3">
        <v>265.5</v>
      </c>
      <c r="BC212" s="3">
        <v>154.9</v>
      </c>
      <c r="BD212" s="3">
        <v>137.9</v>
      </c>
      <c r="BE212" s="3">
        <v>136.9</v>
      </c>
      <c r="BF212" s="3">
        <v>177.7</v>
      </c>
      <c r="BG212" s="3">
        <v>153.30000000000001</v>
      </c>
      <c r="BH212" s="3">
        <v>153.6</v>
      </c>
      <c r="BI212" s="3">
        <v>83</v>
      </c>
      <c r="BJ212" s="3">
        <v>140.4</v>
      </c>
      <c r="BK212" s="3">
        <v>157.19999999999999</v>
      </c>
      <c r="BL212" s="3">
        <v>160.19999999999999</v>
      </c>
      <c r="BM212" s="3">
        <v>169.6</v>
      </c>
      <c r="BN212" s="3">
        <v>90.6</v>
      </c>
      <c r="BO212" s="3">
        <v>262.89999999999998</v>
      </c>
      <c r="BP212" s="3">
        <v>246.7</v>
      </c>
      <c r="BQ212" s="3">
        <v>96.1</v>
      </c>
      <c r="BR212" s="3">
        <v>68.8</v>
      </c>
      <c r="BS212" s="3">
        <v>90.6</v>
      </c>
      <c r="BT212" s="3">
        <v>147.4</v>
      </c>
      <c r="BU212" s="3">
        <v>110.9</v>
      </c>
      <c r="BV212" s="3">
        <v>130</v>
      </c>
      <c r="BW212" s="3">
        <v>185.4</v>
      </c>
      <c r="BX212" s="3">
        <v>325.39999999999998</v>
      </c>
      <c r="BY212" s="3">
        <v>114.8</v>
      </c>
      <c r="BZ212" s="3">
        <v>261.7</v>
      </c>
      <c r="CA212" s="3">
        <v>234.8</v>
      </c>
      <c r="CB212" s="3">
        <v>282.10000000000002</v>
      </c>
      <c r="CC212" s="3">
        <v>233.4</v>
      </c>
      <c r="CD212" s="3">
        <v>240.2</v>
      </c>
      <c r="CE212" s="3">
        <v>208.9</v>
      </c>
      <c r="CF212" s="3">
        <v>23.3</v>
      </c>
      <c r="CG212" s="3">
        <v>102.9</v>
      </c>
      <c r="CH212" s="3">
        <v>97.2</v>
      </c>
      <c r="CI212" s="3">
        <v>230.9</v>
      </c>
      <c r="CJ212" s="3">
        <v>148.1</v>
      </c>
      <c r="CK212" s="3">
        <v>161</v>
      </c>
      <c r="CL212" s="3">
        <v>312.3</v>
      </c>
      <c r="CM212" s="3">
        <v>167.5</v>
      </c>
      <c r="CN212" s="3">
        <v>147.19999999999999</v>
      </c>
    </row>
    <row r="213" spans="1:92" x14ac:dyDescent="0.25">
      <c r="A213" s="4">
        <v>38200</v>
      </c>
      <c r="B213" s="3">
        <v>155.30000000000001</v>
      </c>
      <c r="C213" s="3">
        <v>139.1</v>
      </c>
      <c r="D213" s="3">
        <v>163.5</v>
      </c>
      <c r="E213" s="3">
        <v>135.6</v>
      </c>
      <c r="F213" s="3">
        <v>188.5</v>
      </c>
      <c r="G213" s="3">
        <v>191.9</v>
      </c>
      <c r="H213" s="3">
        <v>155.69999999999999</v>
      </c>
      <c r="I213" s="3">
        <v>173.7</v>
      </c>
      <c r="J213" s="3">
        <v>118.8</v>
      </c>
      <c r="K213" s="3">
        <v>140.30000000000001</v>
      </c>
      <c r="L213" s="3">
        <v>151.5</v>
      </c>
      <c r="M213" s="3">
        <v>158.80000000000001</v>
      </c>
      <c r="N213" s="3">
        <v>143.69999999999999</v>
      </c>
      <c r="O213" s="3">
        <v>172.6</v>
      </c>
      <c r="P213" s="3">
        <v>140.19999999999999</v>
      </c>
      <c r="Q213" s="3">
        <v>168.7</v>
      </c>
      <c r="R213" s="3">
        <v>159.19999999999999</v>
      </c>
      <c r="S213" s="3">
        <v>173.8</v>
      </c>
      <c r="T213" s="3">
        <v>141.4</v>
      </c>
      <c r="U213" s="3">
        <v>149.1</v>
      </c>
      <c r="V213" s="3">
        <v>111.5</v>
      </c>
      <c r="W213" s="3">
        <v>185.4</v>
      </c>
      <c r="X213" s="3">
        <v>151</v>
      </c>
      <c r="Y213" s="3">
        <v>179.3</v>
      </c>
      <c r="Z213" s="3">
        <v>153.5</v>
      </c>
      <c r="AA213" s="3">
        <v>146.6</v>
      </c>
      <c r="AB213" s="3">
        <v>149.30000000000001</v>
      </c>
      <c r="AC213" s="3">
        <v>119.1</v>
      </c>
      <c r="AD213" s="3">
        <v>106.1</v>
      </c>
      <c r="AE213" s="3">
        <v>160.5</v>
      </c>
      <c r="AF213" s="3">
        <v>138.6</v>
      </c>
      <c r="AG213" s="3">
        <v>134.4</v>
      </c>
      <c r="AH213" s="3">
        <v>150.69999999999999</v>
      </c>
      <c r="AI213" s="3">
        <v>151.1</v>
      </c>
      <c r="AJ213" s="3">
        <v>228</v>
      </c>
      <c r="AK213" s="3">
        <v>280.8</v>
      </c>
      <c r="AL213" s="3">
        <v>223.6</v>
      </c>
      <c r="AM213" s="3">
        <v>221.2</v>
      </c>
      <c r="AN213" s="3">
        <v>236.3</v>
      </c>
      <c r="AO213" s="3">
        <v>152.69999999999999</v>
      </c>
      <c r="AP213" s="3">
        <v>182.2</v>
      </c>
      <c r="AQ213" s="3">
        <v>224</v>
      </c>
      <c r="AR213" s="3">
        <v>156</v>
      </c>
      <c r="AS213" s="3">
        <v>325.8</v>
      </c>
      <c r="AT213" s="3">
        <v>254.5</v>
      </c>
      <c r="AU213" s="3">
        <v>262.60000000000002</v>
      </c>
      <c r="AV213" s="3">
        <v>264.10000000000002</v>
      </c>
      <c r="AW213" s="3">
        <v>243.7</v>
      </c>
      <c r="AX213" s="3">
        <v>257.7</v>
      </c>
      <c r="AY213" s="3">
        <v>301.60000000000002</v>
      </c>
      <c r="AZ213" s="3">
        <v>283.10000000000002</v>
      </c>
      <c r="BA213" s="3">
        <v>155.4</v>
      </c>
      <c r="BB213" s="3">
        <v>266.7</v>
      </c>
      <c r="BC213" s="3">
        <v>157.5</v>
      </c>
      <c r="BD213" s="3">
        <v>138.19999999999999</v>
      </c>
      <c r="BE213" s="3">
        <v>137.19999999999999</v>
      </c>
      <c r="BF213" s="3">
        <v>190.4</v>
      </c>
      <c r="BG213" s="3">
        <v>153.6</v>
      </c>
      <c r="BH213" s="3">
        <v>156.1</v>
      </c>
      <c r="BI213" s="3">
        <v>84.1</v>
      </c>
      <c r="BJ213" s="3">
        <v>141.19999999999999</v>
      </c>
      <c r="BK213" s="3">
        <v>156.30000000000001</v>
      </c>
      <c r="BL213" s="3">
        <v>160.30000000000001</v>
      </c>
      <c r="BM213" s="3">
        <v>169.6</v>
      </c>
      <c r="BN213" s="3">
        <v>90.6</v>
      </c>
      <c r="BO213" s="3">
        <v>263.89999999999998</v>
      </c>
      <c r="BP213" s="3">
        <v>247</v>
      </c>
      <c r="BQ213" s="3">
        <v>97.2</v>
      </c>
      <c r="BR213" s="3">
        <v>70.8</v>
      </c>
      <c r="BS213" s="3">
        <v>91.4</v>
      </c>
      <c r="BT213" s="3">
        <v>147.1</v>
      </c>
      <c r="BU213" s="3">
        <v>111.6</v>
      </c>
      <c r="BV213" s="3">
        <v>131.1</v>
      </c>
      <c r="BW213" s="3">
        <v>185.2</v>
      </c>
      <c r="BX213" s="3">
        <v>325.8</v>
      </c>
      <c r="BY213" s="3">
        <v>113.6</v>
      </c>
      <c r="BZ213" s="3">
        <v>262.7</v>
      </c>
      <c r="CA213" s="3">
        <v>236.7</v>
      </c>
      <c r="CB213" s="3">
        <v>283.39999999999998</v>
      </c>
      <c r="CC213" s="3">
        <v>232.4</v>
      </c>
      <c r="CD213" s="3">
        <v>240.9</v>
      </c>
      <c r="CE213" s="3">
        <v>213.8</v>
      </c>
      <c r="CF213" s="3">
        <v>23.1</v>
      </c>
      <c r="CG213" s="3">
        <v>103.7</v>
      </c>
      <c r="CH213" s="3">
        <v>97</v>
      </c>
      <c r="CI213" s="3">
        <v>230.6</v>
      </c>
      <c r="CJ213" s="3">
        <v>147.30000000000001</v>
      </c>
      <c r="CK213" s="3">
        <v>161</v>
      </c>
      <c r="CL213" s="3">
        <v>314.8</v>
      </c>
      <c r="CM213" s="3">
        <v>168</v>
      </c>
      <c r="CN213" s="3">
        <v>148.1</v>
      </c>
    </row>
    <row r="214" spans="1:92" x14ac:dyDescent="0.25">
      <c r="A214" s="4">
        <v>38231</v>
      </c>
      <c r="B214" s="3">
        <v>154.5</v>
      </c>
      <c r="C214" s="3">
        <v>139.19999999999999</v>
      </c>
      <c r="D214" s="3">
        <v>164.2</v>
      </c>
      <c r="E214" s="3">
        <v>134.9</v>
      </c>
      <c r="F214" s="3">
        <v>189.3</v>
      </c>
      <c r="G214" s="3">
        <v>191.4</v>
      </c>
      <c r="H214" s="3">
        <v>158.6</v>
      </c>
      <c r="I214" s="3">
        <v>172.5</v>
      </c>
      <c r="J214" s="3">
        <v>115.4</v>
      </c>
      <c r="K214" s="3">
        <v>140.5</v>
      </c>
      <c r="L214" s="3">
        <v>153.4</v>
      </c>
      <c r="M214" s="3">
        <v>161.4</v>
      </c>
      <c r="N214" s="3">
        <v>144.5</v>
      </c>
      <c r="O214" s="3">
        <v>173.2</v>
      </c>
      <c r="P214" s="3">
        <v>140.4</v>
      </c>
      <c r="Q214" s="3">
        <v>169.3</v>
      </c>
      <c r="R214" s="3">
        <v>158.1</v>
      </c>
      <c r="S214" s="3">
        <v>173.9</v>
      </c>
      <c r="T214" s="3">
        <v>142.69999999999999</v>
      </c>
      <c r="U214" s="3">
        <v>147.1</v>
      </c>
      <c r="V214" s="3">
        <v>112.1</v>
      </c>
      <c r="W214" s="3">
        <v>185</v>
      </c>
      <c r="X214" s="3">
        <v>151.19999999999999</v>
      </c>
      <c r="Y214" s="3">
        <v>179.5</v>
      </c>
      <c r="Z214" s="3">
        <v>150.69999999999999</v>
      </c>
      <c r="AA214" s="3">
        <v>139</v>
      </c>
      <c r="AB214" s="3">
        <v>149.9</v>
      </c>
      <c r="AC214" s="3">
        <v>121.9</v>
      </c>
      <c r="AD214" s="3">
        <v>109.3</v>
      </c>
      <c r="AE214" s="3">
        <v>160.6</v>
      </c>
      <c r="AF214" s="3">
        <v>138.80000000000001</v>
      </c>
      <c r="AG214" s="3">
        <v>134.5</v>
      </c>
      <c r="AH214" s="3">
        <v>151.19999999999999</v>
      </c>
      <c r="AI214" s="3">
        <v>151.5</v>
      </c>
      <c r="AJ214" s="3">
        <v>227.9</v>
      </c>
      <c r="AK214" s="3">
        <v>283.5</v>
      </c>
      <c r="AL214" s="3">
        <v>224</v>
      </c>
      <c r="AM214" s="3">
        <v>221.3</v>
      </c>
      <c r="AN214" s="3">
        <v>236.1</v>
      </c>
      <c r="AO214" s="3">
        <v>154.1</v>
      </c>
      <c r="AP214" s="3">
        <v>182.3</v>
      </c>
      <c r="AQ214" s="3">
        <v>223.8</v>
      </c>
      <c r="AR214" s="3">
        <v>156.30000000000001</v>
      </c>
      <c r="AS214" s="3">
        <v>326</v>
      </c>
      <c r="AT214" s="3">
        <v>254.9</v>
      </c>
      <c r="AU214" s="3">
        <v>262.7</v>
      </c>
      <c r="AV214" s="3">
        <v>273.7</v>
      </c>
      <c r="AW214" s="3">
        <v>248.2</v>
      </c>
      <c r="AX214" s="3">
        <v>257.7</v>
      </c>
      <c r="AY214" s="3">
        <v>301.60000000000002</v>
      </c>
      <c r="AZ214" s="3">
        <v>283.89999999999998</v>
      </c>
      <c r="BA214" s="3">
        <v>155.69999999999999</v>
      </c>
      <c r="BB214" s="3">
        <v>267.89999999999998</v>
      </c>
      <c r="BC214" s="3">
        <v>161.6</v>
      </c>
      <c r="BD214" s="3">
        <v>138.69999999999999</v>
      </c>
      <c r="BE214" s="3">
        <v>137.5</v>
      </c>
      <c r="BF214" s="3">
        <v>197.4</v>
      </c>
      <c r="BG214" s="3">
        <v>158.30000000000001</v>
      </c>
      <c r="BH214" s="3">
        <v>156.30000000000001</v>
      </c>
      <c r="BI214" s="3">
        <v>82.8</v>
      </c>
      <c r="BJ214" s="3">
        <v>142</v>
      </c>
      <c r="BK214" s="3">
        <v>154.9</v>
      </c>
      <c r="BL214" s="3">
        <v>160.6</v>
      </c>
      <c r="BM214" s="3">
        <v>169.6</v>
      </c>
      <c r="BN214" s="3">
        <v>89.8</v>
      </c>
      <c r="BO214" s="3">
        <v>265</v>
      </c>
      <c r="BP214" s="3">
        <v>249.6</v>
      </c>
      <c r="BQ214" s="3">
        <v>99.8</v>
      </c>
      <c r="BR214" s="3">
        <v>73.2</v>
      </c>
      <c r="BS214" s="3">
        <v>92.2</v>
      </c>
      <c r="BT214" s="3">
        <v>149.4</v>
      </c>
      <c r="BU214" s="3">
        <v>113.6</v>
      </c>
      <c r="BV214" s="3">
        <v>131.4</v>
      </c>
      <c r="BW214" s="3">
        <v>186.1</v>
      </c>
      <c r="BX214" s="3">
        <v>326.60000000000002</v>
      </c>
      <c r="BY214" s="3">
        <v>112.3</v>
      </c>
      <c r="BZ214" s="3">
        <v>264.3</v>
      </c>
      <c r="CA214" s="3">
        <v>237.4</v>
      </c>
      <c r="CB214" s="3">
        <v>282.89999999999998</v>
      </c>
      <c r="CC214" s="3">
        <v>232.3</v>
      </c>
      <c r="CD214" s="3">
        <v>240.9</v>
      </c>
      <c r="CE214" s="3">
        <v>193.1</v>
      </c>
      <c r="CF214" s="3">
        <v>22.9</v>
      </c>
      <c r="CG214" s="3">
        <v>102.8</v>
      </c>
      <c r="CH214" s="3">
        <v>96.4</v>
      </c>
      <c r="CI214" s="3">
        <v>232.9</v>
      </c>
      <c r="CJ214" s="3">
        <v>146.30000000000001</v>
      </c>
      <c r="CK214" s="3">
        <v>161</v>
      </c>
      <c r="CL214" s="3">
        <v>317.7</v>
      </c>
      <c r="CM214" s="3">
        <v>168.7</v>
      </c>
      <c r="CN214" s="3">
        <v>149.1</v>
      </c>
    </row>
    <row r="215" spans="1:92" x14ac:dyDescent="0.25">
      <c r="A215" s="4">
        <v>38261</v>
      </c>
      <c r="B215" s="3">
        <v>154.4</v>
      </c>
      <c r="C215" s="3">
        <v>140</v>
      </c>
      <c r="D215" s="3">
        <v>164.4</v>
      </c>
      <c r="E215" s="3">
        <v>133.5</v>
      </c>
      <c r="F215" s="3">
        <v>187.2</v>
      </c>
      <c r="G215" s="3">
        <v>187.4</v>
      </c>
      <c r="H215" s="3">
        <v>157.6</v>
      </c>
      <c r="I215" s="3">
        <v>171.9</v>
      </c>
      <c r="J215" s="3">
        <v>115.2</v>
      </c>
      <c r="K215" s="3">
        <v>140.5</v>
      </c>
      <c r="L215" s="3">
        <v>154.1</v>
      </c>
      <c r="M215" s="3">
        <v>161.30000000000001</v>
      </c>
      <c r="N215" s="3">
        <v>146.80000000000001</v>
      </c>
      <c r="O215" s="3">
        <v>172.8</v>
      </c>
      <c r="P215" s="3">
        <v>139.4</v>
      </c>
      <c r="Q215" s="3">
        <v>169</v>
      </c>
      <c r="R215" s="3">
        <v>158.6</v>
      </c>
      <c r="S215" s="3">
        <v>174.1</v>
      </c>
      <c r="T215" s="3">
        <v>143</v>
      </c>
      <c r="U215" s="3">
        <v>148</v>
      </c>
      <c r="V215" s="3">
        <v>112.5</v>
      </c>
      <c r="W215" s="3">
        <v>184.9</v>
      </c>
      <c r="X215" s="3">
        <v>149.80000000000001</v>
      </c>
      <c r="Y215" s="3">
        <v>179.5</v>
      </c>
      <c r="Z215" s="3">
        <v>151.19999999999999</v>
      </c>
      <c r="AA215" s="3">
        <v>140.69999999999999</v>
      </c>
      <c r="AB215" s="3">
        <v>149.5</v>
      </c>
      <c r="AC215" s="3">
        <v>125.4</v>
      </c>
      <c r="AD215" s="3">
        <v>113.5</v>
      </c>
      <c r="AE215" s="3">
        <v>160.30000000000001</v>
      </c>
      <c r="AF215" s="3">
        <v>141</v>
      </c>
      <c r="AG215" s="3">
        <v>137.19999999999999</v>
      </c>
      <c r="AH215" s="3">
        <v>150.80000000000001</v>
      </c>
      <c r="AI215" s="3">
        <v>152</v>
      </c>
      <c r="AJ215" s="3">
        <v>229</v>
      </c>
      <c r="AK215" s="3">
        <v>284.39999999999998</v>
      </c>
      <c r="AL215" s="3">
        <v>224.4</v>
      </c>
      <c r="AM215" s="3">
        <v>221.4</v>
      </c>
      <c r="AN215" s="3">
        <v>236.5</v>
      </c>
      <c r="AO215" s="3">
        <v>152.69999999999999</v>
      </c>
      <c r="AP215" s="3">
        <v>182.5</v>
      </c>
      <c r="AQ215" s="3">
        <v>224.1</v>
      </c>
      <c r="AR215" s="3">
        <v>156.4</v>
      </c>
      <c r="AS215" s="3">
        <v>326.2</v>
      </c>
      <c r="AT215" s="3">
        <v>254.9</v>
      </c>
      <c r="AU215" s="3">
        <v>264.3</v>
      </c>
      <c r="AV215" s="3">
        <v>276</v>
      </c>
      <c r="AW215" s="3">
        <v>251.3</v>
      </c>
      <c r="AX215" s="3">
        <v>257.7</v>
      </c>
      <c r="AY215" s="3">
        <v>301.60000000000002</v>
      </c>
      <c r="AZ215" s="3">
        <v>286.5</v>
      </c>
      <c r="BA215" s="3">
        <v>156.5</v>
      </c>
      <c r="BB215" s="3">
        <v>268.8</v>
      </c>
      <c r="BC215" s="3">
        <v>167.8</v>
      </c>
      <c r="BD215" s="3">
        <v>140.1</v>
      </c>
      <c r="BE215" s="3">
        <v>139.4</v>
      </c>
      <c r="BF215" s="3">
        <v>217.6</v>
      </c>
      <c r="BG215" s="3">
        <v>155.9</v>
      </c>
      <c r="BH215" s="3">
        <v>155.5</v>
      </c>
      <c r="BI215" s="3">
        <v>83</v>
      </c>
      <c r="BJ215" s="3">
        <v>141</v>
      </c>
      <c r="BK215" s="3">
        <v>155.80000000000001</v>
      </c>
      <c r="BL215" s="3">
        <v>160.4</v>
      </c>
      <c r="BM215" s="3">
        <v>169.9</v>
      </c>
      <c r="BN215" s="3">
        <v>89.8</v>
      </c>
      <c r="BO215" s="3">
        <v>265.89999999999998</v>
      </c>
      <c r="BP215" s="3">
        <v>253.7</v>
      </c>
      <c r="BQ215" s="3">
        <v>100.3</v>
      </c>
      <c r="BR215" s="3">
        <v>72.8</v>
      </c>
      <c r="BS215" s="3">
        <v>92.5</v>
      </c>
      <c r="BT215" s="3">
        <v>150.4</v>
      </c>
      <c r="BU215" s="3">
        <v>114.3</v>
      </c>
      <c r="BV215" s="3">
        <v>131.4</v>
      </c>
      <c r="BW215" s="3">
        <v>186.8</v>
      </c>
      <c r="BX215" s="3">
        <v>327.5</v>
      </c>
      <c r="BY215" s="3">
        <v>111</v>
      </c>
      <c r="BZ215" s="3">
        <v>264.89999999999998</v>
      </c>
      <c r="CA215" s="3">
        <v>242.8</v>
      </c>
      <c r="CB215" s="3">
        <v>281.89999999999998</v>
      </c>
      <c r="CC215" s="3">
        <v>230.5</v>
      </c>
      <c r="CD215" s="3">
        <v>241.2</v>
      </c>
      <c r="CE215" s="3">
        <v>188.2</v>
      </c>
      <c r="CF215" s="3">
        <v>22.6</v>
      </c>
      <c r="CG215" s="3">
        <v>102.2</v>
      </c>
      <c r="CH215" s="3">
        <v>97.1</v>
      </c>
      <c r="CI215" s="3">
        <v>232.8</v>
      </c>
      <c r="CJ215" s="3">
        <v>147.6</v>
      </c>
      <c r="CK215" s="3">
        <v>158.1</v>
      </c>
      <c r="CL215" s="3">
        <v>319.8</v>
      </c>
      <c r="CM215" s="3">
        <v>169.6</v>
      </c>
      <c r="CN215" s="3">
        <v>149.69999999999999</v>
      </c>
    </row>
    <row r="216" spans="1:92" x14ac:dyDescent="0.25">
      <c r="A216" s="4">
        <v>38292</v>
      </c>
      <c r="B216" s="3">
        <v>153.9</v>
      </c>
      <c r="C216" s="3">
        <v>139.4</v>
      </c>
      <c r="D216" s="3">
        <v>163.5</v>
      </c>
      <c r="E216" s="3">
        <v>132.5</v>
      </c>
      <c r="F216" s="3">
        <v>186.7</v>
      </c>
      <c r="G216" s="3">
        <v>185.3</v>
      </c>
      <c r="H216" s="3">
        <v>157</v>
      </c>
      <c r="I216" s="3">
        <v>171.9</v>
      </c>
      <c r="J216" s="3">
        <v>117.4</v>
      </c>
      <c r="K216" s="3">
        <v>142.19999999999999</v>
      </c>
      <c r="L216" s="3">
        <v>153.6</v>
      </c>
      <c r="M216" s="3">
        <v>160.30000000000001</v>
      </c>
      <c r="N216" s="3">
        <v>147.1</v>
      </c>
      <c r="O216" s="3">
        <v>173.1</v>
      </c>
      <c r="P216" s="3">
        <v>138.9</v>
      </c>
      <c r="Q216" s="3">
        <v>170.2</v>
      </c>
      <c r="R216" s="3">
        <v>159.69999999999999</v>
      </c>
      <c r="S216" s="3">
        <v>174.5</v>
      </c>
      <c r="T216" s="3">
        <v>143.4</v>
      </c>
      <c r="U216" s="3">
        <v>146.9</v>
      </c>
      <c r="V216" s="3">
        <v>112.3</v>
      </c>
      <c r="W216" s="3">
        <v>183.8</v>
      </c>
      <c r="X216" s="3">
        <v>151</v>
      </c>
      <c r="Y216" s="3">
        <v>179.5</v>
      </c>
      <c r="Z216" s="3">
        <v>150.69999999999999</v>
      </c>
      <c r="AA216" s="3">
        <v>139</v>
      </c>
      <c r="AB216" s="3">
        <v>149.9</v>
      </c>
      <c r="AC216" s="3">
        <v>124.7</v>
      </c>
      <c r="AD216" s="3">
        <v>112.7</v>
      </c>
      <c r="AE216" s="3">
        <v>159.9</v>
      </c>
      <c r="AF216" s="3">
        <v>148.1</v>
      </c>
      <c r="AG216" s="3">
        <v>145.30000000000001</v>
      </c>
      <c r="AH216" s="3">
        <v>150.1</v>
      </c>
      <c r="AI216" s="3">
        <v>152</v>
      </c>
      <c r="AJ216" s="3">
        <v>229.9</v>
      </c>
      <c r="AK216" s="3">
        <v>285.89999999999998</v>
      </c>
      <c r="AL216" s="3">
        <v>225</v>
      </c>
      <c r="AM216" s="3">
        <v>221.3</v>
      </c>
      <c r="AN216" s="3">
        <v>236.9</v>
      </c>
      <c r="AO216" s="3">
        <v>150.80000000000001</v>
      </c>
      <c r="AP216" s="3">
        <v>181.4</v>
      </c>
      <c r="AQ216" s="3">
        <v>224.3</v>
      </c>
      <c r="AR216" s="3">
        <v>154</v>
      </c>
      <c r="AS216" s="3">
        <v>326.2</v>
      </c>
      <c r="AT216" s="3">
        <v>254.8</v>
      </c>
      <c r="AU216" s="3">
        <v>264.60000000000002</v>
      </c>
      <c r="AV216" s="3">
        <v>278.7</v>
      </c>
      <c r="AW216" s="3">
        <v>252.1</v>
      </c>
      <c r="AX216" s="3">
        <v>257.7</v>
      </c>
      <c r="AY216" s="3">
        <v>301.60000000000002</v>
      </c>
      <c r="AZ216" s="3">
        <v>287.2</v>
      </c>
      <c r="BA216" s="3">
        <v>156.5</v>
      </c>
      <c r="BB216" s="3">
        <v>270.10000000000002</v>
      </c>
      <c r="BC216" s="3">
        <v>169.9</v>
      </c>
      <c r="BD216" s="3">
        <v>142.69999999999999</v>
      </c>
      <c r="BE216" s="3">
        <v>144.19999999999999</v>
      </c>
      <c r="BF216" s="3">
        <v>205.8</v>
      </c>
      <c r="BG216" s="3">
        <v>157.6</v>
      </c>
      <c r="BH216" s="3">
        <v>157</v>
      </c>
      <c r="BI216" s="3">
        <v>82.9</v>
      </c>
      <c r="BJ216" s="3">
        <v>142.6</v>
      </c>
      <c r="BK216" s="3">
        <v>155.1</v>
      </c>
      <c r="BL216" s="3">
        <v>160.9</v>
      </c>
      <c r="BM216" s="3">
        <v>169.9</v>
      </c>
      <c r="BN216" s="3">
        <v>89.5</v>
      </c>
      <c r="BO216" s="3">
        <v>267.10000000000002</v>
      </c>
      <c r="BP216" s="3">
        <v>253.6</v>
      </c>
      <c r="BQ216" s="3">
        <v>100.6</v>
      </c>
      <c r="BR216" s="3">
        <v>73.099999999999994</v>
      </c>
      <c r="BS216" s="3">
        <v>92.7</v>
      </c>
      <c r="BT216" s="3">
        <v>151.4</v>
      </c>
      <c r="BU216" s="3">
        <v>114.5</v>
      </c>
      <c r="BV216" s="3">
        <v>132</v>
      </c>
      <c r="BW216" s="3">
        <v>186.7</v>
      </c>
      <c r="BX216" s="3">
        <v>328.5</v>
      </c>
      <c r="BY216" s="3">
        <v>110.3</v>
      </c>
      <c r="BZ216" s="3">
        <v>266.2</v>
      </c>
      <c r="CA216" s="3">
        <v>246</v>
      </c>
      <c r="CB216" s="3">
        <v>281.8</v>
      </c>
      <c r="CC216" s="3">
        <v>232.9</v>
      </c>
      <c r="CD216" s="3">
        <v>243.9</v>
      </c>
      <c r="CE216" s="3">
        <v>183</v>
      </c>
      <c r="CF216" s="3">
        <v>22.3</v>
      </c>
      <c r="CG216" s="3">
        <v>103</v>
      </c>
      <c r="CH216" s="3">
        <v>96</v>
      </c>
      <c r="CI216" s="3">
        <v>232.9</v>
      </c>
      <c r="CJ216" s="3">
        <v>146.19999999999999</v>
      </c>
      <c r="CK216" s="3">
        <v>158.1</v>
      </c>
      <c r="CL216" s="3">
        <v>319.7</v>
      </c>
      <c r="CM216" s="3">
        <v>170</v>
      </c>
      <c r="CN216" s="3">
        <v>150.1</v>
      </c>
    </row>
    <row r="217" spans="1:92" x14ac:dyDescent="0.25">
      <c r="A217" s="4">
        <v>38322</v>
      </c>
      <c r="B217" s="3">
        <v>153.80000000000001</v>
      </c>
      <c r="C217" s="3">
        <v>140.69999999999999</v>
      </c>
      <c r="D217" s="3">
        <v>164.5</v>
      </c>
      <c r="E217" s="3">
        <v>132</v>
      </c>
      <c r="F217" s="3">
        <v>188</v>
      </c>
      <c r="G217" s="3">
        <v>183.8</v>
      </c>
      <c r="H217" s="3">
        <v>158.6</v>
      </c>
      <c r="I217" s="3">
        <v>173.1</v>
      </c>
      <c r="J217" s="3">
        <v>117.8</v>
      </c>
      <c r="K217" s="3">
        <v>143.4</v>
      </c>
      <c r="L217" s="3">
        <v>154.69999999999999</v>
      </c>
      <c r="M217" s="3">
        <v>162.4</v>
      </c>
      <c r="N217" s="3">
        <v>146.4</v>
      </c>
      <c r="O217" s="3">
        <v>172.5</v>
      </c>
      <c r="P217" s="3">
        <v>140.4</v>
      </c>
      <c r="Q217" s="3">
        <v>170.5</v>
      </c>
      <c r="R217" s="3">
        <v>159.69999999999999</v>
      </c>
      <c r="S217" s="3">
        <v>174.4</v>
      </c>
      <c r="T217" s="3">
        <v>143</v>
      </c>
      <c r="U217" s="3">
        <v>146.5</v>
      </c>
      <c r="V217" s="3">
        <v>112.8</v>
      </c>
      <c r="W217" s="3">
        <v>183.9</v>
      </c>
      <c r="X217" s="3">
        <v>151</v>
      </c>
      <c r="Y217" s="3">
        <v>179.4</v>
      </c>
      <c r="Z217" s="3">
        <v>151.1</v>
      </c>
      <c r="AA217" s="3">
        <v>142.5</v>
      </c>
      <c r="AB217" s="3">
        <v>148.19999999999999</v>
      </c>
      <c r="AC217" s="3">
        <v>131</v>
      </c>
      <c r="AD217" s="3">
        <v>119.6</v>
      </c>
      <c r="AE217" s="3">
        <v>162.4</v>
      </c>
      <c r="AF217" s="3">
        <v>145.80000000000001</v>
      </c>
      <c r="AG217" s="3">
        <v>142.69999999999999</v>
      </c>
      <c r="AH217" s="3">
        <v>149.69999999999999</v>
      </c>
      <c r="AI217" s="3">
        <v>153.19999999999999</v>
      </c>
      <c r="AJ217" s="3">
        <v>230.3</v>
      </c>
      <c r="AK217" s="3">
        <v>285.8</v>
      </c>
      <c r="AL217" s="3">
        <v>225.8</v>
      </c>
      <c r="AM217" s="3">
        <v>221.4</v>
      </c>
      <c r="AN217" s="3">
        <v>237.3</v>
      </c>
      <c r="AO217" s="3">
        <v>149.30000000000001</v>
      </c>
      <c r="AP217" s="3">
        <v>180.8</v>
      </c>
      <c r="AQ217" s="3">
        <v>225</v>
      </c>
      <c r="AR217" s="3">
        <v>152.1</v>
      </c>
      <c r="AS217" s="3">
        <v>326.3</v>
      </c>
      <c r="AT217" s="3">
        <v>254.8</v>
      </c>
      <c r="AU217" s="3">
        <v>264.8</v>
      </c>
      <c r="AV217" s="3">
        <v>280.89999999999998</v>
      </c>
      <c r="AW217" s="3">
        <v>253.8</v>
      </c>
      <c r="AX217" s="3">
        <v>257.7</v>
      </c>
      <c r="AY217" s="3">
        <v>301.60000000000002</v>
      </c>
      <c r="AZ217" s="3">
        <v>288.2</v>
      </c>
      <c r="BA217" s="3">
        <v>156.4</v>
      </c>
      <c r="BB217" s="3">
        <v>270.60000000000002</v>
      </c>
      <c r="BC217" s="3">
        <v>171.3</v>
      </c>
      <c r="BD217" s="3">
        <v>145.4</v>
      </c>
      <c r="BE217" s="3">
        <v>149.1</v>
      </c>
      <c r="BF217" s="3">
        <v>194.4</v>
      </c>
      <c r="BG217" s="3">
        <v>170.7</v>
      </c>
      <c r="BH217" s="3">
        <v>163.1</v>
      </c>
      <c r="BI217" s="3">
        <v>81.7</v>
      </c>
      <c r="BJ217" s="3">
        <v>142.5</v>
      </c>
      <c r="BK217" s="3">
        <v>155.80000000000001</v>
      </c>
      <c r="BL217" s="3">
        <v>161.1</v>
      </c>
      <c r="BM217" s="3">
        <v>169.9</v>
      </c>
      <c r="BN217" s="3">
        <v>89.3</v>
      </c>
      <c r="BO217" s="3">
        <v>268.2</v>
      </c>
      <c r="BP217" s="3">
        <v>253.5</v>
      </c>
      <c r="BQ217" s="3">
        <v>100.2</v>
      </c>
      <c r="BR217" s="3">
        <v>71.8</v>
      </c>
      <c r="BS217" s="3">
        <v>90.7</v>
      </c>
      <c r="BT217" s="3">
        <v>150.5</v>
      </c>
      <c r="BU217" s="3">
        <v>112.9</v>
      </c>
      <c r="BV217" s="3">
        <v>132.80000000000001</v>
      </c>
      <c r="BW217" s="3">
        <v>186.9</v>
      </c>
      <c r="BX217" s="3">
        <v>328.9</v>
      </c>
      <c r="BY217" s="3">
        <v>109.7</v>
      </c>
      <c r="BZ217" s="3">
        <v>267.39999999999998</v>
      </c>
      <c r="CA217" s="3">
        <v>240.8</v>
      </c>
      <c r="CB217" s="3">
        <v>282.3</v>
      </c>
      <c r="CC217" s="3">
        <v>233</v>
      </c>
      <c r="CD217" s="3">
        <v>244.4</v>
      </c>
      <c r="CE217" s="3">
        <v>211.5</v>
      </c>
      <c r="CF217" s="3">
        <v>22.1</v>
      </c>
      <c r="CG217" s="3">
        <v>102.9</v>
      </c>
      <c r="CH217" s="3">
        <v>96.8</v>
      </c>
      <c r="CI217" s="3">
        <v>233.9</v>
      </c>
      <c r="CJ217" s="3">
        <v>147</v>
      </c>
      <c r="CK217" s="3">
        <v>158.1</v>
      </c>
      <c r="CL217" s="3">
        <v>320.89999999999998</v>
      </c>
      <c r="CM217" s="3">
        <v>170.1</v>
      </c>
      <c r="CN217" s="3">
        <v>150.69999999999999</v>
      </c>
    </row>
    <row r="218" spans="1:92" x14ac:dyDescent="0.25">
      <c r="A218" s="4">
        <v>38353</v>
      </c>
      <c r="B218" s="3">
        <v>152.4</v>
      </c>
      <c r="C218" s="3">
        <v>141.4</v>
      </c>
      <c r="D218" s="3">
        <v>165.1</v>
      </c>
      <c r="E218" s="3">
        <v>132.9</v>
      </c>
      <c r="F218" s="3">
        <v>190</v>
      </c>
      <c r="G218" s="3">
        <v>188.2</v>
      </c>
      <c r="H218" s="3">
        <v>157.9</v>
      </c>
      <c r="I218" s="3">
        <v>173.3</v>
      </c>
      <c r="J218" s="3">
        <v>112.6</v>
      </c>
      <c r="K218" s="3">
        <v>143.80000000000001</v>
      </c>
      <c r="L218" s="3">
        <v>154</v>
      </c>
      <c r="M218" s="3">
        <v>160.80000000000001</v>
      </c>
      <c r="N218" s="3">
        <v>147.4</v>
      </c>
      <c r="O218" s="3">
        <v>172.7</v>
      </c>
      <c r="P218" s="3">
        <v>140.19999999999999</v>
      </c>
      <c r="Q218" s="3">
        <v>171.1</v>
      </c>
      <c r="R218" s="3">
        <v>159.4</v>
      </c>
      <c r="S218" s="3">
        <v>174.4</v>
      </c>
      <c r="T218" s="3">
        <v>142.1</v>
      </c>
      <c r="U218" s="3">
        <v>145.5</v>
      </c>
      <c r="V218" s="3">
        <v>112.9</v>
      </c>
      <c r="W218" s="3">
        <v>184.9</v>
      </c>
      <c r="X218" s="3">
        <v>151.30000000000001</v>
      </c>
      <c r="Y218" s="3">
        <v>179.9</v>
      </c>
      <c r="Z218" s="3">
        <v>152.6</v>
      </c>
      <c r="AA218" s="3">
        <v>142.6</v>
      </c>
      <c r="AB218" s="3">
        <v>150.6</v>
      </c>
      <c r="AC218" s="3">
        <v>137.80000000000001</v>
      </c>
      <c r="AD218" s="3">
        <v>127.3</v>
      </c>
      <c r="AE218" s="3">
        <v>163.4</v>
      </c>
      <c r="AF218" s="3">
        <v>141.80000000000001</v>
      </c>
      <c r="AG218" s="3">
        <v>137.9</v>
      </c>
      <c r="AH218" s="3">
        <v>151.6</v>
      </c>
      <c r="AI218" s="3">
        <v>153.1</v>
      </c>
      <c r="AJ218" s="3">
        <v>230.9</v>
      </c>
      <c r="AK218" s="3">
        <v>286.89999999999998</v>
      </c>
      <c r="AL218" s="3">
        <v>226.3</v>
      </c>
      <c r="AM218" s="3">
        <v>221.6</v>
      </c>
      <c r="AN218" s="3">
        <v>237.5</v>
      </c>
      <c r="AO218" s="3">
        <v>149.6</v>
      </c>
      <c r="AP218" s="3">
        <v>182.1</v>
      </c>
      <c r="AQ218" s="3">
        <v>224.7</v>
      </c>
      <c r="AR218" s="3">
        <v>155</v>
      </c>
      <c r="AS218" s="3">
        <v>329</v>
      </c>
      <c r="AT218" s="3">
        <v>256.5</v>
      </c>
      <c r="AU218" s="3">
        <v>265.7</v>
      </c>
      <c r="AV218" s="3">
        <v>283</v>
      </c>
      <c r="AW218" s="3">
        <v>253.9</v>
      </c>
      <c r="AX218" s="3">
        <v>257.7</v>
      </c>
      <c r="AY218" s="3">
        <v>301.60000000000002</v>
      </c>
      <c r="AZ218" s="3">
        <v>291.3</v>
      </c>
      <c r="BA218" s="3">
        <v>156.30000000000001</v>
      </c>
      <c r="BB218" s="3">
        <v>267.89999999999998</v>
      </c>
      <c r="BC218" s="3">
        <v>172</v>
      </c>
      <c r="BD218" s="3">
        <v>147.5</v>
      </c>
      <c r="BE218" s="3">
        <v>152.1</v>
      </c>
      <c r="BF218" s="3">
        <v>196.4</v>
      </c>
      <c r="BG218" s="3">
        <v>154</v>
      </c>
      <c r="BH218" s="3">
        <v>153.1</v>
      </c>
      <c r="BI218" s="3">
        <v>79.5</v>
      </c>
      <c r="BJ218" s="3">
        <v>139.69999999999999</v>
      </c>
      <c r="BK218" s="3">
        <v>156.69999999999999</v>
      </c>
      <c r="BL218" s="3">
        <v>161.80000000000001</v>
      </c>
      <c r="BM218" s="3">
        <v>169.9</v>
      </c>
      <c r="BN218" s="3">
        <v>89.1</v>
      </c>
      <c r="BO218" s="3">
        <v>271.60000000000002</v>
      </c>
      <c r="BP218" s="3">
        <v>255</v>
      </c>
      <c r="BQ218" s="3">
        <v>94.4</v>
      </c>
      <c r="BR218" s="3">
        <v>69.3</v>
      </c>
      <c r="BS218" s="3">
        <v>89.2</v>
      </c>
      <c r="BT218" s="3">
        <v>148.80000000000001</v>
      </c>
      <c r="BU218" s="3">
        <v>110.5</v>
      </c>
      <c r="BV218" s="3">
        <v>129.5</v>
      </c>
      <c r="BW218" s="3">
        <v>187.3</v>
      </c>
      <c r="BX218" s="3">
        <v>332.4</v>
      </c>
      <c r="BY218" s="3">
        <v>111.1</v>
      </c>
      <c r="BZ218" s="3">
        <v>271.5</v>
      </c>
      <c r="CA218" s="3">
        <v>232.5</v>
      </c>
      <c r="CB218" s="3">
        <v>283.89999999999998</v>
      </c>
      <c r="CC218" s="3">
        <v>242</v>
      </c>
      <c r="CD218" s="3">
        <v>250.5</v>
      </c>
      <c r="CE218" s="3">
        <v>182.1</v>
      </c>
      <c r="CF218" s="3">
        <v>21.6</v>
      </c>
      <c r="CG218" s="3">
        <v>100.8</v>
      </c>
      <c r="CH218" s="3">
        <v>95.8</v>
      </c>
      <c r="CI218" s="3">
        <v>231</v>
      </c>
      <c r="CJ218" s="3">
        <v>145.30000000000001</v>
      </c>
      <c r="CK218" s="3">
        <v>157</v>
      </c>
      <c r="CL218" s="3">
        <v>322.10000000000002</v>
      </c>
      <c r="CM218" s="3">
        <v>170.6</v>
      </c>
      <c r="CN218" s="3">
        <v>151</v>
      </c>
    </row>
    <row r="219" spans="1:92" x14ac:dyDescent="0.25">
      <c r="A219" s="4">
        <v>38384</v>
      </c>
      <c r="B219" s="3">
        <v>153.5</v>
      </c>
      <c r="C219" s="3">
        <v>144.9</v>
      </c>
      <c r="D219" s="3">
        <v>165.5</v>
      </c>
      <c r="E219" s="3">
        <v>132.80000000000001</v>
      </c>
      <c r="F219" s="3">
        <v>188.1</v>
      </c>
      <c r="G219" s="3">
        <v>184.9</v>
      </c>
      <c r="H219" s="3">
        <v>157.9</v>
      </c>
      <c r="I219" s="3">
        <v>171.3</v>
      </c>
      <c r="J219" s="3">
        <v>114</v>
      </c>
      <c r="K219" s="3">
        <v>145</v>
      </c>
      <c r="L219" s="3">
        <v>153.80000000000001</v>
      </c>
      <c r="M219" s="3">
        <v>160.80000000000001</v>
      </c>
      <c r="N219" s="3">
        <v>147</v>
      </c>
      <c r="O219" s="3">
        <v>173.7</v>
      </c>
      <c r="P219" s="3">
        <v>139.19999999999999</v>
      </c>
      <c r="Q219" s="3">
        <v>170</v>
      </c>
      <c r="R219" s="3">
        <v>159.4</v>
      </c>
      <c r="S219" s="3">
        <v>174.7</v>
      </c>
      <c r="T219" s="3">
        <v>142.5</v>
      </c>
      <c r="U219" s="3">
        <v>144.80000000000001</v>
      </c>
      <c r="V219" s="3">
        <v>112.1</v>
      </c>
      <c r="W219" s="3">
        <v>186.6</v>
      </c>
      <c r="X219" s="3">
        <v>153.69999999999999</v>
      </c>
      <c r="Y219" s="3">
        <v>179.5</v>
      </c>
      <c r="Z219" s="3">
        <v>154</v>
      </c>
      <c r="AA219" s="3">
        <v>143.9</v>
      </c>
      <c r="AB219" s="3">
        <v>152</v>
      </c>
      <c r="AC219" s="3">
        <v>144</v>
      </c>
      <c r="AD219" s="3">
        <v>133.80000000000001</v>
      </c>
      <c r="AE219" s="3">
        <v>167.7</v>
      </c>
      <c r="AF219" s="3">
        <v>141.30000000000001</v>
      </c>
      <c r="AG219" s="3">
        <v>137.19999999999999</v>
      </c>
      <c r="AH219" s="3">
        <v>152.4</v>
      </c>
      <c r="AI219" s="3">
        <v>153</v>
      </c>
      <c r="AJ219" s="3">
        <v>231.3</v>
      </c>
      <c r="AK219" s="3">
        <v>287.39999999999998</v>
      </c>
      <c r="AL219" s="3">
        <v>226.7</v>
      </c>
      <c r="AM219" s="3">
        <v>222.2</v>
      </c>
      <c r="AN219" s="3">
        <v>238.3</v>
      </c>
      <c r="AO219" s="3">
        <v>149.6</v>
      </c>
      <c r="AP219" s="3">
        <v>182.9</v>
      </c>
      <c r="AQ219" s="3">
        <v>225.4</v>
      </c>
      <c r="AR219" s="3">
        <v>156</v>
      </c>
      <c r="AS219" s="3">
        <v>330.4</v>
      </c>
      <c r="AT219" s="3">
        <v>258.5</v>
      </c>
      <c r="AU219" s="3">
        <v>265.89999999999998</v>
      </c>
      <c r="AV219" s="3">
        <v>285.10000000000002</v>
      </c>
      <c r="AW219" s="3">
        <v>253.9</v>
      </c>
      <c r="AX219" s="3">
        <v>257.7</v>
      </c>
      <c r="AY219" s="3">
        <v>301.60000000000002</v>
      </c>
      <c r="AZ219" s="3">
        <v>292</v>
      </c>
      <c r="BA219" s="3">
        <v>156.30000000000001</v>
      </c>
      <c r="BB219" s="3">
        <v>268</v>
      </c>
      <c r="BC219" s="3">
        <v>173.1</v>
      </c>
      <c r="BD219" s="3">
        <v>148.6</v>
      </c>
      <c r="BE219" s="3">
        <v>152.69999999999999</v>
      </c>
      <c r="BF219" s="3">
        <v>197</v>
      </c>
      <c r="BG219" s="3">
        <v>155</v>
      </c>
      <c r="BH219" s="3">
        <v>154.69999999999999</v>
      </c>
      <c r="BI219" s="3">
        <v>82.6</v>
      </c>
      <c r="BJ219" s="3">
        <v>139.6</v>
      </c>
      <c r="BK219" s="3">
        <v>155.1</v>
      </c>
      <c r="BL219" s="3">
        <v>162.1</v>
      </c>
      <c r="BM219" s="3">
        <v>169.9</v>
      </c>
      <c r="BN219" s="3">
        <v>89.3</v>
      </c>
      <c r="BO219" s="3">
        <v>271.7</v>
      </c>
      <c r="BP219" s="3">
        <v>254.8</v>
      </c>
      <c r="BQ219" s="3">
        <v>95.6</v>
      </c>
      <c r="BR219" s="3">
        <v>69.7</v>
      </c>
      <c r="BS219" s="3">
        <v>90</v>
      </c>
      <c r="BT219" s="3">
        <v>149.4</v>
      </c>
      <c r="BU219" s="3">
        <v>111.8</v>
      </c>
      <c r="BV219" s="3">
        <v>131.4</v>
      </c>
      <c r="BW219" s="3">
        <v>186.6</v>
      </c>
      <c r="BX219" s="3">
        <v>333.1</v>
      </c>
      <c r="BY219" s="3">
        <v>111.9</v>
      </c>
      <c r="BZ219" s="3">
        <v>272.10000000000002</v>
      </c>
      <c r="CA219" s="3">
        <v>235.7</v>
      </c>
      <c r="CB219" s="3">
        <v>278.5</v>
      </c>
      <c r="CC219" s="3">
        <v>242</v>
      </c>
      <c r="CD219" s="3">
        <v>250.4</v>
      </c>
      <c r="CE219" s="3">
        <v>188.1</v>
      </c>
      <c r="CF219" s="3">
        <v>21.4</v>
      </c>
      <c r="CG219" s="3">
        <v>99.7</v>
      </c>
      <c r="CH219" s="3">
        <v>94.7</v>
      </c>
      <c r="CI219" s="3">
        <v>233.5</v>
      </c>
      <c r="CJ219" s="3">
        <v>146.9</v>
      </c>
      <c r="CK219" s="3">
        <v>157</v>
      </c>
      <c r="CL219" s="3">
        <v>324.2</v>
      </c>
      <c r="CM219" s="3">
        <v>170.6</v>
      </c>
      <c r="CN219" s="3">
        <v>151.5</v>
      </c>
    </row>
    <row r="220" spans="1:92" x14ac:dyDescent="0.25">
      <c r="A220" s="4">
        <v>38412</v>
      </c>
      <c r="B220" s="3">
        <v>152.9</v>
      </c>
      <c r="C220" s="3">
        <v>144.5</v>
      </c>
      <c r="D220" s="3">
        <v>165.2</v>
      </c>
      <c r="E220" s="3">
        <v>132.69999999999999</v>
      </c>
      <c r="F220" s="3">
        <v>189.2</v>
      </c>
      <c r="G220" s="3">
        <v>185.1</v>
      </c>
      <c r="H220" s="3">
        <v>159.5</v>
      </c>
      <c r="I220" s="3">
        <v>174.5</v>
      </c>
      <c r="J220" s="3">
        <v>114.9</v>
      </c>
      <c r="K220" s="3">
        <v>144.4</v>
      </c>
      <c r="L220" s="3">
        <v>154.9</v>
      </c>
      <c r="M220" s="3">
        <v>162.30000000000001</v>
      </c>
      <c r="N220" s="3">
        <v>147.80000000000001</v>
      </c>
      <c r="O220" s="3">
        <v>173.1</v>
      </c>
      <c r="P220" s="3">
        <v>136.30000000000001</v>
      </c>
      <c r="Q220" s="3">
        <v>171.5</v>
      </c>
      <c r="R220" s="3">
        <v>159.4</v>
      </c>
      <c r="S220" s="3">
        <v>183.6</v>
      </c>
      <c r="T220" s="3">
        <v>143</v>
      </c>
      <c r="U220" s="3">
        <v>144.4</v>
      </c>
      <c r="V220" s="3">
        <v>112.2</v>
      </c>
      <c r="W220" s="3">
        <v>186.4</v>
      </c>
      <c r="X220" s="3">
        <v>154.1</v>
      </c>
      <c r="Y220" s="3">
        <v>180.1</v>
      </c>
      <c r="Z220" s="3">
        <v>154.19999999999999</v>
      </c>
      <c r="AA220" s="3">
        <v>143.4</v>
      </c>
      <c r="AB220" s="3">
        <v>152.69999999999999</v>
      </c>
      <c r="AC220" s="3">
        <v>151.4</v>
      </c>
      <c r="AD220" s="3">
        <v>142.19999999999999</v>
      </c>
      <c r="AE220" s="3">
        <v>169.1</v>
      </c>
      <c r="AF220" s="3">
        <v>141.80000000000001</v>
      </c>
      <c r="AG220" s="3">
        <v>137.80000000000001</v>
      </c>
      <c r="AH220" s="3">
        <v>152.30000000000001</v>
      </c>
      <c r="AI220" s="3">
        <v>152.80000000000001</v>
      </c>
      <c r="AJ220" s="3">
        <v>231.9</v>
      </c>
      <c r="AK220" s="3">
        <v>287.5</v>
      </c>
      <c r="AL220" s="3">
        <v>227.3</v>
      </c>
      <c r="AM220" s="3">
        <v>223</v>
      </c>
      <c r="AN220" s="3">
        <v>239.4</v>
      </c>
      <c r="AO220" s="3">
        <v>149.30000000000001</v>
      </c>
      <c r="AP220" s="3">
        <v>181.9</v>
      </c>
      <c r="AQ220" s="3">
        <v>226.1</v>
      </c>
      <c r="AR220" s="3">
        <v>153.5</v>
      </c>
      <c r="AS220" s="3">
        <v>330.4</v>
      </c>
      <c r="AT220" s="3">
        <v>258.39999999999998</v>
      </c>
      <c r="AU220" s="3">
        <v>265.89999999999998</v>
      </c>
      <c r="AV220" s="3">
        <v>287.2</v>
      </c>
      <c r="AW220" s="3">
        <v>253.4</v>
      </c>
      <c r="AX220" s="3">
        <v>257.7</v>
      </c>
      <c r="AY220" s="3">
        <v>301.60000000000002</v>
      </c>
      <c r="AZ220" s="3">
        <v>293.5</v>
      </c>
      <c r="BA220" s="3">
        <v>156.69999999999999</v>
      </c>
      <c r="BB220" s="3">
        <v>268.2</v>
      </c>
      <c r="BC220" s="3">
        <v>173.5</v>
      </c>
      <c r="BD220" s="3">
        <v>149.4</v>
      </c>
      <c r="BE220" s="3">
        <v>153.1</v>
      </c>
      <c r="BF220" s="3">
        <v>218.7</v>
      </c>
      <c r="BG220" s="3">
        <v>167.2</v>
      </c>
      <c r="BH220" s="3">
        <v>156.1</v>
      </c>
      <c r="BI220" s="3">
        <v>79.8</v>
      </c>
      <c r="BJ220" s="3">
        <v>140.69999999999999</v>
      </c>
      <c r="BK220" s="3">
        <v>155.30000000000001</v>
      </c>
      <c r="BL220" s="3">
        <v>162.4</v>
      </c>
      <c r="BM220" s="3">
        <v>169.9</v>
      </c>
      <c r="BN220" s="3">
        <v>89.4</v>
      </c>
      <c r="BO220" s="3">
        <v>272.3</v>
      </c>
      <c r="BP220" s="3">
        <v>255</v>
      </c>
      <c r="BQ220" s="3">
        <v>97.5</v>
      </c>
      <c r="BR220" s="3">
        <v>70.8</v>
      </c>
      <c r="BS220" s="3">
        <v>91</v>
      </c>
      <c r="BT220" s="3">
        <v>150.80000000000001</v>
      </c>
      <c r="BU220" s="3">
        <v>112.2</v>
      </c>
      <c r="BV220" s="3">
        <v>132.1</v>
      </c>
      <c r="BW220" s="3">
        <v>188</v>
      </c>
      <c r="BX220" s="3">
        <v>334</v>
      </c>
      <c r="BY220" s="3">
        <v>111.8</v>
      </c>
      <c r="BZ220" s="3">
        <v>271.89999999999998</v>
      </c>
      <c r="CA220" s="3">
        <v>240.7</v>
      </c>
      <c r="CB220" s="3">
        <v>277.2</v>
      </c>
      <c r="CC220" s="3">
        <v>237.2</v>
      </c>
      <c r="CD220" s="3">
        <v>253.6</v>
      </c>
      <c r="CE220" s="3">
        <v>191.6</v>
      </c>
      <c r="CF220" s="3">
        <v>21</v>
      </c>
      <c r="CG220" s="3">
        <v>99.7</v>
      </c>
      <c r="CH220" s="3">
        <v>95.2</v>
      </c>
      <c r="CI220" s="3">
        <v>232.5</v>
      </c>
      <c r="CJ220" s="3">
        <v>146.1</v>
      </c>
      <c r="CK220" s="3">
        <v>157</v>
      </c>
      <c r="CL220" s="3">
        <v>326.3</v>
      </c>
      <c r="CM220" s="3">
        <v>170.9</v>
      </c>
      <c r="CN220" s="3">
        <v>151.9</v>
      </c>
    </row>
    <row r="221" spans="1:92" x14ac:dyDescent="0.25">
      <c r="A221" s="4">
        <v>38443</v>
      </c>
      <c r="B221" s="3">
        <v>152</v>
      </c>
      <c r="C221" s="3">
        <v>144.80000000000001</v>
      </c>
      <c r="D221" s="3">
        <v>164.5</v>
      </c>
      <c r="E221" s="3">
        <v>131.4</v>
      </c>
      <c r="F221" s="3">
        <v>189.4</v>
      </c>
      <c r="G221" s="3">
        <v>186.5</v>
      </c>
      <c r="H221" s="3">
        <v>157.69999999999999</v>
      </c>
      <c r="I221" s="3">
        <v>173.3</v>
      </c>
      <c r="J221" s="3">
        <v>111.7</v>
      </c>
      <c r="K221" s="3">
        <v>144.30000000000001</v>
      </c>
      <c r="L221" s="3">
        <v>154.4</v>
      </c>
      <c r="M221" s="3">
        <v>161.1</v>
      </c>
      <c r="N221" s="3">
        <v>147.9</v>
      </c>
      <c r="O221" s="3">
        <v>173.2</v>
      </c>
      <c r="P221" s="3">
        <v>135.9</v>
      </c>
      <c r="Q221" s="3">
        <v>170.9</v>
      </c>
      <c r="R221" s="3">
        <v>160.19999999999999</v>
      </c>
      <c r="S221" s="3">
        <v>184.1</v>
      </c>
      <c r="T221" s="3">
        <v>141.6</v>
      </c>
      <c r="U221" s="3">
        <v>144.80000000000001</v>
      </c>
      <c r="V221" s="3">
        <v>112.3</v>
      </c>
      <c r="W221" s="3">
        <v>186.1</v>
      </c>
      <c r="X221" s="3">
        <v>152.6</v>
      </c>
      <c r="Y221" s="3">
        <v>182</v>
      </c>
      <c r="Z221" s="3">
        <v>154.19999999999999</v>
      </c>
      <c r="AA221" s="3">
        <v>144.80000000000001</v>
      </c>
      <c r="AB221" s="3">
        <v>151.69999999999999</v>
      </c>
      <c r="AC221" s="3">
        <v>140.9</v>
      </c>
      <c r="AD221" s="3">
        <v>129.69999999999999</v>
      </c>
      <c r="AE221" s="3">
        <v>169.2</v>
      </c>
      <c r="AF221" s="3">
        <v>141.6</v>
      </c>
      <c r="AG221" s="3">
        <v>137.6</v>
      </c>
      <c r="AH221" s="3">
        <v>151.80000000000001</v>
      </c>
      <c r="AI221" s="3">
        <v>152</v>
      </c>
      <c r="AJ221" s="3">
        <v>233.5</v>
      </c>
      <c r="AK221" s="3">
        <v>288.8</v>
      </c>
      <c r="AL221" s="3">
        <v>227.8</v>
      </c>
      <c r="AM221" s="3">
        <v>225</v>
      </c>
      <c r="AN221" s="3">
        <v>242.1</v>
      </c>
      <c r="AO221" s="3">
        <v>148.9</v>
      </c>
      <c r="AP221" s="3">
        <v>183.3</v>
      </c>
      <c r="AQ221" s="3">
        <v>227.8</v>
      </c>
      <c r="AR221" s="3">
        <v>154.69999999999999</v>
      </c>
      <c r="AS221" s="3">
        <v>336.2</v>
      </c>
      <c r="AT221" s="3">
        <v>261.8</v>
      </c>
      <c r="AU221" s="3">
        <v>270.39999999999998</v>
      </c>
      <c r="AV221" s="3">
        <v>289.39999999999998</v>
      </c>
      <c r="AW221" s="3">
        <v>255.1</v>
      </c>
      <c r="AX221" s="3">
        <v>268.10000000000002</v>
      </c>
      <c r="AY221" s="3">
        <v>335.7</v>
      </c>
      <c r="AZ221" s="3">
        <v>294.60000000000002</v>
      </c>
      <c r="BA221" s="3">
        <v>156.5</v>
      </c>
      <c r="BB221" s="3">
        <v>268.7</v>
      </c>
      <c r="BC221" s="3">
        <v>173.5</v>
      </c>
      <c r="BD221" s="3">
        <v>150.1</v>
      </c>
      <c r="BE221" s="3">
        <v>153.69999999999999</v>
      </c>
      <c r="BF221" s="3">
        <v>225.2</v>
      </c>
      <c r="BG221" s="3">
        <v>158.4</v>
      </c>
      <c r="BH221" s="3">
        <v>156.5</v>
      </c>
      <c r="BI221" s="3">
        <v>79.599999999999994</v>
      </c>
      <c r="BJ221" s="3">
        <v>139.5</v>
      </c>
      <c r="BK221" s="3">
        <v>155.4</v>
      </c>
      <c r="BL221" s="3">
        <v>164.4</v>
      </c>
      <c r="BM221" s="3">
        <v>176.8</v>
      </c>
      <c r="BN221" s="3">
        <v>89.4</v>
      </c>
      <c r="BO221" s="3">
        <v>273.2</v>
      </c>
      <c r="BP221" s="3">
        <v>257.10000000000002</v>
      </c>
      <c r="BQ221" s="3">
        <v>97.6</v>
      </c>
      <c r="BR221" s="3">
        <v>70.900000000000006</v>
      </c>
      <c r="BS221" s="3">
        <v>90.9</v>
      </c>
      <c r="BT221" s="3">
        <v>150.30000000000001</v>
      </c>
      <c r="BU221" s="3">
        <v>111.7</v>
      </c>
      <c r="BV221" s="3">
        <v>132</v>
      </c>
      <c r="BW221" s="3">
        <v>187.6</v>
      </c>
      <c r="BX221" s="3">
        <v>336</v>
      </c>
      <c r="BY221" s="3">
        <v>111.4</v>
      </c>
      <c r="BZ221" s="3">
        <v>273.3</v>
      </c>
      <c r="CA221" s="3">
        <v>251</v>
      </c>
      <c r="CB221" s="3">
        <v>278.39999999999998</v>
      </c>
      <c r="CC221" s="3">
        <v>239.8</v>
      </c>
      <c r="CD221" s="3">
        <v>254.9</v>
      </c>
      <c r="CE221" s="3">
        <v>187.4</v>
      </c>
      <c r="CF221" s="3">
        <v>20.5</v>
      </c>
      <c r="CG221" s="3">
        <v>102.3</v>
      </c>
      <c r="CH221" s="3">
        <v>95.6</v>
      </c>
      <c r="CI221" s="3">
        <v>232.8</v>
      </c>
      <c r="CJ221" s="3">
        <v>144</v>
      </c>
      <c r="CK221" s="3">
        <v>158.9</v>
      </c>
      <c r="CL221" s="3">
        <v>329.6</v>
      </c>
      <c r="CM221" s="3">
        <v>171.5</v>
      </c>
      <c r="CN221" s="3">
        <v>154.4</v>
      </c>
    </row>
    <row r="222" spans="1:92" x14ac:dyDescent="0.25">
      <c r="A222" s="4">
        <v>38473</v>
      </c>
      <c r="B222" s="3">
        <v>152.6</v>
      </c>
      <c r="C222" s="3">
        <v>144.69999999999999</v>
      </c>
      <c r="D222" s="3">
        <v>164.7</v>
      </c>
      <c r="E222" s="3">
        <v>133.9</v>
      </c>
      <c r="F222" s="3">
        <v>190.4</v>
      </c>
      <c r="G222" s="3">
        <v>190.3</v>
      </c>
      <c r="H222" s="3">
        <v>160.6</v>
      </c>
      <c r="I222" s="3">
        <v>173.7</v>
      </c>
      <c r="J222" s="3">
        <v>116.8</v>
      </c>
      <c r="K222" s="3">
        <v>144.1</v>
      </c>
      <c r="L222" s="3">
        <v>155</v>
      </c>
      <c r="M222" s="3">
        <v>162.5</v>
      </c>
      <c r="N222" s="3">
        <v>147.80000000000001</v>
      </c>
      <c r="O222" s="3">
        <v>173.1</v>
      </c>
      <c r="P222" s="3">
        <v>133.19999999999999</v>
      </c>
      <c r="Q222" s="3">
        <v>170.8</v>
      </c>
      <c r="R222" s="3">
        <v>159.5</v>
      </c>
      <c r="S222" s="3">
        <v>184.4</v>
      </c>
      <c r="T222" s="3">
        <v>141.4</v>
      </c>
      <c r="U222" s="3">
        <v>147.1</v>
      </c>
      <c r="V222" s="3">
        <v>115.4</v>
      </c>
      <c r="W222" s="3">
        <v>185.6</v>
      </c>
      <c r="X222" s="3">
        <v>152.30000000000001</v>
      </c>
      <c r="Y222" s="3">
        <v>184.1</v>
      </c>
      <c r="Z222" s="3">
        <v>153.9</v>
      </c>
      <c r="AA222" s="3">
        <v>146.4</v>
      </c>
      <c r="AB222" s="3">
        <v>150</v>
      </c>
      <c r="AC222" s="3">
        <v>137.4</v>
      </c>
      <c r="AD222" s="3">
        <v>125.6</v>
      </c>
      <c r="AE222" s="3">
        <v>169.6</v>
      </c>
      <c r="AF222" s="3">
        <v>152.80000000000001</v>
      </c>
      <c r="AG222" s="3">
        <v>150.30000000000001</v>
      </c>
      <c r="AH222" s="3">
        <v>152.30000000000001</v>
      </c>
      <c r="AI222" s="3">
        <v>152.4</v>
      </c>
      <c r="AJ222" s="3">
        <v>234.4</v>
      </c>
      <c r="AK222" s="3">
        <v>290.39999999999998</v>
      </c>
      <c r="AL222" s="3">
        <v>228.4</v>
      </c>
      <c r="AM222" s="3">
        <v>225.6</v>
      </c>
      <c r="AN222" s="3">
        <v>243.1</v>
      </c>
      <c r="AO222" s="3">
        <v>148</v>
      </c>
      <c r="AP222" s="3">
        <v>184.7</v>
      </c>
      <c r="AQ222" s="3">
        <v>228.3</v>
      </c>
      <c r="AR222" s="3">
        <v>156.80000000000001</v>
      </c>
      <c r="AS222" s="3">
        <v>336.3</v>
      </c>
      <c r="AT222" s="3">
        <v>261.60000000000002</v>
      </c>
      <c r="AU222" s="3">
        <v>270.60000000000002</v>
      </c>
      <c r="AV222" s="3">
        <v>291.39999999999998</v>
      </c>
      <c r="AW222" s="3">
        <v>255.1</v>
      </c>
      <c r="AX222" s="3">
        <v>268.10000000000002</v>
      </c>
      <c r="AY222" s="3">
        <v>335.7</v>
      </c>
      <c r="AZ222" s="3">
        <v>296.2</v>
      </c>
      <c r="BA222" s="3">
        <v>157.4</v>
      </c>
      <c r="BB222" s="3">
        <v>268.60000000000002</v>
      </c>
      <c r="BC222" s="3">
        <v>172</v>
      </c>
      <c r="BD222" s="3">
        <v>150.5</v>
      </c>
      <c r="BE222" s="3">
        <v>154.30000000000001</v>
      </c>
      <c r="BF222" s="3">
        <v>214.9</v>
      </c>
      <c r="BG222" s="3">
        <v>161.19999999999999</v>
      </c>
      <c r="BH222" s="3">
        <v>159.30000000000001</v>
      </c>
      <c r="BI222" s="3">
        <v>78.900000000000006</v>
      </c>
      <c r="BJ222" s="3">
        <v>139.80000000000001</v>
      </c>
      <c r="BK222" s="3">
        <v>157.5</v>
      </c>
      <c r="BL222" s="3">
        <v>164.2</v>
      </c>
      <c r="BM222" s="3">
        <v>176.8</v>
      </c>
      <c r="BN222" s="3">
        <v>89.2</v>
      </c>
      <c r="BO222" s="3">
        <v>274.10000000000002</v>
      </c>
      <c r="BP222" s="3">
        <v>256.8</v>
      </c>
      <c r="BQ222" s="3">
        <v>97.8</v>
      </c>
      <c r="BR222" s="3">
        <v>71.3</v>
      </c>
      <c r="BS222" s="3">
        <v>89.7</v>
      </c>
      <c r="BT222" s="3">
        <v>149.4</v>
      </c>
      <c r="BU222" s="3">
        <v>110.9</v>
      </c>
      <c r="BV222" s="3">
        <v>131.4</v>
      </c>
      <c r="BW222" s="3">
        <v>188.6</v>
      </c>
      <c r="BX222" s="3">
        <v>337.8</v>
      </c>
      <c r="BY222" s="3">
        <v>110.3</v>
      </c>
      <c r="BZ222" s="3">
        <v>274.39999999999998</v>
      </c>
      <c r="CA222" s="3">
        <v>249.7</v>
      </c>
      <c r="CB222" s="3">
        <v>278.89999999999998</v>
      </c>
      <c r="CC222" s="3">
        <v>237.9</v>
      </c>
      <c r="CD222" s="3">
        <v>255.1</v>
      </c>
      <c r="CE222" s="3">
        <v>199.7</v>
      </c>
      <c r="CF222" s="3">
        <v>20.2</v>
      </c>
      <c r="CG222" s="3">
        <v>102.7</v>
      </c>
      <c r="CH222" s="3">
        <v>94.7</v>
      </c>
      <c r="CI222" s="3">
        <v>232.8</v>
      </c>
      <c r="CJ222" s="3">
        <v>143.69999999999999</v>
      </c>
      <c r="CK222" s="3">
        <v>158.9</v>
      </c>
      <c r="CL222" s="3">
        <v>331.3</v>
      </c>
      <c r="CM222" s="3">
        <v>170.9</v>
      </c>
      <c r="CN222" s="3">
        <v>154.80000000000001</v>
      </c>
    </row>
    <row r="223" spans="1:92" x14ac:dyDescent="0.25">
      <c r="A223" s="4">
        <v>38504</v>
      </c>
      <c r="B223" s="3">
        <v>153.80000000000001</v>
      </c>
      <c r="C223" s="3">
        <v>145</v>
      </c>
      <c r="D223" s="3">
        <v>165.1</v>
      </c>
      <c r="E223" s="3">
        <v>135.69999999999999</v>
      </c>
      <c r="F223" s="3">
        <v>192.9</v>
      </c>
      <c r="G223" s="3">
        <v>195.1</v>
      </c>
      <c r="H223" s="3">
        <v>159</v>
      </c>
      <c r="I223" s="3">
        <v>173.6</v>
      </c>
      <c r="J223" s="3">
        <v>111.5</v>
      </c>
      <c r="K223" s="3">
        <v>144.30000000000001</v>
      </c>
      <c r="L223" s="3">
        <v>153.5</v>
      </c>
      <c r="M223" s="3">
        <v>162</v>
      </c>
      <c r="N223" s="3">
        <v>145.30000000000001</v>
      </c>
      <c r="O223" s="3">
        <v>173.2</v>
      </c>
      <c r="P223" s="3">
        <v>130.1</v>
      </c>
      <c r="Q223" s="3">
        <v>172.1</v>
      </c>
      <c r="R223" s="3">
        <v>160.4</v>
      </c>
      <c r="S223" s="3">
        <v>184.6</v>
      </c>
      <c r="T223" s="3">
        <v>142.30000000000001</v>
      </c>
      <c r="U223" s="3">
        <v>139.69999999999999</v>
      </c>
      <c r="V223" s="3">
        <v>117.3</v>
      </c>
      <c r="W223" s="3">
        <v>185.6</v>
      </c>
      <c r="X223" s="3">
        <v>154.9</v>
      </c>
      <c r="Y223" s="3">
        <v>183.7</v>
      </c>
      <c r="Z223" s="3">
        <v>152.6</v>
      </c>
      <c r="AA223" s="3">
        <v>145</v>
      </c>
      <c r="AB223" s="3">
        <v>148.9</v>
      </c>
      <c r="AC223" s="3">
        <v>134.5</v>
      </c>
      <c r="AD223" s="3">
        <v>122.1</v>
      </c>
      <c r="AE223" s="3">
        <v>169.8</v>
      </c>
      <c r="AF223" s="3">
        <v>157.4</v>
      </c>
      <c r="AG223" s="3">
        <v>155.5</v>
      </c>
      <c r="AH223" s="3">
        <v>152.5</v>
      </c>
      <c r="AI223" s="3">
        <v>152.4</v>
      </c>
      <c r="AJ223" s="3">
        <v>234.3</v>
      </c>
      <c r="AK223" s="3">
        <v>290.3</v>
      </c>
      <c r="AL223" s="3">
        <v>228.6</v>
      </c>
      <c r="AM223" s="3">
        <v>226.2</v>
      </c>
      <c r="AN223" s="3">
        <v>243.7</v>
      </c>
      <c r="AO223" s="3">
        <v>148.6</v>
      </c>
      <c r="AP223" s="3">
        <v>184.7</v>
      </c>
      <c r="AQ223" s="3">
        <v>228.7</v>
      </c>
      <c r="AR223" s="3">
        <v>156.6</v>
      </c>
      <c r="AS223" s="3">
        <v>336.4</v>
      </c>
      <c r="AT223" s="3">
        <v>261.60000000000002</v>
      </c>
      <c r="AU223" s="3">
        <v>270.60000000000002</v>
      </c>
      <c r="AV223" s="3">
        <v>293.5</v>
      </c>
      <c r="AW223" s="3">
        <v>256</v>
      </c>
      <c r="AX223" s="3">
        <v>268.10000000000002</v>
      </c>
      <c r="AY223" s="3">
        <v>335.7</v>
      </c>
      <c r="AZ223" s="3">
        <v>297.3</v>
      </c>
      <c r="BA223" s="3">
        <v>157.19999999999999</v>
      </c>
      <c r="BB223" s="3">
        <v>270</v>
      </c>
      <c r="BC223" s="3">
        <v>171.3</v>
      </c>
      <c r="BD223" s="3">
        <v>150.69999999999999</v>
      </c>
      <c r="BE223" s="3">
        <v>154.9</v>
      </c>
      <c r="BF223" s="3">
        <v>232</v>
      </c>
      <c r="BG223" s="3">
        <v>164.2</v>
      </c>
      <c r="BH223" s="3">
        <v>158.19999999999999</v>
      </c>
      <c r="BI223" s="3">
        <v>78.5</v>
      </c>
      <c r="BJ223" s="3">
        <v>139.4</v>
      </c>
      <c r="BK223" s="3">
        <v>157.80000000000001</v>
      </c>
      <c r="BL223" s="3">
        <v>164.6</v>
      </c>
      <c r="BM223" s="3">
        <v>176.8</v>
      </c>
      <c r="BN223" s="3">
        <v>89.4</v>
      </c>
      <c r="BO223" s="3">
        <v>275.3</v>
      </c>
      <c r="BP223" s="3">
        <v>257.8</v>
      </c>
      <c r="BQ223" s="3">
        <v>97.6</v>
      </c>
      <c r="BR223" s="3">
        <v>71</v>
      </c>
      <c r="BS223" s="3">
        <v>89.1</v>
      </c>
      <c r="BT223" s="3">
        <v>149.80000000000001</v>
      </c>
      <c r="BU223" s="3">
        <v>110.9</v>
      </c>
      <c r="BV223" s="3">
        <v>132</v>
      </c>
      <c r="BW223" s="3">
        <v>188</v>
      </c>
      <c r="BX223" s="3">
        <v>338.5</v>
      </c>
      <c r="BY223" s="3">
        <v>109.6</v>
      </c>
      <c r="BZ223" s="3">
        <v>276.5</v>
      </c>
      <c r="CA223" s="3">
        <v>249.7</v>
      </c>
      <c r="CB223" s="3">
        <v>278.10000000000002</v>
      </c>
      <c r="CC223" s="3">
        <v>240.9</v>
      </c>
      <c r="CD223" s="3">
        <v>256.39999999999998</v>
      </c>
      <c r="CE223" s="3">
        <v>199.4</v>
      </c>
      <c r="CF223" s="3">
        <v>19.8</v>
      </c>
      <c r="CG223" s="3">
        <v>101.3</v>
      </c>
      <c r="CH223" s="3">
        <v>95</v>
      </c>
      <c r="CI223" s="3">
        <v>234.7</v>
      </c>
      <c r="CJ223" s="3">
        <v>144.9</v>
      </c>
      <c r="CK223" s="3">
        <v>159</v>
      </c>
      <c r="CL223" s="3">
        <v>331.5</v>
      </c>
      <c r="CM223" s="3">
        <v>170.3</v>
      </c>
      <c r="CN223" s="3">
        <v>155.30000000000001</v>
      </c>
    </row>
    <row r="224" spans="1:92" x14ac:dyDescent="0.25">
      <c r="A224" s="4">
        <v>38534</v>
      </c>
      <c r="B224" s="3">
        <v>154.1</v>
      </c>
      <c r="C224" s="3">
        <v>144.69999999999999</v>
      </c>
      <c r="D224" s="3">
        <v>164.4</v>
      </c>
      <c r="E224" s="3">
        <v>135</v>
      </c>
      <c r="F224" s="3">
        <v>191.3</v>
      </c>
      <c r="G224" s="3">
        <v>192.7</v>
      </c>
      <c r="H224" s="3">
        <v>159.69999999999999</v>
      </c>
      <c r="I224" s="3">
        <v>170.3</v>
      </c>
      <c r="J224" s="3">
        <v>113.4</v>
      </c>
      <c r="K224" s="3">
        <v>144</v>
      </c>
      <c r="L224" s="3">
        <v>152.30000000000001</v>
      </c>
      <c r="M224" s="3">
        <v>164.1</v>
      </c>
      <c r="N224" s="3">
        <v>141.19999999999999</v>
      </c>
      <c r="O224" s="3">
        <v>172.8</v>
      </c>
      <c r="P224" s="3">
        <v>133.1</v>
      </c>
      <c r="Q224" s="3">
        <v>171.9</v>
      </c>
      <c r="R224" s="3">
        <v>159.6</v>
      </c>
      <c r="S224" s="3">
        <v>184.7</v>
      </c>
      <c r="T224" s="3">
        <v>141.6</v>
      </c>
      <c r="U224" s="3">
        <v>146.9</v>
      </c>
      <c r="V224" s="3">
        <v>118</v>
      </c>
      <c r="W224" s="3">
        <v>186.9</v>
      </c>
      <c r="X224" s="3">
        <v>154.69999999999999</v>
      </c>
      <c r="Y224" s="3">
        <v>184.4</v>
      </c>
      <c r="Z224" s="3">
        <v>147.5</v>
      </c>
      <c r="AA224" s="3">
        <v>132.4</v>
      </c>
      <c r="AB224" s="3">
        <v>149.4</v>
      </c>
      <c r="AC224" s="3">
        <v>131.19999999999999</v>
      </c>
      <c r="AD224" s="3">
        <v>118.2</v>
      </c>
      <c r="AE224" s="3">
        <v>169.7</v>
      </c>
      <c r="AF224" s="3">
        <v>140.80000000000001</v>
      </c>
      <c r="AG224" s="3">
        <v>136.6</v>
      </c>
      <c r="AH224" s="3">
        <v>152.6</v>
      </c>
      <c r="AI224" s="3">
        <v>151.19999999999999</v>
      </c>
      <c r="AJ224" s="3">
        <v>234.8</v>
      </c>
      <c r="AK224" s="3">
        <v>290.39999999999998</v>
      </c>
      <c r="AL224" s="3">
        <v>229.1</v>
      </c>
      <c r="AM224" s="3">
        <v>226.5</v>
      </c>
      <c r="AN224" s="3">
        <v>244.1</v>
      </c>
      <c r="AO224" s="3">
        <v>148.4</v>
      </c>
      <c r="AP224" s="3">
        <v>185.5</v>
      </c>
      <c r="AQ224" s="3">
        <v>229.1</v>
      </c>
      <c r="AR224" s="3">
        <v>157.80000000000001</v>
      </c>
      <c r="AS224" s="3">
        <v>336.6</v>
      </c>
      <c r="AT224" s="3">
        <v>261.7</v>
      </c>
      <c r="AU224" s="3">
        <v>272.2</v>
      </c>
      <c r="AV224" s="3">
        <v>295.60000000000002</v>
      </c>
      <c r="AW224" s="3">
        <v>257.5</v>
      </c>
      <c r="AX224" s="3">
        <v>268.10000000000002</v>
      </c>
      <c r="AY224" s="3">
        <v>335.7</v>
      </c>
      <c r="AZ224" s="3">
        <v>299.2</v>
      </c>
      <c r="BA224" s="3">
        <v>157.6</v>
      </c>
      <c r="BB224" s="3">
        <v>271</v>
      </c>
      <c r="BC224" s="3">
        <v>171</v>
      </c>
      <c r="BD224" s="3">
        <v>150.80000000000001</v>
      </c>
      <c r="BE224" s="3">
        <v>155.1</v>
      </c>
      <c r="BF224" s="3">
        <v>245.4</v>
      </c>
      <c r="BG224" s="3">
        <v>165.4</v>
      </c>
      <c r="BH224" s="3">
        <v>154.5</v>
      </c>
      <c r="BI224" s="3">
        <v>78</v>
      </c>
      <c r="BJ224" s="3">
        <v>136.9</v>
      </c>
      <c r="BK224" s="3">
        <v>156.9</v>
      </c>
      <c r="BL224" s="3">
        <v>164.6</v>
      </c>
      <c r="BM224" s="3">
        <v>176.8</v>
      </c>
      <c r="BN224" s="3">
        <v>88.5</v>
      </c>
      <c r="BO224" s="3">
        <v>276.5</v>
      </c>
      <c r="BP224" s="3">
        <v>259.5</v>
      </c>
      <c r="BQ224" s="3">
        <v>94.6</v>
      </c>
      <c r="BR224" s="3">
        <v>66.599999999999994</v>
      </c>
      <c r="BS224" s="3">
        <v>87.6</v>
      </c>
      <c r="BT224" s="3">
        <v>147.6</v>
      </c>
      <c r="BU224" s="3">
        <v>108.7</v>
      </c>
      <c r="BV224" s="3">
        <v>130.30000000000001</v>
      </c>
      <c r="BW224" s="3">
        <v>188.3</v>
      </c>
      <c r="BX224" s="3">
        <v>341.3</v>
      </c>
      <c r="BY224" s="3">
        <v>108.6</v>
      </c>
      <c r="BZ224" s="3">
        <v>276.7</v>
      </c>
      <c r="CA224" s="3">
        <v>257.89999999999998</v>
      </c>
      <c r="CB224" s="3">
        <v>283.5</v>
      </c>
      <c r="CC224" s="3">
        <v>240.1</v>
      </c>
      <c r="CD224" s="3">
        <v>257.7</v>
      </c>
      <c r="CE224" s="3">
        <v>218.7</v>
      </c>
      <c r="CF224" s="3">
        <v>19.600000000000001</v>
      </c>
      <c r="CG224" s="3">
        <v>100.7</v>
      </c>
      <c r="CH224" s="3">
        <v>93.4</v>
      </c>
      <c r="CI224" s="3">
        <v>235.5</v>
      </c>
      <c r="CJ224" s="3">
        <v>143.1</v>
      </c>
      <c r="CK224" s="3">
        <v>159.6</v>
      </c>
      <c r="CL224" s="3">
        <v>335.4</v>
      </c>
      <c r="CM224" s="3">
        <v>169.5</v>
      </c>
      <c r="CN224" s="3">
        <v>156.6</v>
      </c>
    </row>
    <row r="225" spans="1:92" x14ac:dyDescent="0.25">
      <c r="A225" s="4">
        <v>38565</v>
      </c>
      <c r="B225" s="3">
        <v>157.6</v>
      </c>
      <c r="C225" s="3">
        <v>144.9</v>
      </c>
      <c r="D225" s="3">
        <v>165.3</v>
      </c>
      <c r="E225" s="3">
        <v>134.4</v>
      </c>
      <c r="F225" s="3">
        <v>187.2</v>
      </c>
      <c r="G225" s="3">
        <v>184.6</v>
      </c>
      <c r="H225" s="3">
        <v>157.19999999999999</v>
      </c>
      <c r="I225" s="3">
        <v>174.5</v>
      </c>
      <c r="J225" s="3">
        <v>113.4</v>
      </c>
      <c r="K225" s="3">
        <v>144.5</v>
      </c>
      <c r="L225" s="3">
        <v>153.5</v>
      </c>
      <c r="M225" s="3">
        <v>162.6</v>
      </c>
      <c r="N225" s="3">
        <v>144.80000000000001</v>
      </c>
      <c r="O225" s="3">
        <v>172</v>
      </c>
      <c r="P225" s="3">
        <v>133.6</v>
      </c>
      <c r="Q225" s="3">
        <v>174</v>
      </c>
      <c r="R225" s="3">
        <v>160.19999999999999</v>
      </c>
      <c r="S225" s="3">
        <v>184.1</v>
      </c>
      <c r="T225" s="3">
        <v>143.30000000000001</v>
      </c>
      <c r="U225" s="3">
        <v>146.1</v>
      </c>
      <c r="V225" s="3">
        <v>118.9</v>
      </c>
      <c r="W225" s="3">
        <v>186.9</v>
      </c>
      <c r="X225" s="3">
        <v>154.80000000000001</v>
      </c>
      <c r="Y225" s="3">
        <v>184.6</v>
      </c>
      <c r="Z225" s="3">
        <v>143.9</v>
      </c>
      <c r="AA225" s="3">
        <v>127.4</v>
      </c>
      <c r="AB225" s="3">
        <v>147</v>
      </c>
      <c r="AC225" s="3">
        <v>129.69999999999999</v>
      </c>
      <c r="AD225" s="3">
        <v>116.4</v>
      </c>
      <c r="AE225" s="3">
        <v>169.1</v>
      </c>
      <c r="AF225" s="3">
        <v>144.1</v>
      </c>
      <c r="AG225" s="3">
        <v>140.30000000000001</v>
      </c>
      <c r="AH225" s="3">
        <v>152.5</v>
      </c>
      <c r="AI225" s="3">
        <v>150.80000000000001</v>
      </c>
      <c r="AJ225" s="3">
        <v>235.6</v>
      </c>
      <c r="AK225" s="3">
        <v>292.89999999999998</v>
      </c>
      <c r="AL225" s="3">
        <v>229.1</v>
      </c>
      <c r="AM225" s="3">
        <v>226.8</v>
      </c>
      <c r="AN225" s="3">
        <v>244.4</v>
      </c>
      <c r="AO225" s="3">
        <v>148.69999999999999</v>
      </c>
      <c r="AP225" s="3">
        <v>185.3</v>
      </c>
      <c r="AQ225" s="3">
        <v>229.5</v>
      </c>
      <c r="AR225" s="3">
        <v>157.1</v>
      </c>
      <c r="AS225" s="3">
        <v>336.6</v>
      </c>
      <c r="AT225" s="3">
        <v>261.7</v>
      </c>
      <c r="AU225" s="3">
        <v>272.5</v>
      </c>
      <c r="AV225" s="3">
        <v>297.7</v>
      </c>
      <c r="AW225" s="3">
        <v>259.10000000000002</v>
      </c>
      <c r="AX225" s="3">
        <v>268.10000000000002</v>
      </c>
      <c r="AY225" s="3">
        <v>335.7</v>
      </c>
      <c r="AZ225" s="3">
        <v>300.2</v>
      </c>
      <c r="BA225" s="3">
        <v>156.30000000000001</v>
      </c>
      <c r="BB225" s="3">
        <v>271.60000000000002</v>
      </c>
      <c r="BC225" s="3">
        <v>173.2</v>
      </c>
      <c r="BD225" s="3">
        <v>151.19999999999999</v>
      </c>
      <c r="BE225" s="3">
        <v>155.30000000000001</v>
      </c>
      <c r="BF225" s="3">
        <v>257.7</v>
      </c>
      <c r="BG225" s="3">
        <v>160.69999999999999</v>
      </c>
      <c r="BH225" s="3">
        <v>156.69999999999999</v>
      </c>
      <c r="BI225" s="3">
        <v>79.3</v>
      </c>
      <c r="BJ225" s="3">
        <v>139.19999999999999</v>
      </c>
      <c r="BK225" s="3">
        <v>156.9</v>
      </c>
      <c r="BL225" s="3">
        <v>164</v>
      </c>
      <c r="BM225" s="3">
        <v>176.8</v>
      </c>
      <c r="BN225" s="3">
        <v>88.4</v>
      </c>
      <c r="BO225" s="3">
        <v>277.7</v>
      </c>
      <c r="BP225" s="3">
        <v>259.8</v>
      </c>
      <c r="BQ225" s="3">
        <v>95.2</v>
      </c>
      <c r="BR225" s="3">
        <v>69.099999999999994</v>
      </c>
      <c r="BS225" s="3">
        <v>88.1</v>
      </c>
      <c r="BT225" s="3">
        <v>149.30000000000001</v>
      </c>
      <c r="BU225" s="3">
        <v>109.6</v>
      </c>
      <c r="BV225" s="3">
        <v>132</v>
      </c>
      <c r="BW225" s="3">
        <v>188.3</v>
      </c>
      <c r="BX225" s="3">
        <v>341.7</v>
      </c>
      <c r="BY225" s="3">
        <v>107.4</v>
      </c>
      <c r="BZ225" s="3">
        <v>279</v>
      </c>
      <c r="CA225" s="3">
        <v>266.10000000000002</v>
      </c>
      <c r="CB225" s="3">
        <v>277.5</v>
      </c>
      <c r="CC225" s="3">
        <v>240.5</v>
      </c>
      <c r="CD225" s="3">
        <v>257.2</v>
      </c>
      <c r="CE225" s="3">
        <v>225.1</v>
      </c>
      <c r="CF225" s="3">
        <v>19.2</v>
      </c>
      <c r="CG225" s="3">
        <v>98.2</v>
      </c>
      <c r="CH225" s="3">
        <v>93.4</v>
      </c>
      <c r="CI225" s="3">
        <v>234</v>
      </c>
      <c r="CJ225" s="3">
        <v>142.5</v>
      </c>
      <c r="CK225" s="3">
        <v>159.69999999999999</v>
      </c>
      <c r="CL225" s="3">
        <v>332.3</v>
      </c>
      <c r="CM225" s="3">
        <v>169.1</v>
      </c>
      <c r="CN225" s="3">
        <v>157.69999999999999</v>
      </c>
    </row>
    <row r="226" spans="1:92" x14ac:dyDescent="0.25">
      <c r="A226" s="4">
        <v>38596</v>
      </c>
      <c r="B226" s="3">
        <v>158.30000000000001</v>
      </c>
      <c r="C226" s="3">
        <v>144.30000000000001</v>
      </c>
      <c r="D226" s="3">
        <v>166.7</v>
      </c>
      <c r="E226" s="3">
        <v>133.1</v>
      </c>
      <c r="F226" s="3">
        <v>186.4</v>
      </c>
      <c r="G226" s="3">
        <v>183.5</v>
      </c>
      <c r="H226" s="3">
        <v>156.30000000000001</v>
      </c>
      <c r="I226" s="3">
        <v>175.1</v>
      </c>
      <c r="J226" s="3">
        <v>112.8</v>
      </c>
      <c r="K226" s="3">
        <v>145</v>
      </c>
      <c r="L226" s="3">
        <v>153.69999999999999</v>
      </c>
      <c r="M226" s="3">
        <v>163.19999999999999</v>
      </c>
      <c r="N226" s="3">
        <v>144.69999999999999</v>
      </c>
      <c r="O226" s="3">
        <v>172.1</v>
      </c>
      <c r="P226" s="3">
        <v>131.69999999999999</v>
      </c>
      <c r="Q226" s="3">
        <v>175.1</v>
      </c>
      <c r="R226" s="3">
        <v>161.80000000000001</v>
      </c>
      <c r="S226" s="3">
        <v>184.2</v>
      </c>
      <c r="T226" s="3">
        <v>143.80000000000001</v>
      </c>
      <c r="U226" s="3">
        <v>144.9</v>
      </c>
      <c r="V226" s="3">
        <v>118.7</v>
      </c>
      <c r="W226" s="3">
        <v>185.7</v>
      </c>
      <c r="X226" s="3">
        <v>154.5</v>
      </c>
      <c r="Y226" s="3">
        <v>184.8</v>
      </c>
      <c r="Z226" s="3">
        <v>143.6</v>
      </c>
      <c r="AA226" s="3">
        <v>125.9</v>
      </c>
      <c r="AB226" s="3">
        <v>147.6</v>
      </c>
      <c r="AC226" s="3">
        <v>129.4</v>
      </c>
      <c r="AD226" s="3">
        <v>116.4</v>
      </c>
      <c r="AE226" s="3">
        <v>167.9</v>
      </c>
      <c r="AF226" s="3">
        <v>144</v>
      </c>
      <c r="AG226" s="3">
        <v>140.1</v>
      </c>
      <c r="AH226" s="3">
        <v>153.19999999999999</v>
      </c>
      <c r="AI226" s="3">
        <v>149.69999999999999</v>
      </c>
      <c r="AJ226" s="3">
        <v>236</v>
      </c>
      <c r="AK226" s="3">
        <v>294.5</v>
      </c>
      <c r="AL226" s="3">
        <v>229.6</v>
      </c>
      <c r="AM226" s="3">
        <v>227.1</v>
      </c>
      <c r="AN226" s="3">
        <v>244.8</v>
      </c>
      <c r="AO226" s="3">
        <v>148.80000000000001</v>
      </c>
      <c r="AP226" s="3">
        <v>185</v>
      </c>
      <c r="AQ226" s="3">
        <v>229.9</v>
      </c>
      <c r="AR226" s="3">
        <v>156.19999999999999</v>
      </c>
      <c r="AS226" s="3">
        <v>336.7</v>
      </c>
      <c r="AT226" s="3">
        <v>261.89999999999998</v>
      </c>
      <c r="AU226" s="3">
        <v>272.7</v>
      </c>
      <c r="AV226" s="3">
        <v>290.2</v>
      </c>
      <c r="AW226" s="3">
        <v>260.39999999999998</v>
      </c>
      <c r="AX226" s="3">
        <v>268.10000000000002</v>
      </c>
      <c r="AY226" s="3">
        <v>335.7</v>
      </c>
      <c r="AZ226" s="3">
        <v>300.89999999999998</v>
      </c>
      <c r="BA226" s="3">
        <v>156.30000000000001</v>
      </c>
      <c r="BB226" s="3">
        <v>272.7</v>
      </c>
      <c r="BC226" s="3">
        <v>175.4</v>
      </c>
      <c r="BD226" s="3">
        <v>152.80000000000001</v>
      </c>
      <c r="BE226" s="3">
        <v>157.5</v>
      </c>
      <c r="BF226" s="3">
        <v>262.3</v>
      </c>
      <c r="BG226" s="3">
        <v>162.5</v>
      </c>
      <c r="BH226" s="3">
        <v>157.9</v>
      </c>
      <c r="BI226" s="3">
        <v>78.599999999999994</v>
      </c>
      <c r="BJ226" s="3">
        <v>140.9</v>
      </c>
      <c r="BK226" s="3">
        <v>156.69999999999999</v>
      </c>
      <c r="BL226" s="3">
        <v>165.5</v>
      </c>
      <c r="BM226" s="3">
        <v>177</v>
      </c>
      <c r="BN226" s="3">
        <v>88.5</v>
      </c>
      <c r="BO226" s="3">
        <v>279</v>
      </c>
      <c r="BP226" s="3">
        <v>262.8</v>
      </c>
      <c r="BQ226" s="3">
        <v>98.1</v>
      </c>
      <c r="BR226" s="3">
        <v>71.2</v>
      </c>
      <c r="BS226" s="3">
        <v>87</v>
      </c>
      <c r="BT226" s="3">
        <v>150.30000000000001</v>
      </c>
      <c r="BU226" s="3">
        <v>111.4</v>
      </c>
      <c r="BV226" s="3">
        <v>132.80000000000001</v>
      </c>
      <c r="BW226" s="3">
        <v>187.4</v>
      </c>
      <c r="BX226" s="3">
        <v>342.4</v>
      </c>
      <c r="BY226" s="3">
        <v>107.3</v>
      </c>
      <c r="BZ226" s="3">
        <v>280</v>
      </c>
      <c r="CA226" s="3">
        <v>279</v>
      </c>
      <c r="CB226" s="3">
        <v>277.39999999999998</v>
      </c>
      <c r="CC226" s="3">
        <v>239.1</v>
      </c>
      <c r="CD226" s="3">
        <v>258.7</v>
      </c>
      <c r="CE226" s="3">
        <v>203.4</v>
      </c>
      <c r="CF226" s="3">
        <v>19.100000000000001</v>
      </c>
      <c r="CG226" s="3">
        <v>98.1</v>
      </c>
      <c r="CH226" s="3">
        <v>93.8</v>
      </c>
      <c r="CI226" s="3">
        <v>236.4</v>
      </c>
      <c r="CJ226" s="3">
        <v>142.4</v>
      </c>
      <c r="CK226" s="3">
        <v>159.69999999999999</v>
      </c>
      <c r="CL226" s="3">
        <v>341.7</v>
      </c>
      <c r="CM226" s="3">
        <v>168.4</v>
      </c>
      <c r="CN226" s="3">
        <v>158.69999999999999</v>
      </c>
    </row>
    <row r="227" spans="1:92" x14ac:dyDescent="0.25">
      <c r="A227" s="4">
        <v>38626</v>
      </c>
      <c r="B227" s="3">
        <v>159</v>
      </c>
      <c r="C227" s="3">
        <v>143.69999999999999</v>
      </c>
      <c r="D227" s="3">
        <v>165</v>
      </c>
      <c r="E227" s="3">
        <v>131.19999999999999</v>
      </c>
      <c r="F227" s="3">
        <v>184.8</v>
      </c>
      <c r="G227" s="3">
        <v>179.7</v>
      </c>
      <c r="H227" s="3">
        <v>154.5</v>
      </c>
      <c r="I227" s="3">
        <v>175.7</v>
      </c>
      <c r="J227" s="3">
        <v>111.8</v>
      </c>
      <c r="K227" s="3">
        <v>143.1</v>
      </c>
      <c r="L227" s="3">
        <v>155.19999999999999</v>
      </c>
      <c r="M227" s="3">
        <v>165</v>
      </c>
      <c r="N227" s="3">
        <v>145.9</v>
      </c>
      <c r="O227" s="3">
        <v>171.6</v>
      </c>
      <c r="P227" s="3">
        <v>131.6</v>
      </c>
      <c r="Q227" s="3">
        <v>173.8</v>
      </c>
      <c r="R227" s="3">
        <v>162.4</v>
      </c>
      <c r="S227" s="3">
        <v>186.1</v>
      </c>
      <c r="T227" s="3">
        <v>144.4</v>
      </c>
      <c r="U227" s="3">
        <v>145.4</v>
      </c>
      <c r="V227" s="3">
        <v>116.5</v>
      </c>
      <c r="W227" s="3">
        <v>186</v>
      </c>
      <c r="X227" s="3">
        <v>154.80000000000001</v>
      </c>
      <c r="Y227" s="3">
        <v>185.6</v>
      </c>
      <c r="Z227" s="3">
        <v>146.1</v>
      </c>
      <c r="AA227" s="3">
        <v>130.80000000000001</v>
      </c>
      <c r="AB227" s="3">
        <v>148.1</v>
      </c>
      <c r="AC227" s="3">
        <v>125.5</v>
      </c>
      <c r="AD227" s="3">
        <v>111.8</v>
      </c>
      <c r="AE227" s="3">
        <v>167.7</v>
      </c>
      <c r="AF227" s="3">
        <v>145.5</v>
      </c>
      <c r="AG227" s="3">
        <v>141.9</v>
      </c>
      <c r="AH227" s="3">
        <v>152.80000000000001</v>
      </c>
      <c r="AI227" s="3">
        <v>149.9</v>
      </c>
      <c r="AJ227" s="3">
        <v>236.8</v>
      </c>
      <c r="AK227" s="3">
        <v>294.5</v>
      </c>
      <c r="AL227" s="3">
        <v>230.8</v>
      </c>
      <c r="AM227" s="3">
        <v>227.1</v>
      </c>
      <c r="AN227" s="3">
        <v>245.2</v>
      </c>
      <c r="AO227" s="3">
        <v>147.5</v>
      </c>
      <c r="AP227" s="3">
        <v>185.3</v>
      </c>
      <c r="AQ227" s="3">
        <v>230.4</v>
      </c>
      <c r="AR227" s="3">
        <v>156.4</v>
      </c>
      <c r="AS227" s="3">
        <v>339.4</v>
      </c>
      <c r="AT227" s="3">
        <v>264.89999999999998</v>
      </c>
      <c r="AU227" s="3">
        <v>272.8</v>
      </c>
      <c r="AV227" s="3">
        <v>292</v>
      </c>
      <c r="AW227" s="3">
        <v>261.10000000000002</v>
      </c>
      <c r="AX227" s="3">
        <v>268.10000000000002</v>
      </c>
      <c r="AY227" s="3">
        <v>335.7</v>
      </c>
      <c r="AZ227" s="3">
        <v>303</v>
      </c>
      <c r="BA227" s="3">
        <v>156.80000000000001</v>
      </c>
      <c r="BB227" s="3">
        <v>272.39999999999998</v>
      </c>
      <c r="BC227" s="3">
        <v>182.9</v>
      </c>
      <c r="BD227" s="3">
        <v>156.19999999999999</v>
      </c>
      <c r="BE227" s="3">
        <v>163.30000000000001</v>
      </c>
      <c r="BF227" s="3">
        <v>272.10000000000002</v>
      </c>
      <c r="BG227" s="3">
        <v>159.9</v>
      </c>
      <c r="BH227" s="3">
        <v>157.1</v>
      </c>
      <c r="BI227" s="3">
        <v>77.5</v>
      </c>
      <c r="BJ227" s="3">
        <v>140.6</v>
      </c>
      <c r="BK227" s="3">
        <v>156.9</v>
      </c>
      <c r="BL227" s="3">
        <v>165.5</v>
      </c>
      <c r="BM227" s="3">
        <v>177</v>
      </c>
      <c r="BN227" s="3">
        <v>88.4</v>
      </c>
      <c r="BO227" s="3">
        <v>279.3</v>
      </c>
      <c r="BP227" s="3">
        <v>266.10000000000002</v>
      </c>
      <c r="BQ227" s="3">
        <v>97.9</v>
      </c>
      <c r="BR227" s="3">
        <v>71.2</v>
      </c>
      <c r="BS227" s="3">
        <v>88.8</v>
      </c>
      <c r="BT227" s="3">
        <v>149.6</v>
      </c>
      <c r="BU227" s="3">
        <v>110.8</v>
      </c>
      <c r="BV227" s="3">
        <v>132.19999999999999</v>
      </c>
      <c r="BW227" s="3">
        <v>188.6</v>
      </c>
      <c r="BX227" s="3">
        <v>343.1</v>
      </c>
      <c r="BY227" s="3">
        <v>107.2</v>
      </c>
      <c r="BZ227" s="3">
        <v>281.3</v>
      </c>
      <c r="CA227" s="3">
        <v>275.2</v>
      </c>
      <c r="CB227" s="3">
        <v>278.7</v>
      </c>
      <c r="CC227" s="3">
        <v>240.1</v>
      </c>
      <c r="CD227" s="3">
        <v>260</v>
      </c>
      <c r="CE227" s="3">
        <v>202.8</v>
      </c>
      <c r="CF227" s="3">
        <v>18.8</v>
      </c>
      <c r="CG227" s="3">
        <v>99.9</v>
      </c>
      <c r="CH227" s="3">
        <v>93.7</v>
      </c>
      <c r="CI227" s="3">
        <v>236.7</v>
      </c>
      <c r="CJ227" s="3">
        <v>142.6</v>
      </c>
      <c r="CK227" s="3">
        <v>162</v>
      </c>
      <c r="CL227" s="3">
        <v>340.4</v>
      </c>
      <c r="CM227" s="3">
        <v>167.9</v>
      </c>
      <c r="CN227" s="3">
        <v>159</v>
      </c>
    </row>
    <row r="228" spans="1:92" x14ac:dyDescent="0.25">
      <c r="A228" s="4">
        <v>38657</v>
      </c>
      <c r="B228" s="3">
        <v>159.80000000000001</v>
      </c>
      <c r="C228" s="3">
        <v>144.80000000000001</v>
      </c>
      <c r="D228" s="3">
        <v>164.9</v>
      </c>
      <c r="E228" s="3">
        <v>133</v>
      </c>
      <c r="F228" s="3">
        <v>186.9</v>
      </c>
      <c r="G228" s="3">
        <v>181.9</v>
      </c>
      <c r="H228" s="3">
        <v>155.80000000000001</v>
      </c>
      <c r="I228" s="3">
        <v>176.5</v>
      </c>
      <c r="J228" s="3">
        <v>115</v>
      </c>
      <c r="K228" s="3">
        <v>146.19999999999999</v>
      </c>
      <c r="L228" s="3">
        <v>155.69999999999999</v>
      </c>
      <c r="M228" s="3">
        <v>166</v>
      </c>
      <c r="N228" s="3">
        <v>145.9</v>
      </c>
      <c r="O228" s="3">
        <v>171</v>
      </c>
      <c r="P228" s="3">
        <v>130.69999999999999</v>
      </c>
      <c r="Q228" s="3">
        <v>175.5</v>
      </c>
      <c r="R228" s="3">
        <v>162.9</v>
      </c>
      <c r="S228" s="3">
        <v>185.7</v>
      </c>
      <c r="T228" s="3">
        <v>144.4</v>
      </c>
      <c r="U228" s="3">
        <v>144.80000000000001</v>
      </c>
      <c r="V228" s="3">
        <v>118.7</v>
      </c>
      <c r="W228" s="3">
        <v>185.7</v>
      </c>
      <c r="X228" s="3">
        <v>154.80000000000001</v>
      </c>
      <c r="Y228" s="3">
        <v>186.2</v>
      </c>
      <c r="Z228" s="3">
        <v>146.80000000000001</v>
      </c>
      <c r="AA228" s="3">
        <v>134.4</v>
      </c>
      <c r="AB228" s="3">
        <v>146.80000000000001</v>
      </c>
      <c r="AC228" s="3">
        <v>125.6</v>
      </c>
      <c r="AD228" s="3">
        <v>111.6</v>
      </c>
      <c r="AE228" s="3">
        <v>169.2</v>
      </c>
      <c r="AF228" s="3">
        <v>149.19999999999999</v>
      </c>
      <c r="AG228" s="3">
        <v>146.1</v>
      </c>
      <c r="AH228" s="3">
        <v>152.30000000000001</v>
      </c>
      <c r="AI228" s="3">
        <v>149.5</v>
      </c>
      <c r="AJ228" s="3">
        <v>237.3</v>
      </c>
      <c r="AK228" s="3">
        <v>295.60000000000002</v>
      </c>
      <c r="AL228" s="3">
        <v>230.9</v>
      </c>
      <c r="AM228" s="3">
        <v>227</v>
      </c>
      <c r="AN228" s="3">
        <v>245.4</v>
      </c>
      <c r="AO228" s="3">
        <v>146.4</v>
      </c>
      <c r="AP228" s="3">
        <v>184.6</v>
      </c>
      <c r="AQ228" s="3">
        <v>230.6</v>
      </c>
      <c r="AR228" s="3">
        <v>154.80000000000001</v>
      </c>
      <c r="AS228" s="3">
        <v>341.8</v>
      </c>
      <c r="AT228" s="3">
        <v>266.5</v>
      </c>
      <c r="AU228" s="3">
        <v>273</v>
      </c>
      <c r="AV228" s="3">
        <v>294</v>
      </c>
      <c r="AW228" s="3">
        <v>261.5</v>
      </c>
      <c r="AX228" s="3">
        <v>268.10000000000002</v>
      </c>
      <c r="AY228" s="3">
        <v>335.7</v>
      </c>
      <c r="AZ228" s="3">
        <v>303.89999999999998</v>
      </c>
      <c r="BA228" s="3">
        <v>156.5</v>
      </c>
      <c r="BB228" s="3">
        <v>273</v>
      </c>
      <c r="BC228" s="3">
        <v>184.4</v>
      </c>
      <c r="BD228" s="3">
        <v>159.4</v>
      </c>
      <c r="BE228" s="3">
        <v>169.5</v>
      </c>
      <c r="BF228" s="3">
        <v>247.5</v>
      </c>
      <c r="BG228" s="3">
        <v>164.4</v>
      </c>
      <c r="BH228" s="3">
        <v>159.19999999999999</v>
      </c>
      <c r="BI228" s="3">
        <v>76.8</v>
      </c>
      <c r="BJ228" s="3">
        <v>141.4</v>
      </c>
      <c r="BK228" s="3">
        <v>156.5</v>
      </c>
      <c r="BL228" s="3">
        <v>166.1</v>
      </c>
      <c r="BM228" s="3">
        <v>177</v>
      </c>
      <c r="BN228" s="3">
        <v>88.5</v>
      </c>
      <c r="BO228" s="3">
        <v>280.2</v>
      </c>
      <c r="BP228" s="3">
        <v>266.10000000000002</v>
      </c>
      <c r="BQ228" s="3">
        <v>98.1</v>
      </c>
      <c r="BR228" s="3">
        <v>71.7</v>
      </c>
      <c r="BS228" s="3">
        <v>90.2</v>
      </c>
      <c r="BT228" s="3">
        <v>149.69999999999999</v>
      </c>
      <c r="BU228" s="3">
        <v>110.8</v>
      </c>
      <c r="BV228" s="3">
        <v>133</v>
      </c>
      <c r="BW228" s="3">
        <v>188.6</v>
      </c>
      <c r="BX228" s="3">
        <v>343.5</v>
      </c>
      <c r="BY228" s="3">
        <v>107</v>
      </c>
      <c r="BZ228" s="3">
        <v>283.2</v>
      </c>
      <c r="CA228" s="3">
        <v>265.5</v>
      </c>
      <c r="CB228" s="3">
        <v>281.10000000000002</v>
      </c>
      <c r="CC228" s="3">
        <v>241.4</v>
      </c>
      <c r="CD228" s="3">
        <v>258.60000000000002</v>
      </c>
      <c r="CE228" s="3">
        <v>193.5</v>
      </c>
      <c r="CF228" s="3">
        <v>18.7</v>
      </c>
      <c r="CG228" s="3">
        <v>99.3</v>
      </c>
      <c r="CH228" s="3">
        <v>92.8</v>
      </c>
      <c r="CI228" s="3">
        <v>239.5</v>
      </c>
      <c r="CJ228" s="3">
        <v>142.69999999999999</v>
      </c>
      <c r="CK228" s="3">
        <v>162.1</v>
      </c>
      <c r="CL228" s="3">
        <v>342.5</v>
      </c>
      <c r="CM228" s="3">
        <v>167.3</v>
      </c>
      <c r="CN228" s="3">
        <v>158.9</v>
      </c>
    </row>
    <row r="229" spans="1:92" x14ac:dyDescent="0.25">
      <c r="A229" s="4">
        <v>38687</v>
      </c>
      <c r="B229" s="3">
        <v>159.30000000000001</v>
      </c>
      <c r="C229" s="3">
        <v>146.19999999999999</v>
      </c>
      <c r="D229" s="3">
        <v>165.7</v>
      </c>
      <c r="E229" s="3">
        <v>131.6</v>
      </c>
      <c r="F229" s="3">
        <v>185</v>
      </c>
      <c r="G229" s="3">
        <v>186.6</v>
      </c>
      <c r="H229" s="3">
        <v>157.5</v>
      </c>
      <c r="I229" s="3">
        <v>175.6</v>
      </c>
      <c r="J229" s="3">
        <v>112.6</v>
      </c>
      <c r="K229" s="3">
        <v>146</v>
      </c>
      <c r="L229" s="3">
        <v>158.30000000000001</v>
      </c>
      <c r="M229" s="3">
        <v>164.8</v>
      </c>
      <c r="N229" s="3">
        <v>152</v>
      </c>
      <c r="O229" s="3">
        <v>171.5</v>
      </c>
      <c r="P229" s="3">
        <v>131.1</v>
      </c>
      <c r="Q229" s="3">
        <v>176.4</v>
      </c>
      <c r="R229" s="3">
        <v>162.5</v>
      </c>
      <c r="S229" s="3">
        <v>185.6</v>
      </c>
      <c r="T229" s="3">
        <v>144.69999999999999</v>
      </c>
      <c r="U229" s="3">
        <v>145.1</v>
      </c>
      <c r="V229" s="3">
        <v>118.3</v>
      </c>
      <c r="W229" s="3">
        <v>187.6</v>
      </c>
      <c r="X229" s="3">
        <v>155.80000000000001</v>
      </c>
      <c r="Y229" s="3">
        <v>185.9</v>
      </c>
      <c r="Z229" s="3">
        <v>148.80000000000001</v>
      </c>
      <c r="AA229" s="3">
        <v>137.6</v>
      </c>
      <c r="AB229" s="3">
        <v>147.80000000000001</v>
      </c>
      <c r="AC229" s="3">
        <v>131.6</v>
      </c>
      <c r="AD229" s="3">
        <v>118.5</v>
      </c>
      <c r="AE229" s="3">
        <v>170.4</v>
      </c>
      <c r="AF229" s="3">
        <v>148.80000000000001</v>
      </c>
      <c r="AG229" s="3">
        <v>145.69999999999999</v>
      </c>
      <c r="AH229" s="3">
        <v>152.6</v>
      </c>
      <c r="AI229" s="3">
        <v>149.30000000000001</v>
      </c>
      <c r="AJ229" s="3">
        <v>237.7</v>
      </c>
      <c r="AK229" s="3">
        <v>295.8</v>
      </c>
      <c r="AL229" s="3">
        <v>231.6</v>
      </c>
      <c r="AM229" s="3">
        <v>227.1</v>
      </c>
      <c r="AN229" s="3">
        <v>245.7</v>
      </c>
      <c r="AO229" s="3">
        <v>145.6</v>
      </c>
      <c r="AP229" s="3">
        <v>183.6</v>
      </c>
      <c r="AQ229" s="3">
        <v>231</v>
      </c>
      <c r="AR229" s="3">
        <v>152.69999999999999</v>
      </c>
      <c r="AS229" s="3">
        <v>341.8</v>
      </c>
      <c r="AT229" s="3">
        <v>266.60000000000002</v>
      </c>
      <c r="AU229" s="3">
        <v>273.2</v>
      </c>
      <c r="AV229" s="3">
        <v>296.10000000000002</v>
      </c>
      <c r="AW229" s="3">
        <v>261.39999999999998</v>
      </c>
      <c r="AX229" s="3">
        <v>268.10000000000002</v>
      </c>
      <c r="AY229" s="3">
        <v>335.7</v>
      </c>
      <c r="AZ229" s="3">
        <v>304.10000000000002</v>
      </c>
      <c r="BA229" s="3">
        <v>156.9</v>
      </c>
      <c r="BB229" s="3">
        <v>273.60000000000002</v>
      </c>
      <c r="BC229" s="3">
        <v>184.9</v>
      </c>
      <c r="BD229" s="3">
        <v>161.1</v>
      </c>
      <c r="BE229" s="3">
        <v>173</v>
      </c>
      <c r="BF229" s="3">
        <v>254.9</v>
      </c>
      <c r="BG229" s="3">
        <v>178.2</v>
      </c>
      <c r="BH229" s="3">
        <v>161.30000000000001</v>
      </c>
      <c r="BI229" s="3">
        <v>76.400000000000006</v>
      </c>
      <c r="BJ229" s="3">
        <v>142.1</v>
      </c>
      <c r="BK229" s="3">
        <v>157.9</v>
      </c>
      <c r="BL229" s="3">
        <v>166.7</v>
      </c>
      <c r="BM229" s="3">
        <v>177</v>
      </c>
      <c r="BN229" s="3">
        <v>88.6</v>
      </c>
      <c r="BO229" s="3">
        <v>281.10000000000002</v>
      </c>
      <c r="BP229" s="3">
        <v>266.60000000000002</v>
      </c>
      <c r="BQ229" s="3">
        <v>98.4</v>
      </c>
      <c r="BR229" s="3">
        <v>71.400000000000006</v>
      </c>
      <c r="BS229" s="3">
        <v>90.3</v>
      </c>
      <c r="BT229" s="3">
        <v>149.5</v>
      </c>
      <c r="BU229" s="3">
        <v>109.1</v>
      </c>
      <c r="BV229" s="3">
        <v>133.1</v>
      </c>
      <c r="BW229" s="3">
        <v>188</v>
      </c>
      <c r="BX229" s="3">
        <v>344.3</v>
      </c>
      <c r="BY229" s="3">
        <v>106.4</v>
      </c>
      <c r="BZ229" s="3">
        <v>284.3</v>
      </c>
      <c r="CA229" s="3">
        <v>256.89999999999998</v>
      </c>
      <c r="CB229" s="3">
        <v>278.89999999999998</v>
      </c>
      <c r="CC229" s="3">
        <v>240.7</v>
      </c>
      <c r="CD229" s="3">
        <v>259.5</v>
      </c>
      <c r="CE229" s="3">
        <v>204.9</v>
      </c>
      <c r="CF229" s="3">
        <v>18.7</v>
      </c>
      <c r="CG229" s="3">
        <v>100.4</v>
      </c>
      <c r="CH229" s="3">
        <v>92.3</v>
      </c>
      <c r="CI229" s="3">
        <v>238.7</v>
      </c>
      <c r="CJ229" s="3">
        <v>144.19999999999999</v>
      </c>
      <c r="CK229" s="3">
        <v>162.1</v>
      </c>
      <c r="CL229" s="3">
        <v>346.3</v>
      </c>
      <c r="CM229" s="3">
        <v>167.1</v>
      </c>
      <c r="CN229" s="3">
        <v>159.4</v>
      </c>
    </row>
    <row r="230" spans="1:92" x14ac:dyDescent="0.25">
      <c r="A230" s="4">
        <v>38718</v>
      </c>
      <c r="B230" s="3">
        <v>159.69999999999999</v>
      </c>
      <c r="C230" s="3">
        <v>145.5</v>
      </c>
      <c r="D230" s="3">
        <v>165.1</v>
      </c>
      <c r="E230" s="3">
        <v>133.30000000000001</v>
      </c>
      <c r="F230" s="3">
        <v>180.8</v>
      </c>
      <c r="G230" s="3">
        <v>181.5</v>
      </c>
      <c r="H230" s="3">
        <v>158.5</v>
      </c>
      <c r="I230" s="3">
        <v>177.3</v>
      </c>
      <c r="J230" s="3">
        <v>109.1</v>
      </c>
      <c r="K230" s="3">
        <v>145.69999999999999</v>
      </c>
      <c r="L230" s="3">
        <v>158.80000000000001</v>
      </c>
      <c r="M230" s="3">
        <v>164.7</v>
      </c>
      <c r="N230" s="3">
        <v>153</v>
      </c>
      <c r="O230" s="3">
        <v>171.6</v>
      </c>
      <c r="P230" s="3">
        <v>130.1</v>
      </c>
      <c r="Q230" s="3">
        <v>176.8</v>
      </c>
      <c r="R230" s="3">
        <v>160.69999999999999</v>
      </c>
      <c r="S230" s="3">
        <v>186.8</v>
      </c>
      <c r="T230" s="3">
        <v>143.6</v>
      </c>
      <c r="U230" s="3">
        <v>145.5</v>
      </c>
      <c r="V230" s="3">
        <v>116.9</v>
      </c>
      <c r="W230" s="3">
        <v>188.5</v>
      </c>
      <c r="X230" s="3">
        <v>155.9</v>
      </c>
      <c r="Y230" s="3">
        <v>186.5</v>
      </c>
      <c r="Z230" s="3">
        <v>149.69999999999999</v>
      </c>
      <c r="AA230" s="3">
        <v>136</v>
      </c>
      <c r="AB230" s="3">
        <v>150.4</v>
      </c>
      <c r="AC230" s="3">
        <v>132.80000000000001</v>
      </c>
      <c r="AD230" s="3">
        <v>119.8</v>
      </c>
      <c r="AE230" s="3">
        <v>170.7</v>
      </c>
      <c r="AF230" s="3">
        <v>142.69999999999999</v>
      </c>
      <c r="AG230" s="3">
        <v>139.1</v>
      </c>
      <c r="AH230" s="3">
        <v>150.6</v>
      </c>
      <c r="AI230" s="3">
        <v>150</v>
      </c>
      <c r="AJ230" s="3">
        <v>238</v>
      </c>
      <c r="AK230" s="3">
        <v>296.89999999999998</v>
      </c>
      <c r="AL230" s="3">
        <v>231.8</v>
      </c>
      <c r="AM230" s="3">
        <v>227.4</v>
      </c>
      <c r="AN230" s="3">
        <v>245.8</v>
      </c>
      <c r="AO230" s="3">
        <v>146.80000000000001</v>
      </c>
      <c r="AP230" s="3">
        <v>185.4</v>
      </c>
      <c r="AQ230" s="3">
        <v>230.9</v>
      </c>
      <c r="AR230" s="3">
        <v>156</v>
      </c>
      <c r="AS230" s="3">
        <v>342.1</v>
      </c>
      <c r="AT230" s="3">
        <v>266.60000000000002</v>
      </c>
      <c r="AU230" s="3">
        <v>273.60000000000002</v>
      </c>
      <c r="AV230" s="3">
        <v>298.2</v>
      </c>
      <c r="AW230" s="3">
        <v>261.3</v>
      </c>
      <c r="AX230" s="3">
        <v>268.10000000000002</v>
      </c>
      <c r="AY230" s="3">
        <v>335.7</v>
      </c>
      <c r="AZ230" s="3">
        <v>307.89999999999998</v>
      </c>
      <c r="BA230" s="3">
        <v>157.9</v>
      </c>
      <c r="BB230" s="3">
        <v>275.8</v>
      </c>
      <c r="BC230" s="3">
        <v>185</v>
      </c>
      <c r="BD230" s="3">
        <v>162.6</v>
      </c>
      <c r="BE230" s="3">
        <v>174.3</v>
      </c>
      <c r="BF230" s="3">
        <v>261.60000000000002</v>
      </c>
      <c r="BG230" s="3">
        <v>158.5</v>
      </c>
      <c r="BH230" s="3">
        <v>153.80000000000001</v>
      </c>
      <c r="BI230" s="3">
        <v>75.900000000000006</v>
      </c>
      <c r="BJ230" s="3">
        <v>138</v>
      </c>
      <c r="BK230" s="3">
        <v>157.6</v>
      </c>
      <c r="BL230" s="3">
        <v>166.8</v>
      </c>
      <c r="BM230" s="3">
        <v>177</v>
      </c>
      <c r="BN230" s="3">
        <v>89.7</v>
      </c>
      <c r="BO230" s="3">
        <v>283.60000000000002</v>
      </c>
      <c r="BP230" s="3">
        <v>266.39999999999998</v>
      </c>
      <c r="BQ230" s="3">
        <v>93.8</v>
      </c>
      <c r="BR230" s="3">
        <v>67.8</v>
      </c>
      <c r="BS230" s="3">
        <v>86.9</v>
      </c>
      <c r="BT230" s="3">
        <v>146.69999999999999</v>
      </c>
      <c r="BU230" s="3">
        <v>106.8</v>
      </c>
      <c r="BV230" s="3">
        <v>129.9</v>
      </c>
      <c r="BW230" s="3">
        <v>189.1</v>
      </c>
      <c r="BX230" s="3">
        <v>347</v>
      </c>
      <c r="BY230" s="3">
        <v>107.7</v>
      </c>
      <c r="BZ230" s="3">
        <v>288.2</v>
      </c>
      <c r="CA230" s="3">
        <v>261.5</v>
      </c>
      <c r="CB230" s="3">
        <v>279.3</v>
      </c>
      <c r="CC230" s="3">
        <v>245.1</v>
      </c>
      <c r="CD230" s="3">
        <v>267.8</v>
      </c>
      <c r="CE230" s="3">
        <v>193.4</v>
      </c>
      <c r="CF230" s="3">
        <v>18.399999999999999</v>
      </c>
      <c r="CG230" s="3">
        <v>102.9</v>
      </c>
      <c r="CH230" s="3">
        <v>90.3</v>
      </c>
      <c r="CI230" s="3">
        <v>238.2</v>
      </c>
      <c r="CJ230" s="3">
        <v>144.9</v>
      </c>
      <c r="CK230" s="3">
        <v>161.69999999999999</v>
      </c>
      <c r="CL230" s="3">
        <v>342.1</v>
      </c>
      <c r="CM230" s="3">
        <v>166.3</v>
      </c>
      <c r="CN230" s="3">
        <v>159.5</v>
      </c>
    </row>
    <row r="231" spans="1:92" x14ac:dyDescent="0.25">
      <c r="A231" s="4">
        <v>38749</v>
      </c>
      <c r="B231" s="3">
        <v>162.9</v>
      </c>
      <c r="C231" s="3">
        <v>144.5</v>
      </c>
      <c r="D231" s="3">
        <v>166.7</v>
      </c>
      <c r="E231" s="3">
        <v>134.19999999999999</v>
      </c>
      <c r="F231" s="3">
        <v>182.6</v>
      </c>
      <c r="G231" s="3">
        <v>183.9</v>
      </c>
      <c r="H231" s="3">
        <v>159</v>
      </c>
      <c r="I231" s="3">
        <v>175.2</v>
      </c>
      <c r="J231" s="3">
        <v>110.3</v>
      </c>
      <c r="K231" s="3">
        <v>146.4</v>
      </c>
      <c r="L231" s="3">
        <v>159.1</v>
      </c>
      <c r="M231" s="3">
        <v>167.6</v>
      </c>
      <c r="N231" s="3">
        <v>150.80000000000001</v>
      </c>
      <c r="O231" s="3">
        <v>171</v>
      </c>
      <c r="P231" s="3">
        <v>130.6</v>
      </c>
      <c r="Q231" s="3">
        <v>175.1</v>
      </c>
      <c r="R231" s="3">
        <v>157.80000000000001</v>
      </c>
      <c r="S231" s="3">
        <v>191.1</v>
      </c>
      <c r="T231" s="3">
        <v>144.19999999999999</v>
      </c>
      <c r="U231" s="3">
        <v>149.9</v>
      </c>
      <c r="V231" s="3">
        <v>117</v>
      </c>
      <c r="W231" s="3">
        <v>190.1</v>
      </c>
      <c r="X231" s="3">
        <v>156.30000000000001</v>
      </c>
      <c r="Y231" s="3">
        <v>187.4</v>
      </c>
      <c r="Z231" s="3">
        <v>152.1</v>
      </c>
      <c r="AA231" s="3">
        <v>137.30000000000001</v>
      </c>
      <c r="AB231" s="3">
        <v>153.19999999999999</v>
      </c>
      <c r="AC231" s="3">
        <v>135.30000000000001</v>
      </c>
      <c r="AD231" s="3">
        <v>122.9</v>
      </c>
      <c r="AE231" s="3">
        <v>170.6</v>
      </c>
      <c r="AF231" s="3">
        <v>142.69999999999999</v>
      </c>
      <c r="AG231" s="3">
        <v>139</v>
      </c>
      <c r="AH231" s="3">
        <v>150.9</v>
      </c>
      <c r="AI231" s="3">
        <v>149.69999999999999</v>
      </c>
      <c r="AJ231" s="3">
        <v>238</v>
      </c>
      <c r="AK231" s="3">
        <v>296.39999999999998</v>
      </c>
      <c r="AL231" s="3">
        <v>232.5</v>
      </c>
      <c r="AM231" s="3">
        <v>228</v>
      </c>
      <c r="AN231" s="3">
        <v>246.8</v>
      </c>
      <c r="AO231" s="3">
        <v>145.80000000000001</v>
      </c>
      <c r="AP231" s="3">
        <v>185.5</v>
      </c>
      <c r="AQ231" s="3">
        <v>231.9</v>
      </c>
      <c r="AR231" s="3">
        <v>155.6</v>
      </c>
      <c r="AS231" s="3">
        <v>341.9</v>
      </c>
      <c r="AT231" s="3">
        <v>266.89999999999998</v>
      </c>
      <c r="AU231" s="3">
        <v>273.8</v>
      </c>
      <c r="AV231" s="3">
        <v>300.10000000000002</v>
      </c>
      <c r="AW231" s="3">
        <v>262.5</v>
      </c>
      <c r="AX231" s="3">
        <v>268.10000000000002</v>
      </c>
      <c r="AY231" s="3">
        <v>335.7</v>
      </c>
      <c r="AZ231" s="3">
        <v>308.3</v>
      </c>
      <c r="BA231" s="3">
        <v>158</v>
      </c>
      <c r="BB231" s="3">
        <v>280.3</v>
      </c>
      <c r="BC231" s="3">
        <v>185.2</v>
      </c>
      <c r="BD231" s="3">
        <v>164.5</v>
      </c>
      <c r="BE231" s="3">
        <v>175.1</v>
      </c>
      <c r="BF231" s="3">
        <v>266.2</v>
      </c>
      <c r="BG231" s="3">
        <v>159.69999999999999</v>
      </c>
      <c r="BH231" s="3">
        <v>158</v>
      </c>
      <c r="BI231" s="3">
        <v>77.599999999999994</v>
      </c>
      <c r="BJ231" s="3">
        <v>139.69999999999999</v>
      </c>
      <c r="BK231" s="3">
        <v>158.6</v>
      </c>
      <c r="BL231" s="3">
        <v>167.3</v>
      </c>
      <c r="BM231" s="3">
        <v>177</v>
      </c>
      <c r="BN231" s="3">
        <v>89.7</v>
      </c>
      <c r="BO231" s="3">
        <v>284.2</v>
      </c>
      <c r="BP231" s="3">
        <v>265</v>
      </c>
      <c r="BQ231" s="3">
        <v>95.4</v>
      </c>
      <c r="BR231" s="3">
        <v>68.400000000000006</v>
      </c>
      <c r="BS231" s="3">
        <v>85.8</v>
      </c>
      <c r="BT231" s="3">
        <v>147.19999999999999</v>
      </c>
      <c r="BU231" s="3">
        <v>108.1</v>
      </c>
      <c r="BV231" s="3">
        <v>132.30000000000001</v>
      </c>
      <c r="BW231" s="3">
        <v>189.4</v>
      </c>
      <c r="BX231" s="3">
        <v>347.4</v>
      </c>
      <c r="BY231" s="3">
        <v>107.4</v>
      </c>
      <c r="BZ231" s="3">
        <v>288.60000000000002</v>
      </c>
      <c r="CA231" s="3">
        <v>263.10000000000002</v>
      </c>
      <c r="CB231" s="3">
        <v>275.3</v>
      </c>
      <c r="CC231" s="3">
        <v>248</v>
      </c>
      <c r="CD231" s="3">
        <v>267.3</v>
      </c>
      <c r="CE231" s="3">
        <v>192.6</v>
      </c>
      <c r="CF231" s="3">
        <v>18.600000000000001</v>
      </c>
      <c r="CG231" s="3">
        <v>99.2</v>
      </c>
      <c r="CH231" s="3">
        <v>93</v>
      </c>
      <c r="CI231" s="3">
        <v>247</v>
      </c>
      <c r="CJ231" s="3">
        <v>146.4</v>
      </c>
      <c r="CK231" s="3">
        <v>161.69999999999999</v>
      </c>
      <c r="CL231" s="3">
        <v>343.1</v>
      </c>
      <c r="CM231" s="3">
        <v>166.7</v>
      </c>
      <c r="CN231" s="3">
        <v>161.30000000000001</v>
      </c>
    </row>
    <row r="232" spans="1:92" x14ac:dyDescent="0.25">
      <c r="A232" s="4">
        <v>38777</v>
      </c>
      <c r="B232" s="3">
        <v>162.19999999999999</v>
      </c>
      <c r="C232" s="3">
        <v>144.1</v>
      </c>
      <c r="D232" s="3">
        <v>167.8</v>
      </c>
      <c r="E232" s="3">
        <v>132</v>
      </c>
      <c r="F232" s="3">
        <v>180.7</v>
      </c>
      <c r="G232" s="3">
        <v>180.9</v>
      </c>
      <c r="H232" s="3">
        <v>155.80000000000001</v>
      </c>
      <c r="I232" s="3">
        <v>175.5</v>
      </c>
      <c r="J232" s="3">
        <v>108.2</v>
      </c>
      <c r="K232" s="3">
        <v>144.80000000000001</v>
      </c>
      <c r="L232" s="3">
        <v>159</v>
      </c>
      <c r="M232" s="3">
        <v>166.5</v>
      </c>
      <c r="N232" s="3">
        <v>151.6</v>
      </c>
      <c r="O232" s="3">
        <v>169.9</v>
      </c>
      <c r="P232" s="3">
        <v>135.4</v>
      </c>
      <c r="Q232" s="3">
        <v>175</v>
      </c>
      <c r="R232" s="3">
        <v>162.4</v>
      </c>
      <c r="S232" s="3">
        <v>178</v>
      </c>
      <c r="T232" s="3">
        <v>144.4</v>
      </c>
      <c r="U232" s="3">
        <v>145.6</v>
      </c>
      <c r="V232" s="3">
        <v>115.6</v>
      </c>
      <c r="W232" s="3">
        <v>190.2</v>
      </c>
      <c r="X232" s="3">
        <v>155.30000000000001</v>
      </c>
      <c r="Y232" s="3">
        <v>188.3</v>
      </c>
      <c r="Z232" s="3">
        <v>152.30000000000001</v>
      </c>
      <c r="AA232" s="3">
        <v>138.6</v>
      </c>
      <c r="AB232" s="3">
        <v>153</v>
      </c>
      <c r="AC232" s="3">
        <v>135</v>
      </c>
      <c r="AD232" s="3">
        <v>122.6</v>
      </c>
      <c r="AE232" s="3">
        <v>170.3</v>
      </c>
      <c r="AF232" s="3">
        <v>142.1</v>
      </c>
      <c r="AG232" s="3">
        <v>138.19999999999999</v>
      </c>
      <c r="AH232" s="3">
        <v>151.19999999999999</v>
      </c>
      <c r="AI232" s="3">
        <v>149.5</v>
      </c>
      <c r="AJ232" s="3">
        <v>238.5</v>
      </c>
      <c r="AK232" s="3">
        <v>297.2</v>
      </c>
      <c r="AL232" s="3">
        <v>232.7</v>
      </c>
      <c r="AM232" s="3">
        <v>229.2</v>
      </c>
      <c r="AN232" s="3">
        <v>248.2</v>
      </c>
      <c r="AO232" s="3">
        <v>146.4</v>
      </c>
      <c r="AP232" s="3">
        <v>186.6</v>
      </c>
      <c r="AQ232" s="3">
        <v>232.9</v>
      </c>
      <c r="AR232" s="3">
        <v>156.80000000000001</v>
      </c>
      <c r="AS232" s="3">
        <v>342.1</v>
      </c>
      <c r="AT232" s="3">
        <v>267</v>
      </c>
      <c r="AU232" s="3">
        <v>273.8</v>
      </c>
      <c r="AV232" s="3">
        <v>302.39999999999998</v>
      </c>
      <c r="AW232" s="3">
        <v>261.89999999999998</v>
      </c>
      <c r="AX232" s="3">
        <v>268.10000000000002</v>
      </c>
      <c r="AY232" s="3">
        <v>335.7</v>
      </c>
      <c r="AZ232" s="3">
        <v>308.7</v>
      </c>
      <c r="BA232" s="3">
        <v>158.4</v>
      </c>
      <c r="BB232" s="3">
        <v>280.3</v>
      </c>
      <c r="BC232" s="3">
        <v>185.2</v>
      </c>
      <c r="BD232" s="3">
        <v>168.8</v>
      </c>
      <c r="BE232" s="3">
        <v>180.8</v>
      </c>
      <c r="BF232" s="3">
        <v>268.5</v>
      </c>
      <c r="BG232" s="3">
        <v>171.6</v>
      </c>
      <c r="BH232" s="3">
        <v>158.4</v>
      </c>
      <c r="BI232" s="3">
        <v>75.3</v>
      </c>
      <c r="BJ232" s="3">
        <v>140.30000000000001</v>
      </c>
      <c r="BK232" s="3">
        <v>159.4</v>
      </c>
      <c r="BL232" s="3">
        <v>167.6</v>
      </c>
      <c r="BM232" s="3">
        <v>177</v>
      </c>
      <c r="BN232" s="3">
        <v>89.7</v>
      </c>
      <c r="BO232" s="3">
        <v>284.7</v>
      </c>
      <c r="BP232" s="3">
        <v>266.2</v>
      </c>
      <c r="BQ232" s="3">
        <v>96.5</v>
      </c>
      <c r="BR232" s="3">
        <v>70</v>
      </c>
      <c r="BS232" s="3">
        <v>86.5</v>
      </c>
      <c r="BT232" s="3">
        <v>147.69999999999999</v>
      </c>
      <c r="BU232" s="3">
        <v>108.7</v>
      </c>
      <c r="BV232" s="3">
        <v>133.19999999999999</v>
      </c>
      <c r="BW232" s="3">
        <v>189.3</v>
      </c>
      <c r="BX232" s="3">
        <v>347.9</v>
      </c>
      <c r="BY232" s="3">
        <v>107.1</v>
      </c>
      <c r="BZ232" s="3">
        <v>289.60000000000002</v>
      </c>
      <c r="CA232" s="3">
        <v>262.89999999999998</v>
      </c>
      <c r="CB232" s="3">
        <v>282</v>
      </c>
      <c r="CC232" s="3">
        <v>247.9</v>
      </c>
      <c r="CD232" s="3">
        <v>268.8</v>
      </c>
      <c r="CE232" s="3">
        <v>192</v>
      </c>
      <c r="CF232" s="3">
        <v>18</v>
      </c>
      <c r="CG232" s="3">
        <v>100.9</v>
      </c>
      <c r="CH232" s="3">
        <v>91.9</v>
      </c>
      <c r="CI232" s="3">
        <v>246.6</v>
      </c>
      <c r="CJ232" s="3">
        <v>146.19999999999999</v>
      </c>
      <c r="CK232" s="3">
        <v>161.69999999999999</v>
      </c>
      <c r="CL232" s="3">
        <v>342.6</v>
      </c>
      <c r="CM232" s="3">
        <v>166.8</v>
      </c>
      <c r="CN232" s="3">
        <v>161.80000000000001</v>
      </c>
    </row>
    <row r="233" spans="1:92" x14ac:dyDescent="0.25">
      <c r="A233" s="4">
        <v>38808</v>
      </c>
      <c r="B233" s="3">
        <v>163.69999999999999</v>
      </c>
      <c r="C233" s="3">
        <v>143.5</v>
      </c>
      <c r="D233" s="3">
        <v>167.4</v>
      </c>
      <c r="E233" s="3">
        <v>134.30000000000001</v>
      </c>
      <c r="F233" s="3">
        <v>183.9</v>
      </c>
      <c r="G233" s="3">
        <v>185</v>
      </c>
      <c r="H233" s="3">
        <v>155.19999999999999</v>
      </c>
      <c r="I233" s="3">
        <v>174.7</v>
      </c>
      <c r="J233" s="3">
        <v>108.5</v>
      </c>
      <c r="K233" s="3">
        <v>144.6</v>
      </c>
      <c r="L233" s="3">
        <v>160.5</v>
      </c>
      <c r="M233" s="3">
        <v>167.5</v>
      </c>
      <c r="N233" s="3">
        <v>153.6</v>
      </c>
      <c r="O233" s="3">
        <v>168.1</v>
      </c>
      <c r="P233" s="3">
        <v>138.6</v>
      </c>
      <c r="Q233" s="3">
        <v>175.7</v>
      </c>
      <c r="R233" s="3">
        <v>158.19999999999999</v>
      </c>
      <c r="S233" s="3">
        <v>174.9</v>
      </c>
      <c r="T233" s="3">
        <v>144.1</v>
      </c>
      <c r="U233" s="3">
        <v>146.9</v>
      </c>
      <c r="V233" s="3">
        <v>116.4</v>
      </c>
      <c r="W233" s="3">
        <v>191.2</v>
      </c>
      <c r="X233" s="3">
        <v>154.80000000000001</v>
      </c>
      <c r="Y233" s="3">
        <v>190.7</v>
      </c>
      <c r="Z233" s="3">
        <v>151.5</v>
      </c>
      <c r="AA233" s="3">
        <v>139.19999999999999</v>
      </c>
      <c r="AB233" s="3">
        <v>151.6</v>
      </c>
      <c r="AC233" s="3">
        <v>129.80000000000001</v>
      </c>
      <c r="AD233" s="3">
        <v>116.4</v>
      </c>
      <c r="AE233" s="3">
        <v>169.9</v>
      </c>
      <c r="AF233" s="3">
        <v>140.5</v>
      </c>
      <c r="AG233" s="3">
        <v>136.30000000000001</v>
      </c>
      <c r="AH233" s="3">
        <v>152.19999999999999</v>
      </c>
      <c r="AI233" s="3">
        <v>149.30000000000001</v>
      </c>
      <c r="AJ233" s="3">
        <v>238.7</v>
      </c>
      <c r="AK233" s="3">
        <v>297.8</v>
      </c>
      <c r="AL233" s="3">
        <v>233.2</v>
      </c>
      <c r="AM233" s="3">
        <v>230.5</v>
      </c>
      <c r="AN233" s="3">
        <v>249.4</v>
      </c>
      <c r="AO233" s="3">
        <v>148.1</v>
      </c>
      <c r="AP233" s="3">
        <v>186.9</v>
      </c>
      <c r="AQ233" s="3">
        <v>233.9</v>
      </c>
      <c r="AR233" s="3">
        <v>156.5</v>
      </c>
      <c r="AS233" s="3">
        <v>348.5</v>
      </c>
      <c r="AT233" s="3">
        <v>271.10000000000002</v>
      </c>
      <c r="AU233" s="3">
        <v>278</v>
      </c>
      <c r="AV233" s="3">
        <v>304.3</v>
      </c>
      <c r="AW233" s="3">
        <v>263.39999999999998</v>
      </c>
      <c r="AX233" s="3">
        <v>280.60000000000002</v>
      </c>
      <c r="AY233" s="3">
        <v>354.1</v>
      </c>
      <c r="AZ233" s="3">
        <v>310.5</v>
      </c>
      <c r="BA233" s="3">
        <v>158.5</v>
      </c>
      <c r="BB233" s="3">
        <v>280.7</v>
      </c>
      <c r="BC233" s="3">
        <v>185.7</v>
      </c>
      <c r="BD233" s="3">
        <v>176.1</v>
      </c>
      <c r="BE233" s="3">
        <v>192.5</v>
      </c>
      <c r="BF233" s="3">
        <v>275.39999999999998</v>
      </c>
      <c r="BG233" s="3">
        <v>162.1</v>
      </c>
      <c r="BH233" s="3">
        <v>157.80000000000001</v>
      </c>
      <c r="BI233" s="3">
        <v>74.099999999999994</v>
      </c>
      <c r="BJ233" s="3">
        <v>140.80000000000001</v>
      </c>
      <c r="BK233" s="3">
        <v>159.80000000000001</v>
      </c>
      <c r="BL233" s="3">
        <v>168.9</v>
      </c>
      <c r="BM233" s="3">
        <v>188.9</v>
      </c>
      <c r="BN233" s="3">
        <v>89.7</v>
      </c>
      <c r="BO233" s="3">
        <v>286.10000000000002</v>
      </c>
      <c r="BP233" s="3">
        <v>268.60000000000002</v>
      </c>
      <c r="BQ233" s="3">
        <v>96.7</v>
      </c>
      <c r="BR233" s="3">
        <v>70.099999999999994</v>
      </c>
      <c r="BS233" s="3">
        <v>87.6</v>
      </c>
      <c r="BT233" s="3">
        <v>147.5</v>
      </c>
      <c r="BU233" s="3">
        <v>108.8</v>
      </c>
      <c r="BV233" s="3">
        <v>133.4</v>
      </c>
      <c r="BW233" s="3">
        <v>190.8</v>
      </c>
      <c r="BX233" s="3">
        <v>353.3</v>
      </c>
      <c r="BY233" s="3">
        <v>106.9</v>
      </c>
      <c r="BZ233" s="3">
        <v>290.39999999999998</v>
      </c>
      <c r="CA233" s="3">
        <v>273.10000000000002</v>
      </c>
      <c r="CB233" s="3">
        <v>285</v>
      </c>
      <c r="CC233" s="3">
        <v>252</v>
      </c>
      <c r="CD233" s="3">
        <v>256.8</v>
      </c>
      <c r="CE233" s="3">
        <v>201.8</v>
      </c>
      <c r="CF233" s="3">
        <v>17.7</v>
      </c>
      <c r="CG233" s="3">
        <v>99.8</v>
      </c>
      <c r="CH233" s="3">
        <v>90.8</v>
      </c>
      <c r="CI233" s="3">
        <v>245.9</v>
      </c>
      <c r="CJ233" s="3">
        <v>143.80000000000001</v>
      </c>
      <c r="CK233" s="3">
        <v>164</v>
      </c>
      <c r="CL233" s="3">
        <v>349.9</v>
      </c>
      <c r="CM233" s="3">
        <v>168</v>
      </c>
      <c r="CN233" s="3">
        <v>162.4</v>
      </c>
    </row>
    <row r="234" spans="1:92" x14ac:dyDescent="0.25">
      <c r="A234" s="4">
        <v>38838</v>
      </c>
      <c r="B234" s="3">
        <v>163.30000000000001</v>
      </c>
      <c r="C234" s="3">
        <v>142.5</v>
      </c>
      <c r="D234" s="3">
        <v>168.9</v>
      </c>
      <c r="E234" s="3">
        <v>137.1</v>
      </c>
      <c r="F234" s="3">
        <v>188.9</v>
      </c>
      <c r="G234" s="3">
        <v>193.7</v>
      </c>
      <c r="H234" s="3">
        <v>157.1</v>
      </c>
      <c r="I234" s="3">
        <v>177.2</v>
      </c>
      <c r="J234" s="3">
        <v>108.7</v>
      </c>
      <c r="K234" s="3">
        <v>146.1</v>
      </c>
      <c r="L234" s="3">
        <v>159.19999999999999</v>
      </c>
      <c r="M234" s="3">
        <v>167.2</v>
      </c>
      <c r="N234" s="3">
        <v>151.4</v>
      </c>
      <c r="O234" s="3">
        <v>168.6</v>
      </c>
      <c r="P234" s="3">
        <v>143.69999999999999</v>
      </c>
      <c r="Q234" s="3">
        <v>176</v>
      </c>
      <c r="R234" s="3">
        <v>158.9</v>
      </c>
      <c r="S234" s="3">
        <v>173.2</v>
      </c>
      <c r="T234" s="3">
        <v>146</v>
      </c>
      <c r="U234" s="3">
        <v>154.6</v>
      </c>
      <c r="V234" s="3">
        <v>116.5</v>
      </c>
      <c r="W234" s="3">
        <v>192.1</v>
      </c>
      <c r="X234" s="3">
        <v>156.1</v>
      </c>
      <c r="Y234" s="3">
        <v>192.3</v>
      </c>
      <c r="Z234" s="3">
        <v>153.19999999999999</v>
      </c>
      <c r="AA234" s="3">
        <v>147.1</v>
      </c>
      <c r="AB234" s="3">
        <v>150.9</v>
      </c>
      <c r="AC234" s="3">
        <v>137.5</v>
      </c>
      <c r="AD234" s="3">
        <v>125.5</v>
      </c>
      <c r="AE234" s="3">
        <v>170.6</v>
      </c>
      <c r="AF234" s="3">
        <v>149</v>
      </c>
      <c r="AG234" s="3">
        <v>146.1</v>
      </c>
      <c r="AH234" s="3">
        <v>151.5</v>
      </c>
      <c r="AI234" s="3">
        <v>150.4</v>
      </c>
      <c r="AJ234" s="3">
        <v>239.7</v>
      </c>
      <c r="AK234" s="3">
        <v>298.2</v>
      </c>
      <c r="AL234" s="3">
        <v>234.3</v>
      </c>
      <c r="AM234" s="3">
        <v>232.1</v>
      </c>
      <c r="AN234" s="3">
        <v>251.1</v>
      </c>
      <c r="AO234" s="3">
        <v>148.80000000000001</v>
      </c>
      <c r="AP234" s="3">
        <v>187.2</v>
      </c>
      <c r="AQ234" s="3">
        <v>235.2</v>
      </c>
      <c r="AR234" s="3">
        <v>155.9</v>
      </c>
      <c r="AS234" s="3">
        <v>349.7</v>
      </c>
      <c r="AT234" s="3">
        <v>272.10000000000002</v>
      </c>
      <c r="AU234" s="3">
        <v>278.3</v>
      </c>
      <c r="AV234" s="3">
        <v>306.3</v>
      </c>
      <c r="AW234" s="3">
        <v>265.8</v>
      </c>
      <c r="AX234" s="3">
        <v>280.7</v>
      </c>
      <c r="AY234" s="3">
        <v>354.1</v>
      </c>
      <c r="AZ234" s="3">
        <v>311.3</v>
      </c>
      <c r="BA234" s="3">
        <v>157.9</v>
      </c>
      <c r="BB234" s="3">
        <v>281.39999999999998</v>
      </c>
      <c r="BC234" s="3">
        <v>187.6</v>
      </c>
      <c r="BD234" s="3">
        <v>183.5</v>
      </c>
      <c r="BE234" s="3">
        <v>204.4</v>
      </c>
      <c r="BF234" s="3">
        <v>277</v>
      </c>
      <c r="BG234" s="3">
        <v>164.5</v>
      </c>
      <c r="BH234" s="3">
        <v>160.4</v>
      </c>
      <c r="BI234" s="3">
        <v>74.5</v>
      </c>
      <c r="BJ234" s="3">
        <v>141.6</v>
      </c>
      <c r="BK234" s="3">
        <v>159.80000000000001</v>
      </c>
      <c r="BL234" s="3">
        <v>169.9</v>
      </c>
      <c r="BM234" s="3">
        <v>188.9</v>
      </c>
      <c r="BN234" s="3">
        <v>88.4</v>
      </c>
      <c r="BO234" s="3">
        <v>287.3</v>
      </c>
      <c r="BP234" s="3">
        <v>269.10000000000002</v>
      </c>
      <c r="BQ234" s="3">
        <v>97.5</v>
      </c>
      <c r="BR234" s="3">
        <v>70.8</v>
      </c>
      <c r="BS234" s="3">
        <v>89.3</v>
      </c>
      <c r="BT234" s="3">
        <v>148.4</v>
      </c>
      <c r="BU234" s="3">
        <v>109.7</v>
      </c>
      <c r="BV234" s="3">
        <v>134.6</v>
      </c>
      <c r="BW234" s="3">
        <v>190.7</v>
      </c>
      <c r="BX234" s="3">
        <v>356</v>
      </c>
      <c r="BY234" s="3">
        <v>106.8</v>
      </c>
      <c r="BZ234" s="3">
        <v>291.5</v>
      </c>
      <c r="CA234" s="3">
        <v>282.10000000000002</v>
      </c>
      <c r="CB234" s="3">
        <v>280.8</v>
      </c>
      <c r="CC234" s="3">
        <v>251.3</v>
      </c>
      <c r="CD234" s="3">
        <v>253.4</v>
      </c>
      <c r="CE234" s="3">
        <v>198.9</v>
      </c>
      <c r="CF234" s="3">
        <v>17.3</v>
      </c>
      <c r="CG234" s="3">
        <v>100.9</v>
      </c>
      <c r="CH234" s="3">
        <v>90.3</v>
      </c>
      <c r="CI234" s="3">
        <v>246.4</v>
      </c>
      <c r="CJ234" s="3">
        <v>143.9</v>
      </c>
      <c r="CK234" s="3">
        <v>164</v>
      </c>
      <c r="CL234" s="3">
        <v>348.6</v>
      </c>
      <c r="CM234" s="3">
        <v>168.5</v>
      </c>
      <c r="CN234" s="3">
        <v>163.30000000000001</v>
      </c>
    </row>
    <row r="235" spans="1:92" x14ac:dyDescent="0.25">
      <c r="A235" s="4">
        <v>38869</v>
      </c>
      <c r="B235" s="3">
        <v>162.9</v>
      </c>
      <c r="C235" s="3">
        <v>143.69999999999999</v>
      </c>
      <c r="D235" s="3">
        <v>169</v>
      </c>
      <c r="E235" s="3">
        <v>137.30000000000001</v>
      </c>
      <c r="F235" s="3">
        <v>190</v>
      </c>
      <c r="G235" s="3">
        <v>196.7</v>
      </c>
      <c r="H235" s="3">
        <v>157.69999999999999</v>
      </c>
      <c r="I235" s="3">
        <v>180.4</v>
      </c>
      <c r="J235" s="3">
        <v>109.9</v>
      </c>
      <c r="K235" s="3">
        <v>145.9</v>
      </c>
      <c r="L235" s="3">
        <v>162.4</v>
      </c>
      <c r="M235" s="3">
        <v>172.5</v>
      </c>
      <c r="N235" s="3">
        <v>152.69999999999999</v>
      </c>
      <c r="O235" s="3">
        <v>169</v>
      </c>
      <c r="P235" s="3">
        <v>144.9</v>
      </c>
      <c r="Q235" s="3">
        <v>176</v>
      </c>
      <c r="R235" s="3">
        <v>162</v>
      </c>
      <c r="S235" s="3">
        <v>178.2</v>
      </c>
      <c r="T235" s="3">
        <v>145.5</v>
      </c>
      <c r="U235" s="3">
        <v>158.69999999999999</v>
      </c>
      <c r="V235" s="3">
        <v>116</v>
      </c>
      <c r="W235" s="3">
        <v>192.3</v>
      </c>
      <c r="X235" s="3">
        <v>156.30000000000001</v>
      </c>
      <c r="Y235" s="3">
        <v>192.7</v>
      </c>
      <c r="Z235" s="3">
        <v>156.9</v>
      </c>
      <c r="AA235" s="3">
        <v>151</v>
      </c>
      <c r="AB235" s="3">
        <v>154.5</v>
      </c>
      <c r="AC235" s="3">
        <v>138.80000000000001</v>
      </c>
      <c r="AD235" s="3">
        <v>126.9</v>
      </c>
      <c r="AE235" s="3">
        <v>171.4</v>
      </c>
      <c r="AF235" s="3">
        <v>148.5</v>
      </c>
      <c r="AG235" s="3">
        <v>145.5</v>
      </c>
      <c r="AH235" s="3">
        <v>151.30000000000001</v>
      </c>
      <c r="AI235" s="3">
        <v>150.4</v>
      </c>
      <c r="AJ235" s="3">
        <v>240.2</v>
      </c>
      <c r="AK235" s="3">
        <v>298.2</v>
      </c>
      <c r="AL235" s="3">
        <v>234.9</v>
      </c>
      <c r="AM235" s="3">
        <v>232.2</v>
      </c>
      <c r="AN235" s="3">
        <v>251.5</v>
      </c>
      <c r="AO235" s="3">
        <v>147.69999999999999</v>
      </c>
      <c r="AP235" s="3">
        <v>188.2</v>
      </c>
      <c r="AQ235" s="3">
        <v>235.5</v>
      </c>
      <c r="AR235" s="3">
        <v>157.6</v>
      </c>
      <c r="AS235" s="3">
        <v>354.5</v>
      </c>
      <c r="AT235" s="3">
        <v>276.5</v>
      </c>
      <c r="AU235" s="3">
        <v>278.5</v>
      </c>
      <c r="AV235" s="3">
        <v>308.10000000000002</v>
      </c>
      <c r="AW235" s="3">
        <v>267.89999999999998</v>
      </c>
      <c r="AX235" s="3">
        <v>280.7</v>
      </c>
      <c r="AY235" s="3">
        <v>354.1</v>
      </c>
      <c r="AZ235" s="3">
        <v>311.89999999999998</v>
      </c>
      <c r="BA235" s="3">
        <v>158.19999999999999</v>
      </c>
      <c r="BB235" s="3">
        <v>278.60000000000002</v>
      </c>
      <c r="BC235" s="3">
        <v>183.9</v>
      </c>
      <c r="BD235" s="3">
        <v>187.9</v>
      </c>
      <c r="BE235" s="3">
        <v>210.4</v>
      </c>
      <c r="BF235" s="3">
        <v>276.60000000000002</v>
      </c>
      <c r="BG235" s="3">
        <v>169.9</v>
      </c>
      <c r="BH235" s="3">
        <v>159.6</v>
      </c>
      <c r="BI235" s="3">
        <v>74.400000000000006</v>
      </c>
      <c r="BJ235" s="3">
        <v>142.5</v>
      </c>
      <c r="BK235" s="3">
        <v>160.80000000000001</v>
      </c>
      <c r="BL235" s="3">
        <v>170</v>
      </c>
      <c r="BM235" s="3">
        <v>188.9</v>
      </c>
      <c r="BN235" s="3">
        <v>88.6</v>
      </c>
      <c r="BO235" s="3">
        <v>289.10000000000002</v>
      </c>
      <c r="BP235" s="3">
        <v>270.89999999999998</v>
      </c>
      <c r="BQ235" s="3">
        <v>96.6</v>
      </c>
      <c r="BR235" s="3">
        <v>70.400000000000006</v>
      </c>
      <c r="BS235" s="3">
        <v>89.4</v>
      </c>
      <c r="BT235" s="3">
        <v>148.30000000000001</v>
      </c>
      <c r="BU235" s="3">
        <v>109.3</v>
      </c>
      <c r="BV235" s="3">
        <v>135.9</v>
      </c>
      <c r="BW235" s="3">
        <v>190.6</v>
      </c>
      <c r="BX235" s="3">
        <v>356.6</v>
      </c>
      <c r="BY235" s="3">
        <v>106.4</v>
      </c>
      <c r="BZ235" s="3">
        <v>292.89999999999998</v>
      </c>
      <c r="CA235" s="3">
        <v>279.60000000000002</v>
      </c>
      <c r="CB235" s="3">
        <v>283.5</v>
      </c>
      <c r="CC235" s="3">
        <v>250.5</v>
      </c>
      <c r="CD235" s="3">
        <v>253.6</v>
      </c>
      <c r="CE235" s="3">
        <v>201.3</v>
      </c>
      <c r="CF235" s="3">
        <v>17.2</v>
      </c>
      <c r="CG235" s="3">
        <v>100.1</v>
      </c>
      <c r="CH235" s="3">
        <v>90</v>
      </c>
      <c r="CI235" s="3">
        <v>247.4</v>
      </c>
      <c r="CJ235" s="3">
        <v>145.4</v>
      </c>
      <c r="CK235" s="3">
        <v>164.1</v>
      </c>
      <c r="CL235" s="3">
        <v>348.7</v>
      </c>
      <c r="CM235" s="3">
        <v>167.9</v>
      </c>
      <c r="CN235" s="3">
        <v>163.6</v>
      </c>
    </row>
    <row r="236" spans="1:92" x14ac:dyDescent="0.25">
      <c r="A236" s="4">
        <v>38899</v>
      </c>
      <c r="B236" s="3">
        <v>163.6</v>
      </c>
      <c r="C236" s="3">
        <v>144.30000000000001</v>
      </c>
      <c r="D236" s="3">
        <v>168.8</v>
      </c>
      <c r="E236" s="3">
        <v>142.1</v>
      </c>
      <c r="F236" s="3">
        <v>190</v>
      </c>
      <c r="G236" s="3">
        <v>193.5</v>
      </c>
      <c r="H236" s="3">
        <v>159.9</v>
      </c>
      <c r="I236" s="3">
        <v>183.2</v>
      </c>
      <c r="J236" s="3">
        <v>111.4</v>
      </c>
      <c r="K236" s="3">
        <v>146.4</v>
      </c>
      <c r="L236" s="3">
        <v>164.8</v>
      </c>
      <c r="M236" s="3">
        <v>176.8</v>
      </c>
      <c r="N236" s="3">
        <v>153.19999999999999</v>
      </c>
      <c r="O236" s="3">
        <v>169.6</v>
      </c>
      <c r="P236" s="3">
        <v>144.9</v>
      </c>
      <c r="Q236" s="3">
        <v>175.1</v>
      </c>
      <c r="R236" s="3">
        <v>162.30000000000001</v>
      </c>
      <c r="S236" s="3">
        <v>187.9</v>
      </c>
      <c r="T236" s="3">
        <v>147.19999999999999</v>
      </c>
      <c r="U236" s="3">
        <v>157.9</v>
      </c>
      <c r="V236" s="3">
        <v>116.1</v>
      </c>
      <c r="W236" s="3">
        <v>192.2</v>
      </c>
      <c r="X236" s="3">
        <v>156.4</v>
      </c>
      <c r="Y236" s="3">
        <v>192.1</v>
      </c>
      <c r="Z236" s="3">
        <v>153.69999999999999</v>
      </c>
      <c r="AA236" s="3">
        <v>149.4</v>
      </c>
      <c r="AB236" s="3">
        <v>150.9</v>
      </c>
      <c r="AC236" s="3">
        <v>137.5</v>
      </c>
      <c r="AD236" s="3">
        <v>125.4</v>
      </c>
      <c r="AE236" s="3">
        <v>171.2</v>
      </c>
      <c r="AF236" s="3">
        <v>142.30000000000001</v>
      </c>
      <c r="AG236" s="3">
        <v>138.6</v>
      </c>
      <c r="AH236" s="3">
        <v>150.69999999999999</v>
      </c>
      <c r="AI236" s="3">
        <v>150</v>
      </c>
      <c r="AJ236" s="3">
        <v>240.7</v>
      </c>
      <c r="AK236" s="3">
        <v>298.5</v>
      </c>
      <c r="AL236" s="3">
        <v>235.8</v>
      </c>
      <c r="AM236" s="3">
        <v>232.7</v>
      </c>
      <c r="AN236" s="3">
        <v>252.1</v>
      </c>
      <c r="AO236" s="3">
        <v>147.80000000000001</v>
      </c>
      <c r="AP236" s="3">
        <v>187.7</v>
      </c>
      <c r="AQ236" s="3">
        <v>235.8</v>
      </c>
      <c r="AR236" s="3">
        <v>156.4</v>
      </c>
      <c r="AS236" s="3">
        <v>354.7</v>
      </c>
      <c r="AT236" s="3">
        <v>276.5</v>
      </c>
      <c r="AU236" s="3">
        <v>280.5</v>
      </c>
      <c r="AV236" s="3">
        <v>310.10000000000002</v>
      </c>
      <c r="AW236" s="3">
        <v>269.8</v>
      </c>
      <c r="AX236" s="3">
        <v>280.7</v>
      </c>
      <c r="AY236" s="3">
        <v>354.1</v>
      </c>
      <c r="AZ236" s="3">
        <v>313.39999999999998</v>
      </c>
      <c r="BA236" s="3">
        <v>158.4</v>
      </c>
      <c r="BB236" s="3">
        <v>278.5</v>
      </c>
      <c r="BC236" s="3">
        <v>183.7</v>
      </c>
      <c r="BD236" s="3">
        <v>189.9</v>
      </c>
      <c r="BE236" s="3">
        <v>212.6</v>
      </c>
      <c r="BF236" s="3">
        <v>285.39999999999998</v>
      </c>
      <c r="BG236" s="3">
        <v>162.4</v>
      </c>
      <c r="BH236" s="3">
        <v>155.9</v>
      </c>
      <c r="BI236" s="3">
        <v>75.599999999999994</v>
      </c>
      <c r="BJ236" s="3">
        <v>137.4</v>
      </c>
      <c r="BK236" s="3">
        <v>159.80000000000001</v>
      </c>
      <c r="BL236" s="3">
        <v>170.5</v>
      </c>
      <c r="BM236" s="3">
        <v>188.9</v>
      </c>
      <c r="BN236" s="3">
        <v>88.5</v>
      </c>
      <c r="BO236" s="3">
        <v>290.89999999999998</v>
      </c>
      <c r="BP236" s="3">
        <v>271.2</v>
      </c>
      <c r="BQ236" s="3">
        <v>93.5</v>
      </c>
      <c r="BR236" s="3">
        <v>65.2</v>
      </c>
      <c r="BS236" s="3">
        <v>88</v>
      </c>
      <c r="BT236" s="3">
        <v>146.1</v>
      </c>
      <c r="BU236" s="3">
        <v>107.5</v>
      </c>
      <c r="BV236" s="3">
        <v>134</v>
      </c>
      <c r="BW236" s="3">
        <v>189.4</v>
      </c>
      <c r="BX236" s="3">
        <v>356.6</v>
      </c>
      <c r="BY236" s="3">
        <v>106.1</v>
      </c>
      <c r="BZ236" s="3">
        <v>294.39999999999998</v>
      </c>
      <c r="CA236" s="3">
        <v>284.7</v>
      </c>
      <c r="CB236" s="3">
        <v>286.89999999999998</v>
      </c>
      <c r="CC236" s="3">
        <v>251.8</v>
      </c>
      <c r="CD236" s="3">
        <v>254</v>
      </c>
      <c r="CE236" s="3">
        <v>216.2</v>
      </c>
      <c r="CF236" s="3">
        <v>17.100000000000001</v>
      </c>
      <c r="CG236" s="3">
        <v>99.3</v>
      </c>
      <c r="CH236" s="3">
        <v>89.1</v>
      </c>
      <c r="CI236" s="3">
        <v>249.4</v>
      </c>
      <c r="CJ236" s="3">
        <v>144.1</v>
      </c>
      <c r="CK236" s="3">
        <v>164.7</v>
      </c>
      <c r="CL236" s="3">
        <v>351.4</v>
      </c>
      <c r="CM236" s="3">
        <v>168.7</v>
      </c>
      <c r="CN236" s="3">
        <v>164.9</v>
      </c>
    </row>
    <row r="237" spans="1:92" x14ac:dyDescent="0.25">
      <c r="A237" s="4">
        <v>38930</v>
      </c>
      <c r="B237" s="3">
        <v>165.1</v>
      </c>
      <c r="C237" s="3">
        <v>144</v>
      </c>
      <c r="D237" s="3">
        <v>169.5</v>
      </c>
      <c r="E237" s="3">
        <v>140.1</v>
      </c>
      <c r="F237" s="3">
        <v>189.9</v>
      </c>
      <c r="G237" s="3">
        <v>195.3</v>
      </c>
      <c r="H237" s="3">
        <v>158.9</v>
      </c>
      <c r="I237" s="3">
        <v>185.1</v>
      </c>
      <c r="J237" s="3">
        <v>110.5</v>
      </c>
      <c r="K237" s="3">
        <v>148</v>
      </c>
      <c r="L237" s="3">
        <v>166.9</v>
      </c>
      <c r="M237" s="3">
        <v>178.6</v>
      </c>
      <c r="N237" s="3">
        <v>155.6</v>
      </c>
      <c r="O237" s="3">
        <v>173.8</v>
      </c>
      <c r="P237" s="3">
        <v>145.6</v>
      </c>
      <c r="Q237" s="3">
        <v>176.4</v>
      </c>
      <c r="R237" s="3">
        <v>166.8</v>
      </c>
      <c r="S237" s="3">
        <v>188.4</v>
      </c>
      <c r="T237" s="3">
        <v>147.5</v>
      </c>
      <c r="U237" s="3">
        <v>161.1</v>
      </c>
      <c r="V237" s="3">
        <v>123.3</v>
      </c>
      <c r="W237" s="3">
        <v>191</v>
      </c>
      <c r="X237" s="3">
        <v>156.80000000000001</v>
      </c>
      <c r="Y237" s="3">
        <v>193.8</v>
      </c>
      <c r="Z237" s="3">
        <v>151</v>
      </c>
      <c r="AA237" s="3">
        <v>138.69999999999999</v>
      </c>
      <c r="AB237" s="3">
        <v>151.19999999999999</v>
      </c>
      <c r="AC237" s="3">
        <v>135</v>
      </c>
      <c r="AD237" s="3">
        <v>121.9</v>
      </c>
      <c r="AE237" s="3">
        <v>173</v>
      </c>
      <c r="AF237" s="3">
        <v>144.69999999999999</v>
      </c>
      <c r="AG237" s="3">
        <v>141.5</v>
      </c>
      <c r="AH237" s="3">
        <v>150</v>
      </c>
      <c r="AI237" s="3">
        <v>151.30000000000001</v>
      </c>
      <c r="AJ237" s="3">
        <v>241.1</v>
      </c>
      <c r="AK237" s="3">
        <v>298.3</v>
      </c>
      <c r="AL237" s="3">
        <v>236.5</v>
      </c>
      <c r="AM237" s="3">
        <v>233.1</v>
      </c>
      <c r="AN237" s="3">
        <v>252.6</v>
      </c>
      <c r="AO237" s="3">
        <v>147.80000000000001</v>
      </c>
      <c r="AP237" s="3">
        <v>189</v>
      </c>
      <c r="AQ237" s="3">
        <v>236.6</v>
      </c>
      <c r="AR237" s="3">
        <v>158.19999999999999</v>
      </c>
      <c r="AS237" s="3">
        <v>355.2</v>
      </c>
      <c r="AT237" s="3">
        <v>276.7</v>
      </c>
      <c r="AU237" s="3">
        <v>280.60000000000002</v>
      </c>
      <c r="AV237" s="3">
        <v>312.5</v>
      </c>
      <c r="AW237" s="3">
        <v>273</v>
      </c>
      <c r="AX237" s="3">
        <v>280.7</v>
      </c>
      <c r="AY237" s="3">
        <v>354.1</v>
      </c>
      <c r="AZ237" s="3">
        <v>314.3</v>
      </c>
      <c r="BA237" s="3">
        <v>159.69999999999999</v>
      </c>
      <c r="BB237" s="3">
        <v>280</v>
      </c>
      <c r="BC237" s="3">
        <v>185.3</v>
      </c>
      <c r="BD237" s="3">
        <v>191.3</v>
      </c>
      <c r="BE237" s="3">
        <v>215.1</v>
      </c>
      <c r="BF237" s="3">
        <v>280</v>
      </c>
      <c r="BG237" s="3">
        <v>163.6</v>
      </c>
      <c r="BH237" s="3">
        <v>159.1</v>
      </c>
      <c r="BI237" s="3">
        <v>76.099999999999994</v>
      </c>
      <c r="BJ237" s="3">
        <v>140</v>
      </c>
      <c r="BK237" s="3">
        <v>159.6</v>
      </c>
      <c r="BL237" s="3">
        <v>169.6</v>
      </c>
      <c r="BM237" s="3">
        <v>188.9</v>
      </c>
      <c r="BN237" s="3">
        <v>87.9</v>
      </c>
      <c r="BO237" s="3">
        <v>291.89999999999998</v>
      </c>
      <c r="BP237" s="3">
        <v>272.2</v>
      </c>
      <c r="BQ237" s="3">
        <v>94.8</v>
      </c>
      <c r="BR237" s="3">
        <v>67.8</v>
      </c>
      <c r="BS237" s="3">
        <v>89.4</v>
      </c>
      <c r="BT237" s="3">
        <v>148.9</v>
      </c>
      <c r="BU237" s="3">
        <v>108.3</v>
      </c>
      <c r="BV237" s="3">
        <v>135.80000000000001</v>
      </c>
      <c r="BW237" s="3">
        <v>190.2</v>
      </c>
      <c r="BX237" s="3">
        <v>357.4</v>
      </c>
      <c r="BY237" s="3">
        <v>105.6</v>
      </c>
      <c r="BZ237" s="3">
        <v>295.2</v>
      </c>
      <c r="CA237" s="3">
        <v>286.2</v>
      </c>
      <c r="CB237" s="3">
        <v>283.7</v>
      </c>
      <c r="CC237" s="3">
        <v>254.1</v>
      </c>
      <c r="CD237" s="3">
        <v>254.8</v>
      </c>
      <c r="CE237" s="3">
        <v>218</v>
      </c>
      <c r="CF237" s="3">
        <v>17.2</v>
      </c>
      <c r="CG237" s="3">
        <v>96.4</v>
      </c>
      <c r="CH237" s="3">
        <v>90.1</v>
      </c>
      <c r="CI237" s="3">
        <v>249</v>
      </c>
      <c r="CJ237" s="3">
        <v>143.9</v>
      </c>
      <c r="CK237" s="3">
        <v>164.7</v>
      </c>
      <c r="CL237" s="3">
        <v>348.4</v>
      </c>
      <c r="CM237" s="3">
        <v>169.3</v>
      </c>
      <c r="CN237" s="3">
        <v>165.8</v>
      </c>
    </row>
    <row r="238" spans="1:92" x14ac:dyDescent="0.25">
      <c r="A238" s="4">
        <v>38961</v>
      </c>
      <c r="B238" s="3">
        <v>166.8</v>
      </c>
      <c r="C238" s="3">
        <v>144.9</v>
      </c>
      <c r="D238" s="3">
        <v>169</v>
      </c>
      <c r="E238" s="3">
        <v>141.69999999999999</v>
      </c>
      <c r="F238" s="3">
        <v>189.6</v>
      </c>
      <c r="G238" s="3">
        <v>191.8</v>
      </c>
      <c r="H238" s="3">
        <v>155.6</v>
      </c>
      <c r="I238" s="3">
        <v>184.6</v>
      </c>
      <c r="J238" s="3">
        <v>106.8</v>
      </c>
      <c r="K238" s="3">
        <v>148</v>
      </c>
      <c r="L238" s="3">
        <v>167.6</v>
      </c>
      <c r="M238" s="3">
        <v>180.6</v>
      </c>
      <c r="N238" s="3">
        <v>155.19999999999999</v>
      </c>
      <c r="O238" s="3">
        <v>173.5</v>
      </c>
      <c r="P238" s="3">
        <v>143.30000000000001</v>
      </c>
      <c r="Q238" s="3">
        <v>175.9</v>
      </c>
      <c r="R238" s="3">
        <v>168.1</v>
      </c>
      <c r="S238" s="3">
        <v>188.2</v>
      </c>
      <c r="T238" s="3">
        <v>147.80000000000001</v>
      </c>
      <c r="U238" s="3">
        <v>162.4</v>
      </c>
      <c r="V238" s="3">
        <v>125</v>
      </c>
      <c r="W238" s="3">
        <v>193.6</v>
      </c>
      <c r="X238" s="3">
        <v>158.4</v>
      </c>
      <c r="Y238" s="3">
        <v>193.9</v>
      </c>
      <c r="Z238" s="3">
        <v>151.69999999999999</v>
      </c>
      <c r="AA238" s="3">
        <v>141.4</v>
      </c>
      <c r="AB238" s="3">
        <v>151.1</v>
      </c>
      <c r="AC238" s="3">
        <v>136.30000000000001</v>
      </c>
      <c r="AD238" s="3">
        <v>122.4</v>
      </c>
      <c r="AE238" s="3">
        <v>177.9</v>
      </c>
      <c r="AF238" s="3">
        <v>150.1</v>
      </c>
      <c r="AG238" s="3">
        <v>147.4</v>
      </c>
      <c r="AH238" s="3">
        <v>151.19999999999999</v>
      </c>
      <c r="AI238" s="3">
        <v>150.69999999999999</v>
      </c>
      <c r="AJ238" s="3">
        <v>240.8</v>
      </c>
      <c r="AK238" s="3">
        <v>301.60000000000002</v>
      </c>
      <c r="AL238" s="3">
        <v>237</v>
      </c>
      <c r="AM238" s="3">
        <v>233.3</v>
      </c>
      <c r="AN238" s="3">
        <v>252.8</v>
      </c>
      <c r="AO238" s="3">
        <v>148.1</v>
      </c>
      <c r="AP238" s="3">
        <v>189</v>
      </c>
      <c r="AQ238" s="3">
        <v>237.1</v>
      </c>
      <c r="AR238" s="3">
        <v>157.80000000000001</v>
      </c>
      <c r="AS238" s="3">
        <v>355.4</v>
      </c>
      <c r="AT238" s="3">
        <v>276.7</v>
      </c>
      <c r="AU238" s="3">
        <v>280.60000000000002</v>
      </c>
      <c r="AV238" s="3">
        <v>327.8</v>
      </c>
      <c r="AW238" s="3">
        <v>276.2</v>
      </c>
      <c r="AX238" s="3">
        <v>280.7</v>
      </c>
      <c r="AY238" s="3">
        <v>354.1</v>
      </c>
      <c r="AZ238" s="3">
        <v>315.39999999999998</v>
      </c>
      <c r="BA238" s="3">
        <v>161</v>
      </c>
      <c r="BB238" s="3">
        <v>280.5</v>
      </c>
      <c r="BC238" s="3">
        <v>187.6</v>
      </c>
      <c r="BD238" s="3">
        <v>193.7</v>
      </c>
      <c r="BE238" s="3">
        <v>220.3</v>
      </c>
      <c r="BF238" s="3">
        <v>267.3</v>
      </c>
      <c r="BG238" s="3">
        <v>169.4</v>
      </c>
      <c r="BH238" s="3">
        <v>158.19999999999999</v>
      </c>
      <c r="BI238" s="3">
        <v>79</v>
      </c>
      <c r="BJ238" s="3">
        <v>141.5</v>
      </c>
      <c r="BK238" s="3">
        <v>160.19999999999999</v>
      </c>
      <c r="BL238" s="3">
        <v>171.2</v>
      </c>
      <c r="BM238" s="3">
        <v>200.2</v>
      </c>
      <c r="BN238" s="3">
        <v>87.8</v>
      </c>
      <c r="BO238" s="3">
        <v>293.7</v>
      </c>
      <c r="BP238" s="3">
        <v>277.8</v>
      </c>
      <c r="BQ238" s="3">
        <v>97.8</v>
      </c>
      <c r="BR238" s="3">
        <v>69.8</v>
      </c>
      <c r="BS238" s="3">
        <v>89</v>
      </c>
      <c r="BT238" s="3">
        <v>150.4</v>
      </c>
      <c r="BU238" s="3">
        <v>110.3</v>
      </c>
      <c r="BV238" s="3">
        <v>137.19999999999999</v>
      </c>
      <c r="BW238" s="3">
        <v>190.7</v>
      </c>
      <c r="BX238" s="3">
        <v>357.6</v>
      </c>
      <c r="BY238" s="3">
        <v>105.5</v>
      </c>
      <c r="BZ238" s="3">
        <v>296.39999999999998</v>
      </c>
      <c r="CA238" s="3">
        <v>268.60000000000002</v>
      </c>
      <c r="CB238" s="3">
        <v>283.3</v>
      </c>
      <c r="CC238" s="3">
        <v>248</v>
      </c>
      <c r="CD238" s="3">
        <v>257.3</v>
      </c>
      <c r="CE238" s="3">
        <v>201.3</v>
      </c>
      <c r="CF238" s="3">
        <v>17.2</v>
      </c>
      <c r="CG238" s="3">
        <v>97.3</v>
      </c>
      <c r="CH238" s="3">
        <v>89.7</v>
      </c>
      <c r="CI238" s="3">
        <v>252.6</v>
      </c>
      <c r="CJ238" s="3">
        <v>143.6</v>
      </c>
      <c r="CK238" s="3">
        <v>164.7</v>
      </c>
      <c r="CL238" s="3">
        <v>358.7</v>
      </c>
      <c r="CM238" s="3">
        <v>169.1</v>
      </c>
      <c r="CN238" s="3">
        <v>165.5</v>
      </c>
    </row>
    <row r="239" spans="1:92" x14ac:dyDescent="0.25">
      <c r="A239" s="4">
        <v>38991</v>
      </c>
      <c r="B239" s="3">
        <v>166.8</v>
      </c>
      <c r="C239" s="3">
        <v>143.69999999999999</v>
      </c>
      <c r="D239" s="3">
        <v>169</v>
      </c>
      <c r="E239" s="3">
        <v>143.30000000000001</v>
      </c>
      <c r="F239" s="3">
        <v>188.9</v>
      </c>
      <c r="G239" s="3">
        <v>189.5</v>
      </c>
      <c r="H239" s="3">
        <v>159.69999999999999</v>
      </c>
      <c r="I239" s="3">
        <v>187.1</v>
      </c>
      <c r="J239" s="3">
        <v>109.6</v>
      </c>
      <c r="K239" s="3">
        <v>147.9</v>
      </c>
      <c r="L239" s="3">
        <v>169.1</v>
      </c>
      <c r="M239" s="3">
        <v>183</v>
      </c>
      <c r="N239" s="3">
        <v>155.80000000000001</v>
      </c>
      <c r="O239" s="3">
        <v>173.7</v>
      </c>
      <c r="P239" s="3">
        <v>144.80000000000001</v>
      </c>
      <c r="Q239" s="3">
        <v>175.7</v>
      </c>
      <c r="R239" s="3">
        <v>169.6</v>
      </c>
      <c r="S239" s="3">
        <v>188.9</v>
      </c>
      <c r="T239" s="3">
        <v>147.1</v>
      </c>
      <c r="U239" s="3">
        <v>162.5</v>
      </c>
      <c r="V239" s="3">
        <v>125.2</v>
      </c>
      <c r="W239" s="3">
        <v>193.9</v>
      </c>
      <c r="X239" s="3">
        <v>158.5</v>
      </c>
      <c r="Y239" s="3">
        <v>193.3</v>
      </c>
      <c r="Z239" s="3">
        <v>154.69999999999999</v>
      </c>
      <c r="AA239" s="3">
        <v>144.30000000000001</v>
      </c>
      <c r="AB239" s="3">
        <v>154</v>
      </c>
      <c r="AC239" s="3">
        <v>138.80000000000001</v>
      </c>
      <c r="AD239" s="3">
        <v>124.1</v>
      </c>
      <c r="AE239" s="3">
        <v>183</v>
      </c>
      <c r="AF239" s="3">
        <v>152</v>
      </c>
      <c r="AG239" s="3">
        <v>148.9</v>
      </c>
      <c r="AH239" s="3">
        <v>155.6</v>
      </c>
      <c r="AI239" s="3">
        <v>152.5</v>
      </c>
      <c r="AJ239" s="3">
        <v>242.1</v>
      </c>
      <c r="AK239" s="3">
        <v>302.7</v>
      </c>
      <c r="AL239" s="3">
        <v>237.9</v>
      </c>
      <c r="AM239" s="3">
        <v>234</v>
      </c>
      <c r="AN239" s="3">
        <v>253.5</v>
      </c>
      <c r="AO239" s="3">
        <v>149.1</v>
      </c>
      <c r="AP239" s="3">
        <v>189.4</v>
      </c>
      <c r="AQ239" s="3">
        <v>237.7</v>
      </c>
      <c r="AR239" s="3">
        <v>157.9</v>
      </c>
      <c r="AS239" s="3">
        <v>355.6</v>
      </c>
      <c r="AT239" s="3">
        <v>276.89999999999998</v>
      </c>
      <c r="AU239" s="3">
        <v>280.8</v>
      </c>
      <c r="AV239" s="3">
        <v>330.3</v>
      </c>
      <c r="AW239" s="3">
        <v>278.3</v>
      </c>
      <c r="AX239" s="3">
        <v>280.7</v>
      </c>
      <c r="AY239" s="3">
        <v>354.1</v>
      </c>
      <c r="AZ239" s="3">
        <v>317.10000000000002</v>
      </c>
      <c r="BA239" s="3">
        <v>160.69999999999999</v>
      </c>
      <c r="BB239" s="3">
        <v>279.2</v>
      </c>
      <c r="BC239" s="3">
        <v>197.3</v>
      </c>
      <c r="BD239" s="3">
        <v>198.8</v>
      </c>
      <c r="BE239" s="3">
        <v>231.1</v>
      </c>
      <c r="BF239" s="3">
        <v>249.3</v>
      </c>
      <c r="BG239" s="3">
        <v>164</v>
      </c>
      <c r="BH239" s="3">
        <v>158.1</v>
      </c>
      <c r="BI239" s="3">
        <v>74.7</v>
      </c>
      <c r="BJ239" s="3">
        <v>140.30000000000001</v>
      </c>
      <c r="BK239" s="3">
        <v>160.1</v>
      </c>
      <c r="BL239" s="3">
        <v>171.4</v>
      </c>
      <c r="BM239" s="3">
        <v>200.2</v>
      </c>
      <c r="BN239" s="3">
        <v>88.6</v>
      </c>
      <c r="BO239" s="3">
        <v>295</v>
      </c>
      <c r="BP239" s="3">
        <v>291.8</v>
      </c>
      <c r="BQ239" s="3">
        <v>97.5</v>
      </c>
      <c r="BR239" s="3">
        <v>70.599999999999994</v>
      </c>
      <c r="BS239" s="3">
        <v>89.7</v>
      </c>
      <c r="BT239" s="3">
        <v>149.6</v>
      </c>
      <c r="BU239" s="3">
        <v>110.3</v>
      </c>
      <c r="BV239" s="3">
        <v>136.9</v>
      </c>
      <c r="BW239" s="3">
        <v>191.3</v>
      </c>
      <c r="BX239" s="3">
        <v>359.1</v>
      </c>
      <c r="BY239" s="3">
        <v>105.2</v>
      </c>
      <c r="BZ239" s="3">
        <v>298</v>
      </c>
      <c r="CA239" s="3">
        <v>254.4</v>
      </c>
      <c r="CB239" s="3">
        <v>282.3</v>
      </c>
      <c r="CC239" s="3">
        <v>247.6</v>
      </c>
      <c r="CD239" s="3">
        <v>259.3</v>
      </c>
      <c r="CE239" s="3">
        <v>199.4</v>
      </c>
      <c r="CF239" s="3">
        <v>16.8</v>
      </c>
      <c r="CG239" s="3">
        <v>97.4</v>
      </c>
      <c r="CH239" s="3">
        <v>89.6</v>
      </c>
      <c r="CI239" s="3">
        <v>251.9</v>
      </c>
      <c r="CJ239" s="3">
        <v>142.69999999999999</v>
      </c>
      <c r="CK239" s="3">
        <v>166.1</v>
      </c>
      <c r="CL239" s="3">
        <v>361.3</v>
      </c>
      <c r="CM239" s="3">
        <v>169.5</v>
      </c>
      <c r="CN239" s="3">
        <v>166.2</v>
      </c>
    </row>
    <row r="240" spans="1:92" x14ac:dyDescent="0.25">
      <c r="A240" s="4">
        <v>39022</v>
      </c>
      <c r="B240" s="3">
        <v>169.4</v>
      </c>
      <c r="C240" s="3">
        <v>144.80000000000001</v>
      </c>
      <c r="D240" s="3">
        <v>170.4</v>
      </c>
      <c r="E240" s="3">
        <v>142.4</v>
      </c>
      <c r="F240" s="3">
        <v>188.3</v>
      </c>
      <c r="G240" s="3">
        <v>191.3</v>
      </c>
      <c r="H240" s="3">
        <v>156.1</v>
      </c>
      <c r="I240" s="3">
        <v>189.8</v>
      </c>
      <c r="J240" s="3">
        <v>108.5</v>
      </c>
      <c r="K240" s="3">
        <v>148.4</v>
      </c>
      <c r="L240" s="3">
        <v>168.9</v>
      </c>
      <c r="M240" s="3">
        <v>182.1</v>
      </c>
      <c r="N240" s="3">
        <v>156.30000000000001</v>
      </c>
      <c r="O240" s="3">
        <v>173.8</v>
      </c>
      <c r="P240" s="3">
        <v>145.80000000000001</v>
      </c>
      <c r="Q240" s="3">
        <v>176</v>
      </c>
      <c r="R240" s="3">
        <v>170.5</v>
      </c>
      <c r="S240" s="3">
        <v>188.8</v>
      </c>
      <c r="T240" s="3">
        <v>147.80000000000001</v>
      </c>
      <c r="U240" s="3">
        <v>161.4</v>
      </c>
      <c r="V240" s="3">
        <v>123.6</v>
      </c>
      <c r="W240" s="3">
        <v>193.7</v>
      </c>
      <c r="X240" s="3">
        <v>159.9</v>
      </c>
      <c r="Y240" s="3">
        <v>193.1</v>
      </c>
      <c r="Z240" s="3">
        <v>161.1</v>
      </c>
      <c r="AA240" s="3">
        <v>150.69999999999999</v>
      </c>
      <c r="AB240" s="3">
        <v>160.30000000000001</v>
      </c>
      <c r="AC240" s="3">
        <v>144.1</v>
      </c>
      <c r="AD240" s="3">
        <v>129.80000000000001</v>
      </c>
      <c r="AE240" s="3">
        <v>185.9</v>
      </c>
      <c r="AF240" s="3">
        <v>158.19999999999999</v>
      </c>
      <c r="AG240" s="3">
        <v>156.6</v>
      </c>
      <c r="AH240" s="3">
        <v>150.69999999999999</v>
      </c>
      <c r="AI240" s="3">
        <v>151.69999999999999</v>
      </c>
      <c r="AJ240" s="3">
        <v>242.8</v>
      </c>
      <c r="AK240" s="3">
        <v>305</v>
      </c>
      <c r="AL240" s="3">
        <v>238.3</v>
      </c>
      <c r="AM240" s="3">
        <v>234.6</v>
      </c>
      <c r="AN240" s="3">
        <v>254.3</v>
      </c>
      <c r="AO240" s="3">
        <v>148.4</v>
      </c>
      <c r="AP240" s="3">
        <v>188.4</v>
      </c>
      <c r="AQ240" s="3">
        <v>238.3</v>
      </c>
      <c r="AR240" s="3">
        <v>155.80000000000001</v>
      </c>
      <c r="AS240" s="3">
        <v>355.6</v>
      </c>
      <c r="AT240" s="3">
        <v>276.8</v>
      </c>
      <c r="AU240" s="3">
        <v>281.3</v>
      </c>
      <c r="AV240" s="3">
        <v>332.8</v>
      </c>
      <c r="AW240" s="3">
        <v>279.5</v>
      </c>
      <c r="AX240" s="3">
        <v>280.7</v>
      </c>
      <c r="AY240" s="3">
        <v>354.1</v>
      </c>
      <c r="AZ240" s="3">
        <v>317.60000000000002</v>
      </c>
      <c r="BA240" s="3">
        <v>161.1</v>
      </c>
      <c r="BB240" s="3">
        <v>280.10000000000002</v>
      </c>
      <c r="BC240" s="3">
        <v>199.5</v>
      </c>
      <c r="BD240" s="3">
        <v>202.6</v>
      </c>
      <c r="BE240" s="3">
        <v>238.7</v>
      </c>
      <c r="BF240" s="3">
        <v>240</v>
      </c>
      <c r="BG240" s="3">
        <v>168.5</v>
      </c>
      <c r="BH240" s="3">
        <v>158.4</v>
      </c>
      <c r="BI240" s="3">
        <v>74.2</v>
      </c>
      <c r="BJ240" s="3">
        <v>142.5</v>
      </c>
      <c r="BK240" s="3">
        <v>160.80000000000001</v>
      </c>
      <c r="BL240" s="3">
        <v>171.4</v>
      </c>
      <c r="BM240" s="3">
        <v>200.2</v>
      </c>
      <c r="BN240" s="3">
        <v>88.4</v>
      </c>
      <c r="BO240" s="3">
        <v>295.7</v>
      </c>
      <c r="BP240" s="3">
        <v>290.7</v>
      </c>
      <c r="BQ240" s="3">
        <v>98.2</v>
      </c>
      <c r="BR240" s="3">
        <v>70.599999999999994</v>
      </c>
      <c r="BS240" s="3">
        <v>90.5</v>
      </c>
      <c r="BT240" s="3">
        <v>151.1</v>
      </c>
      <c r="BU240" s="3">
        <v>110.4</v>
      </c>
      <c r="BV240" s="3">
        <v>137</v>
      </c>
      <c r="BW240" s="3">
        <v>191.1</v>
      </c>
      <c r="BX240" s="3">
        <v>360</v>
      </c>
      <c r="BY240" s="3">
        <v>104.9</v>
      </c>
      <c r="BZ240" s="3">
        <v>300.3</v>
      </c>
      <c r="CA240" s="3">
        <v>253.2</v>
      </c>
      <c r="CB240" s="3">
        <v>286.89999999999998</v>
      </c>
      <c r="CC240" s="3">
        <v>250.9</v>
      </c>
      <c r="CD240" s="3">
        <v>261.39999999999998</v>
      </c>
      <c r="CE240" s="3">
        <v>194.2</v>
      </c>
      <c r="CF240" s="3">
        <v>16.899999999999999</v>
      </c>
      <c r="CG240" s="3">
        <v>99.2</v>
      </c>
      <c r="CH240" s="3">
        <v>89.1</v>
      </c>
      <c r="CI240" s="3">
        <v>253.2</v>
      </c>
      <c r="CJ240" s="3">
        <v>144.19999999999999</v>
      </c>
      <c r="CK240" s="3">
        <v>166.1</v>
      </c>
      <c r="CL240" s="3">
        <v>360.1</v>
      </c>
      <c r="CM240" s="3">
        <v>170.3</v>
      </c>
      <c r="CN240" s="3">
        <v>166.3</v>
      </c>
    </row>
    <row r="241" spans="1:92" x14ac:dyDescent="0.25">
      <c r="A241" s="4">
        <v>39052</v>
      </c>
      <c r="B241" s="3">
        <v>170.5</v>
      </c>
      <c r="C241" s="3">
        <v>145.80000000000001</v>
      </c>
      <c r="D241" s="3">
        <v>171.4</v>
      </c>
      <c r="E241" s="3">
        <v>141.69999999999999</v>
      </c>
      <c r="F241" s="3">
        <v>190.4</v>
      </c>
      <c r="G241" s="3">
        <v>194.4</v>
      </c>
      <c r="H241" s="3">
        <v>156.80000000000001</v>
      </c>
      <c r="I241" s="3">
        <v>190</v>
      </c>
      <c r="J241" s="3">
        <v>109.8</v>
      </c>
      <c r="K241" s="3">
        <v>149.80000000000001</v>
      </c>
      <c r="L241" s="3">
        <v>169.9</v>
      </c>
      <c r="M241" s="3">
        <v>180.6</v>
      </c>
      <c r="N241" s="3">
        <v>159.6</v>
      </c>
      <c r="O241" s="3">
        <v>174.1</v>
      </c>
      <c r="P241" s="3">
        <v>145.69999999999999</v>
      </c>
      <c r="Q241" s="3">
        <v>176.4</v>
      </c>
      <c r="R241" s="3">
        <v>179</v>
      </c>
      <c r="S241" s="3">
        <v>189</v>
      </c>
      <c r="T241" s="3">
        <v>147.1</v>
      </c>
      <c r="U241" s="3">
        <v>161.5</v>
      </c>
      <c r="V241" s="3">
        <v>125.9</v>
      </c>
      <c r="W241" s="3">
        <v>193.9</v>
      </c>
      <c r="X241" s="3">
        <v>160.6</v>
      </c>
      <c r="Y241" s="3">
        <v>193.3</v>
      </c>
      <c r="Z241" s="3">
        <v>162</v>
      </c>
      <c r="AA241" s="3">
        <v>152</v>
      </c>
      <c r="AB241" s="3">
        <v>160.9</v>
      </c>
      <c r="AC241" s="3">
        <v>142.4</v>
      </c>
      <c r="AD241" s="3">
        <v>127.6</v>
      </c>
      <c r="AE241" s="3">
        <v>186.6</v>
      </c>
      <c r="AF241" s="3">
        <v>157.1</v>
      </c>
      <c r="AG241" s="3">
        <v>155.30000000000001</v>
      </c>
      <c r="AH241" s="3">
        <v>151.19999999999999</v>
      </c>
      <c r="AI241" s="3">
        <v>151.6</v>
      </c>
      <c r="AJ241" s="3">
        <v>243.6</v>
      </c>
      <c r="AK241" s="3">
        <v>304.7</v>
      </c>
      <c r="AL241" s="3">
        <v>239.1</v>
      </c>
      <c r="AM241" s="3">
        <v>235.1</v>
      </c>
      <c r="AN241" s="3">
        <v>255</v>
      </c>
      <c r="AO241" s="3">
        <v>148.4</v>
      </c>
      <c r="AP241" s="3">
        <v>187.6</v>
      </c>
      <c r="AQ241" s="3">
        <v>238.8</v>
      </c>
      <c r="AR241" s="3">
        <v>153.6</v>
      </c>
      <c r="AS241" s="3">
        <v>355.8</v>
      </c>
      <c r="AT241" s="3">
        <v>276.89999999999998</v>
      </c>
      <c r="AU241" s="3">
        <v>281.5</v>
      </c>
      <c r="AV241" s="3">
        <v>347.6</v>
      </c>
      <c r="AW241" s="3">
        <v>281.10000000000002</v>
      </c>
      <c r="AX241" s="3">
        <v>280.7</v>
      </c>
      <c r="AY241" s="3">
        <v>354.1</v>
      </c>
      <c r="AZ241" s="3">
        <v>318.89999999999998</v>
      </c>
      <c r="BA241" s="3">
        <v>162.4</v>
      </c>
      <c r="BB241" s="3">
        <v>279.5</v>
      </c>
      <c r="BC241" s="3">
        <v>199.5</v>
      </c>
      <c r="BD241" s="3">
        <v>205</v>
      </c>
      <c r="BE241" s="3">
        <v>243.3</v>
      </c>
      <c r="BF241" s="3">
        <v>249.4</v>
      </c>
      <c r="BG241" s="3">
        <v>187.7</v>
      </c>
      <c r="BH241" s="3">
        <v>162.5</v>
      </c>
      <c r="BI241" s="3">
        <v>73.3</v>
      </c>
      <c r="BJ241" s="3">
        <v>141.80000000000001</v>
      </c>
      <c r="BK241" s="3">
        <v>161.19999999999999</v>
      </c>
      <c r="BL241" s="3">
        <v>171.8</v>
      </c>
      <c r="BM241" s="3">
        <v>200.2</v>
      </c>
      <c r="BN241" s="3">
        <v>88.2</v>
      </c>
      <c r="BO241" s="3">
        <v>296.60000000000002</v>
      </c>
      <c r="BP241" s="3">
        <v>291.10000000000002</v>
      </c>
      <c r="BQ241" s="3">
        <v>97.5</v>
      </c>
      <c r="BR241" s="3">
        <v>69</v>
      </c>
      <c r="BS241" s="3">
        <v>90.8</v>
      </c>
      <c r="BT241" s="3">
        <v>150.9</v>
      </c>
      <c r="BU241" s="3">
        <v>108.3</v>
      </c>
      <c r="BV241" s="3">
        <v>138.1</v>
      </c>
      <c r="BW241" s="3">
        <v>190.8</v>
      </c>
      <c r="BX241" s="3">
        <v>360.7</v>
      </c>
      <c r="BY241" s="3">
        <v>104.5</v>
      </c>
      <c r="BZ241" s="3">
        <v>301.39999999999998</v>
      </c>
      <c r="CA241" s="3">
        <v>259</v>
      </c>
      <c r="CB241" s="3">
        <v>285.3</v>
      </c>
      <c r="CC241" s="3">
        <v>249.4</v>
      </c>
      <c r="CD241" s="3">
        <v>262.3</v>
      </c>
      <c r="CE241" s="3">
        <v>208.2</v>
      </c>
      <c r="CF241" s="3">
        <v>16.899999999999999</v>
      </c>
      <c r="CG241" s="3">
        <v>101.8</v>
      </c>
      <c r="CH241" s="3">
        <v>89.4</v>
      </c>
      <c r="CI241" s="3">
        <v>254.5</v>
      </c>
      <c r="CJ241" s="3">
        <v>145.30000000000001</v>
      </c>
      <c r="CK241" s="3">
        <v>166.2</v>
      </c>
      <c r="CL241" s="3">
        <v>362.3</v>
      </c>
      <c r="CM241" s="3">
        <v>170.4</v>
      </c>
      <c r="CN241" s="3">
        <v>166.8</v>
      </c>
    </row>
    <row r="242" spans="1:92" x14ac:dyDescent="0.25">
      <c r="A242" s="4">
        <v>39083</v>
      </c>
      <c r="B242" s="3">
        <v>170.2</v>
      </c>
      <c r="C242" s="3">
        <v>143.30000000000001</v>
      </c>
      <c r="D242" s="3">
        <v>171.4</v>
      </c>
      <c r="E242" s="3">
        <v>143.4</v>
      </c>
      <c r="F242" s="3">
        <v>189.4</v>
      </c>
      <c r="G242" s="3">
        <v>193.4</v>
      </c>
      <c r="H242" s="3">
        <v>159.19999999999999</v>
      </c>
      <c r="I242" s="3">
        <v>189.8</v>
      </c>
      <c r="J242" s="3">
        <v>107</v>
      </c>
      <c r="K242" s="3">
        <v>148.4</v>
      </c>
      <c r="L242" s="3">
        <v>170.2</v>
      </c>
      <c r="M242" s="3">
        <v>178.8</v>
      </c>
      <c r="N242" s="3">
        <v>162</v>
      </c>
      <c r="O242" s="3">
        <v>173.9</v>
      </c>
      <c r="P242" s="3">
        <v>146</v>
      </c>
      <c r="Q242" s="3">
        <v>176.5</v>
      </c>
      <c r="R242" s="3">
        <v>178.7</v>
      </c>
      <c r="S242" s="3">
        <v>188.9</v>
      </c>
      <c r="T242" s="3">
        <v>145.1</v>
      </c>
      <c r="U242" s="3">
        <v>157.30000000000001</v>
      </c>
      <c r="V242" s="3">
        <v>122.4</v>
      </c>
      <c r="W242" s="3">
        <v>193</v>
      </c>
      <c r="X242" s="3">
        <v>161.30000000000001</v>
      </c>
      <c r="Y242" s="3">
        <v>194.2</v>
      </c>
      <c r="Z242" s="3">
        <v>159</v>
      </c>
      <c r="AA242" s="3">
        <v>150.69999999999999</v>
      </c>
      <c r="AB242" s="3">
        <v>157.4</v>
      </c>
      <c r="AC242" s="3">
        <v>146.19999999999999</v>
      </c>
      <c r="AD242" s="3">
        <v>131.9</v>
      </c>
      <c r="AE242" s="3">
        <v>188</v>
      </c>
      <c r="AF242" s="3">
        <v>147.4</v>
      </c>
      <c r="AG242" s="3">
        <v>144</v>
      </c>
      <c r="AH242" s="3">
        <v>153.1</v>
      </c>
      <c r="AI242" s="3">
        <v>150.80000000000001</v>
      </c>
      <c r="AJ242" s="3">
        <v>244.1</v>
      </c>
      <c r="AK242" s="3">
        <v>307.10000000000002</v>
      </c>
      <c r="AL242" s="3">
        <v>239.3</v>
      </c>
      <c r="AM242" s="3">
        <v>234.8</v>
      </c>
      <c r="AN242" s="3">
        <v>254.9</v>
      </c>
      <c r="AO242" s="3">
        <v>147.5</v>
      </c>
      <c r="AP242" s="3">
        <v>189.3</v>
      </c>
      <c r="AQ242" s="3">
        <v>239.2</v>
      </c>
      <c r="AR242" s="3">
        <v>156.6</v>
      </c>
      <c r="AS242" s="3">
        <v>361.7</v>
      </c>
      <c r="AT242" s="3">
        <v>282</v>
      </c>
      <c r="AU242" s="3">
        <v>282.5</v>
      </c>
      <c r="AV242" s="3">
        <v>351.7</v>
      </c>
      <c r="AW242" s="3">
        <v>282.8</v>
      </c>
      <c r="AX242" s="3">
        <v>280.7</v>
      </c>
      <c r="AY242" s="3">
        <v>354.1</v>
      </c>
      <c r="AZ242" s="3">
        <v>324.10000000000002</v>
      </c>
      <c r="BA242" s="3">
        <v>162.80000000000001</v>
      </c>
      <c r="BB242" s="3">
        <v>281.5</v>
      </c>
      <c r="BC242" s="3">
        <v>199.8</v>
      </c>
      <c r="BD242" s="3">
        <v>206</v>
      </c>
      <c r="BE242" s="3">
        <v>243.9</v>
      </c>
      <c r="BF242" s="3">
        <v>235.2</v>
      </c>
      <c r="BG242" s="3">
        <v>162.4</v>
      </c>
      <c r="BH242" s="3">
        <v>154</v>
      </c>
      <c r="BI242" s="3">
        <v>71.2</v>
      </c>
      <c r="BJ242" s="3">
        <v>139</v>
      </c>
      <c r="BK242" s="3">
        <v>161.5</v>
      </c>
      <c r="BL242" s="3">
        <v>170.4</v>
      </c>
      <c r="BM242" s="3">
        <v>200.2</v>
      </c>
      <c r="BN242" s="3">
        <v>87.7</v>
      </c>
      <c r="BO242" s="3">
        <v>300.2</v>
      </c>
      <c r="BP242" s="3">
        <v>291</v>
      </c>
      <c r="BQ242" s="3">
        <v>92.5</v>
      </c>
      <c r="BR242" s="3">
        <v>65.2</v>
      </c>
      <c r="BS242" s="3">
        <v>87.4</v>
      </c>
      <c r="BT242" s="3">
        <v>148.1</v>
      </c>
      <c r="BU242" s="3">
        <v>106.8</v>
      </c>
      <c r="BV242" s="3">
        <v>136.5</v>
      </c>
      <c r="BW242" s="3">
        <v>191</v>
      </c>
      <c r="BX242" s="3">
        <v>364</v>
      </c>
      <c r="BY242" s="3">
        <v>105.5</v>
      </c>
      <c r="BZ242" s="3">
        <v>303.8</v>
      </c>
      <c r="CA242" s="3">
        <v>256.2</v>
      </c>
      <c r="CB242" s="3">
        <v>289.10000000000002</v>
      </c>
      <c r="CC242" s="3">
        <v>257.39999999999998</v>
      </c>
      <c r="CD242" s="3">
        <v>270</v>
      </c>
      <c r="CE242" s="3">
        <v>195</v>
      </c>
      <c r="CF242" s="3">
        <v>16.7</v>
      </c>
      <c r="CG242" s="3">
        <v>101.3</v>
      </c>
      <c r="CH242" s="3">
        <v>88.9</v>
      </c>
      <c r="CI242" s="3">
        <v>247.1</v>
      </c>
      <c r="CJ242" s="3">
        <v>144.9</v>
      </c>
      <c r="CK242" s="3">
        <v>166.1</v>
      </c>
      <c r="CL242" s="3">
        <v>359.6</v>
      </c>
      <c r="CM242" s="3">
        <v>171.5</v>
      </c>
      <c r="CN242" s="3">
        <v>167.5</v>
      </c>
    </row>
    <row r="243" spans="1:92" x14ac:dyDescent="0.25">
      <c r="A243" s="4">
        <v>39114</v>
      </c>
      <c r="B243" s="3">
        <v>171</v>
      </c>
      <c r="C243" s="3">
        <v>145.4</v>
      </c>
      <c r="D243" s="3">
        <v>171.8</v>
      </c>
      <c r="E243" s="3">
        <v>141.69999999999999</v>
      </c>
      <c r="F243" s="3">
        <v>188.7</v>
      </c>
      <c r="G243" s="3">
        <v>188.6</v>
      </c>
      <c r="H243" s="3">
        <v>157.5</v>
      </c>
      <c r="I243" s="3">
        <v>190</v>
      </c>
      <c r="J243" s="3">
        <v>112.4</v>
      </c>
      <c r="K243" s="3">
        <v>149</v>
      </c>
      <c r="L243" s="3">
        <v>173.6</v>
      </c>
      <c r="M243" s="3">
        <v>186.2</v>
      </c>
      <c r="N243" s="3">
        <v>161.6</v>
      </c>
      <c r="O243" s="3">
        <v>173.8</v>
      </c>
      <c r="P243" s="3">
        <v>144.5</v>
      </c>
      <c r="Q243" s="3">
        <v>174</v>
      </c>
      <c r="R243" s="3">
        <v>179</v>
      </c>
      <c r="S243" s="3">
        <v>188.3</v>
      </c>
      <c r="T243" s="3">
        <v>145.1</v>
      </c>
      <c r="U243" s="3">
        <v>160.6</v>
      </c>
      <c r="V243" s="3">
        <v>124.7</v>
      </c>
      <c r="W243" s="3">
        <v>196.8</v>
      </c>
      <c r="X243" s="3">
        <v>163</v>
      </c>
      <c r="Y243" s="3">
        <v>195.7</v>
      </c>
      <c r="Z243" s="3">
        <v>166.1</v>
      </c>
      <c r="AA243" s="3">
        <v>156.19999999999999</v>
      </c>
      <c r="AB243" s="3">
        <v>165.4</v>
      </c>
      <c r="AC243" s="3">
        <v>148.5</v>
      </c>
      <c r="AD243" s="3">
        <v>134.4</v>
      </c>
      <c r="AE243" s="3">
        <v>188.8</v>
      </c>
      <c r="AF243" s="3">
        <v>147.80000000000001</v>
      </c>
      <c r="AG243" s="3">
        <v>144.4</v>
      </c>
      <c r="AH243" s="3">
        <v>153.30000000000001</v>
      </c>
      <c r="AI243" s="3">
        <v>151.80000000000001</v>
      </c>
      <c r="AJ243" s="3">
        <v>244.3</v>
      </c>
      <c r="AK243" s="3">
        <v>308.2</v>
      </c>
      <c r="AL243" s="3">
        <v>239.9</v>
      </c>
      <c r="AM243" s="3">
        <v>235.7</v>
      </c>
      <c r="AN243" s="3">
        <v>255.9</v>
      </c>
      <c r="AO243" s="3">
        <v>147.9</v>
      </c>
      <c r="AP243" s="3">
        <v>190.2</v>
      </c>
      <c r="AQ243" s="3">
        <v>239.8</v>
      </c>
      <c r="AR243" s="3">
        <v>157.80000000000001</v>
      </c>
      <c r="AS243" s="3">
        <v>363.2</v>
      </c>
      <c r="AT243" s="3">
        <v>283.7</v>
      </c>
      <c r="AU243" s="3">
        <v>282.60000000000002</v>
      </c>
      <c r="AV243" s="3">
        <v>365.7</v>
      </c>
      <c r="AW243" s="3">
        <v>285.60000000000002</v>
      </c>
      <c r="AX243" s="3">
        <v>280.7</v>
      </c>
      <c r="AY243" s="3">
        <v>354.1</v>
      </c>
      <c r="AZ243" s="3">
        <v>324.8</v>
      </c>
      <c r="BA243" s="3">
        <v>164.1</v>
      </c>
      <c r="BB243" s="3">
        <v>283</v>
      </c>
      <c r="BC243" s="3">
        <v>200.2</v>
      </c>
      <c r="BD243" s="3">
        <v>206.7</v>
      </c>
      <c r="BE243" s="3">
        <v>244.8</v>
      </c>
      <c r="BF243" s="3">
        <v>240.1</v>
      </c>
      <c r="BG243" s="3">
        <v>165</v>
      </c>
      <c r="BH243" s="3">
        <v>160.1</v>
      </c>
      <c r="BI243" s="3">
        <v>72.599999999999994</v>
      </c>
      <c r="BJ243" s="3">
        <v>142.6</v>
      </c>
      <c r="BK243" s="3">
        <v>162.4</v>
      </c>
      <c r="BL243" s="3">
        <v>172.7</v>
      </c>
      <c r="BM243" s="3">
        <v>200.2</v>
      </c>
      <c r="BN243" s="3">
        <v>86.8</v>
      </c>
      <c r="BO243" s="3">
        <v>300.3</v>
      </c>
      <c r="BP243" s="3">
        <v>292.10000000000002</v>
      </c>
      <c r="BQ243" s="3">
        <v>94</v>
      </c>
      <c r="BR243" s="3">
        <v>66.099999999999994</v>
      </c>
      <c r="BS243" s="3">
        <v>87.2</v>
      </c>
      <c r="BT243" s="3">
        <v>149.19999999999999</v>
      </c>
      <c r="BU243" s="3">
        <v>108.3</v>
      </c>
      <c r="BV243" s="3">
        <v>138</v>
      </c>
      <c r="BW243" s="3">
        <v>192.3</v>
      </c>
      <c r="BX243" s="3">
        <v>364.4</v>
      </c>
      <c r="BY243" s="3">
        <v>105.8</v>
      </c>
      <c r="BZ243" s="3">
        <v>303.89999999999998</v>
      </c>
      <c r="CA243" s="3">
        <v>253.1</v>
      </c>
      <c r="CB243" s="3">
        <v>289.89999999999998</v>
      </c>
      <c r="CC243" s="3">
        <v>261.89999999999998</v>
      </c>
      <c r="CD243" s="3">
        <v>271.10000000000002</v>
      </c>
      <c r="CE243" s="3">
        <v>203.5</v>
      </c>
      <c r="CF243" s="3">
        <v>16.5</v>
      </c>
      <c r="CG243" s="3">
        <v>99.9</v>
      </c>
      <c r="CH243" s="3">
        <v>88.2</v>
      </c>
      <c r="CI243" s="3">
        <v>256.89999999999998</v>
      </c>
      <c r="CJ243" s="3">
        <v>148.30000000000001</v>
      </c>
      <c r="CK243" s="3">
        <v>166.1</v>
      </c>
      <c r="CL243" s="3">
        <v>363.2</v>
      </c>
      <c r="CM243" s="3">
        <v>171.5</v>
      </c>
      <c r="CN243" s="3">
        <v>167.5</v>
      </c>
    </row>
    <row r="244" spans="1:92" x14ac:dyDescent="0.25">
      <c r="A244" s="4">
        <v>39142</v>
      </c>
      <c r="B244" s="3">
        <v>174.9</v>
      </c>
      <c r="C244" s="3">
        <v>146.69999999999999</v>
      </c>
      <c r="D244" s="3">
        <v>174.5</v>
      </c>
      <c r="E244" s="3">
        <v>143.1</v>
      </c>
      <c r="F244" s="3">
        <v>190.1</v>
      </c>
      <c r="G244" s="3">
        <v>190.3</v>
      </c>
      <c r="H244" s="3">
        <v>157.4</v>
      </c>
      <c r="I244" s="3">
        <v>188.5</v>
      </c>
      <c r="J244" s="3">
        <v>110.9</v>
      </c>
      <c r="K244" s="3">
        <v>150.1</v>
      </c>
      <c r="L244" s="3">
        <v>173.5</v>
      </c>
      <c r="M244" s="3">
        <v>186.1</v>
      </c>
      <c r="N244" s="3">
        <v>161.5</v>
      </c>
      <c r="O244" s="3">
        <v>173.9</v>
      </c>
      <c r="P244" s="3">
        <v>144.80000000000001</v>
      </c>
      <c r="Q244" s="3">
        <v>176.8</v>
      </c>
      <c r="R244" s="3">
        <v>181.1</v>
      </c>
      <c r="S244" s="3">
        <v>192</v>
      </c>
      <c r="T244" s="3">
        <v>148.69999999999999</v>
      </c>
      <c r="U244" s="3">
        <v>161.19999999999999</v>
      </c>
      <c r="V244" s="3">
        <v>125.7</v>
      </c>
      <c r="W244" s="3">
        <v>197.3</v>
      </c>
      <c r="X244" s="3">
        <v>162.1</v>
      </c>
      <c r="Y244" s="3">
        <v>196.3</v>
      </c>
      <c r="Z244" s="3">
        <v>167.8</v>
      </c>
      <c r="AA244" s="3">
        <v>159.9</v>
      </c>
      <c r="AB244" s="3">
        <v>165.5</v>
      </c>
      <c r="AC244" s="3">
        <v>149.4</v>
      </c>
      <c r="AD244" s="3">
        <v>135.30000000000001</v>
      </c>
      <c r="AE244" s="3">
        <v>189.6</v>
      </c>
      <c r="AF244" s="3">
        <v>144.80000000000001</v>
      </c>
      <c r="AG244" s="3">
        <v>140.9</v>
      </c>
      <c r="AH244" s="3">
        <v>153.80000000000001</v>
      </c>
      <c r="AI244" s="3">
        <v>152.80000000000001</v>
      </c>
      <c r="AJ244" s="3">
        <v>245.2</v>
      </c>
      <c r="AK244" s="3">
        <v>309</v>
      </c>
      <c r="AL244" s="3">
        <v>240.3</v>
      </c>
      <c r="AM244" s="3">
        <v>237.6</v>
      </c>
      <c r="AN244" s="3">
        <v>257.89999999999998</v>
      </c>
      <c r="AO244" s="3">
        <v>149</v>
      </c>
      <c r="AP244" s="3">
        <v>191.5</v>
      </c>
      <c r="AQ244" s="3">
        <v>240.6</v>
      </c>
      <c r="AR244" s="3">
        <v>159.69999999999999</v>
      </c>
      <c r="AS244" s="3">
        <v>363.4</v>
      </c>
      <c r="AT244" s="3">
        <v>283.60000000000002</v>
      </c>
      <c r="AU244" s="3">
        <v>282.5</v>
      </c>
      <c r="AV244" s="3">
        <v>368.6</v>
      </c>
      <c r="AW244" s="3">
        <v>287.2</v>
      </c>
      <c r="AX244" s="3">
        <v>280.7</v>
      </c>
      <c r="AY244" s="3">
        <v>354.1</v>
      </c>
      <c r="AZ244" s="3">
        <v>325.60000000000002</v>
      </c>
      <c r="BA244" s="3">
        <v>164.1</v>
      </c>
      <c r="BB244" s="3">
        <v>281.2</v>
      </c>
      <c r="BC244" s="3">
        <v>200.5</v>
      </c>
      <c r="BD244" s="3">
        <v>206.7</v>
      </c>
      <c r="BE244" s="3">
        <v>242.8</v>
      </c>
      <c r="BF244" s="3">
        <v>247.1</v>
      </c>
      <c r="BG244" s="3">
        <v>185.8</v>
      </c>
      <c r="BH244" s="3">
        <v>158.5</v>
      </c>
      <c r="BI244" s="3">
        <v>74.2</v>
      </c>
      <c r="BJ244" s="3">
        <v>143.1</v>
      </c>
      <c r="BK244" s="3">
        <v>163.19999999999999</v>
      </c>
      <c r="BL244" s="3">
        <v>172.8</v>
      </c>
      <c r="BM244" s="3">
        <v>200.2</v>
      </c>
      <c r="BN244" s="3">
        <v>86.9</v>
      </c>
      <c r="BO244" s="3">
        <v>301.10000000000002</v>
      </c>
      <c r="BP244" s="3">
        <v>293.10000000000002</v>
      </c>
      <c r="BQ244" s="3">
        <v>95.3</v>
      </c>
      <c r="BR244" s="3">
        <v>68</v>
      </c>
      <c r="BS244" s="3">
        <v>87.3</v>
      </c>
      <c r="BT244" s="3">
        <v>149.69999999999999</v>
      </c>
      <c r="BU244" s="3">
        <v>109.2</v>
      </c>
      <c r="BV244" s="3">
        <v>139.5</v>
      </c>
      <c r="BW244" s="3">
        <v>192.3</v>
      </c>
      <c r="BX244" s="3">
        <v>364.8</v>
      </c>
      <c r="BY244" s="3">
        <v>105</v>
      </c>
      <c r="BZ244" s="3">
        <v>304.8</v>
      </c>
      <c r="CA244" s="3">
        <v>259.8</v>
      </c>
      <c r="CB244" s="3">
        <v>290.39999999999998</v>
      </c>
      <c r="CC244" s="3">
        <v>260.60000000000002</v>
      </c>
      <c r="CD244" s="3">
        <v>272.2</v>
      </c>
      <c r="CE244" s="3">
        <v>201.3</v>
      </c>
      <c r="CF244" s="3">
        <v>15.9</v>
      </c>
      <c r="CG244" s="3">
        <v>99.8</v>
      </c>
      <c r="CH244" s="3">
        <v>89.1</v>
      </c>
      <c r="CI244" s="3">
        <v>256.5</v>
      </c>
      <c r="CJ244" s="3">
        <v>146.80000000000001</v>
      </c>
      <c r="CK244" s="3">
        <v>166.1</v>
      </c>
      <c r="CL244" s="3">
        <v>364.7</v>
      </c>
      <c r="CM244" s="3">
        <v>171.4</v>
      </c>
      <c r="CN244" s="3">
        <v>168</v>
      </c>
    </row>
    <row r="245" spans="1:92" x14ac:dyDescent="0.25">
      <c r="A245" s="4">
        <v>39173</v>
      </c>
      <c r="B245" s="3">
        <v>176.4</v>
      </c>
      <c r="C245" s="3">
        <v>146.9</v>
      </c>
      <c r="D245" s="3">
        <v>173.7</v>
      </c>
      <c r="E245" s="3">
        <v>141.69999999999999</v>
      </c>
      <c r="F245" s="3">
        <v>186.6</v>
      </c>
      <c r="G245" s="3">
        <v>191.5</v>
      </c>
      <c r="H245" s="3">
        <v>157.30000000000001</v>
      </c>
      <c r="I245" s="3">
        <v>188.5</v>
      </c>
      <c r="J245" s="3">
        <v>114</v>
      </c>
      <c r="K245" s="3">
        <v>148.80000000000001</v>
      </c>
      <c r="L245" s="3">
        <v>173.6</v>
      </c>
      <c r="M245" s="3">
        <v>189</v>
      </c>
      <c r="N245" s="3">
        <v>159.1</v>
      </c>
      <c r="O245" s="3">
        <v>173.5</v>
      </c>
      <c r="P245" s="3">
        <v>143</v>
      </c>
      <c r="Q245" s="3">
        <v>176.4</v>
      </c>
      <c r="R245" s="3">
        <v>181</v>
      </c>
      <c r="S245" s="3">
        <v>193.1</v>
      </c>
      <c r="T245" s="3">
        <v>148.30000000000001</v>
      </c>
      <c r="U245" s="3">
        <v>157.19999999999999</v>
      </c>
      <c r="V245" s="3">
        <v>126.1</v>
      </c>
      <c r="W245" s="3">
        <v>199.3</v>
      </c>
      <c r="X245" s="3">
        <v>162.4</v>
      </c>
      <c r="Y245" s="3">
        <v>199.1</v>
      </c>
      <c r="Z245" s="3">
        <v>166.5</v>
      </c>
      <c r="AA245" s="3">
        <v>162.1</v>
      </c>
      <c r="AB245" s="3">
        <v>162</v>
      </c>
      <c r="AC245" s="3">
        <v>154.5</v>
      </c>
      <c r="AD245" s="3">
        <v>141.1</v>
      </c>
      <c r="AE245" s="3">
        <v>190.1</v>
      </c>
      <c r="AF245" s="3">
        <v>142.9</v>
      </c>
      <c r="AG245" s="3">
        <v>138.80000000000001</v>
      </c>
      <c r="AH245" s="3">
        <v>153.6</v>
      </c>
      <c r="AI245" s="3">
        <v>152.19999999999999</v>
      </c>
      <c r="AJ245" s="3">
        <v>245.9</v>
      </c>
      <c r="AK245" s="3">
        <v>310.2</v>
      </c>
      <c r="AL245" s="3">
        <v>241.5</v>
      </c>
      <c r="AM245" s="3">
        <v>240.4</v>
      </c>
      <c r="AN245" s="3">
        <v>260.7</v>
      </c>
      <c r="AO245" s="3">
        <v>151.9</v>
      </c>
      <c r="AP245" s="3">
        <v>192</v>
      </c>
      <c r="AQ245" s="3">
        <v>242.7</v>
      </c>
      <c r="AR245" s="3">
        <v>158.80000000000001</v>
      </c>
      <c r="AS245" s="3">
        <v>371.6</v>
      </c>
      <c r="AT245" s="3">
        <v>288</v>
      </c>
      <c r="AU245" s="3">
        <v>286.7</v>
      </c>
      <c r="AV245" s="3">
        <v>370.9</v>
      </c>
      <c r="AW245" s="3">
        <v>288.60000000000002</v>
      </c>
      <c r="AX245" s="3">
        <v>292</v>
      </c>
      <c r="AY245" s="3">
        <v>377.2</v>
      </c>
      <c r="AZ245" s="3">
        <v>327.39999999999998</v>
      </c>
      <c r="BA245" s="3">
        <v>164.1</v>
      </c>
      <c r="BB245" s="3">
        <v>280.89999999999998</v>
      </c>
      <c r="BC245" s="3">
        <v>200.4</v>
      </c>
      <c r="BD245" s="3">
        <v>204.9</v>
      </c>
      <c r="BE245" s="3">
        <v>235.8</v>
      </c>
      <c r="BF245" s="3">
        <v>256.10000000000002</v>
      </c>
      <c r="BG245" s="3">
        <v>169.8</v>
      </c>
      <c r="BH245" s="3">
        <v>157.69999999999999</v>
      </c>
      <c r="BI245" s="3">
        <v>74.8</v>
      </c>
      <c r="BJ245" s="3">
        <v>144.69999999999999</v>
      </c>
      <c r="BK245" s="3">
        <v>163.4</v>
      </c>
      <c r="BL245" s="3">
        <v>174.5</v>
      </c>
      <c r="BM245" s="3">
        <v>212.7</v>
      </c>
      <c r="BN245" s="3">
        <v>86</v>
      </c>
      <c r="BO245" s="3">
        <v>300.10000000000002</v>
      </c>
      <c r="BP245" s="3">
        <v>290.5</v>
      </c>
      <c r="BQ245" s="3">
        <v>97.5</v>
      </c>
      <c r="BR245" s="3">
        <v>69</v>
      </c>
      <c r="BS245" s="3">
        <v>87.6</v>
      </c>
      <c r="BT245" s="3">
        <v>151.5</v>
      </c>
      <c r="BU245" s="3">
        <v>110.5</v>
      </c>
      <c r="BV245" s="3">
        <v>139.6</v>
      </c>
      <c r="BW245" s="3">
        <v>193.3</v>
      </c>
      <c r="BX245" s="3">
        <v>366.7</v>
      </c>
      <c r="BY245" s="3">
        <v>104.9</v>
      </c>
      <c r="BZ245" s="3">
        <v>306.2</v>
      </c>
      <c r="CA245" s="3">
        <v>269.5</v>
      </c>
      <c r="CB245" s="3">
        <v>295.89999999999998</v>
      </c>
      <c r="CC245" s="3">
        <v>262.60000000000002</v>
      </c>
      <c r="CD245" s="3">
        <v>273.5</v>
      </c>
      <c r="CE245" s="3">
        <v>205.4</v>
      </c>
      <c r="CF245" s="3">
        <v>15.4</v>
      </c>
      <c r="CG245" s="3">
        <v>101.1</v>
      </c>
      <c r="CH245" s="3">
        <v>88.7</v>
      </c>
      <c r="CI245" s="3">
        <v>256</v>
      </c>
      <c r="CJ245" s="3">
        <v>146</v>
      </c>
      <c r="CK245" s="3">
        <v>168.1</v>
      </c>
      <c r="CL245" s="3">
        <v>366.7</v>
      </c>
      <c r="CM245" s="3">
        <v>171.4</v>
      </c>
      <c r="CN245" s="3">
        <v>169</v>
      </c>
    </row>
    <row r="246" spans="1:92" x14ac:dyDescent="0.25">
      <c r="A246" s="4">
        <v>39203</v>
      </c>
      <c r="B246" s="3">
        <v>176.5</v>
      </c>
      <c r="C246" s="3">
        <v>148.5</v>
      </c>
      <c r="D246" s="3">
        <v>174.6</v>
      </c>
      <c r="E246" s="3">
        <v>141.1</v>
      </c>
      <c r="F246" s="3">
        <v>192.6</v>
      </c>
      <c r="G246" s="3">
        <v>197.2</v>
      </c>
      <c r="H246" s="3">
        <v>159.30000000000001</v>
      </c>
      <c r="I246" s="3">
        <v>182.2</v>
      </c>
      <c r="J246" s="3">
        <v>111.3</v>
      </c>
      <c r="K246" s="3">
        <v>149.4</v>
      </c>
      <c r="L246" s="3">
        <v>173.6</v>
      </c>
      <c r="M246" s="3">
        <v>188.1</v>
      </c>
      <c r="N246" s="3">
        <v>160</v>
      </c>
      <c r="O246" s="3">
        <v>173.6</v>
      </c>
      <c r="P246" s="3">
        <v>143.30000000000001</v>
      </c>
      <c r="Q246" s="3">
        <v>177.4</v>
      </c>
      <c r="R246" s="3">
        <v>180.7</v>
      </c>
      <c r="S246" s="3">
        <v>193.4</v>
      </c>
      <c r="T246" s="3">
        <v>150.80000000000001</v>
      </c>
      <c r="U246" s="3">
        <v>162.1</v>
      </c>
      <c r="V246" s="3">
        <v>125.4</v>
      </c>
      <c r="W246" s="3">
        <v>200.7</v>
      </c>
      <c r="X246" s="3">
        <v>163.9</v>
      </c>
      <c r="Y246" s="3">
        <v>199.7</v>
      </c>
      <c r="Z246" s="3">
        <v>170.5</v>
      </c>
      <c r="AA246" s="3">
        <v>166.8</v>
      </c>
      <c r="AB246" s="3">
        <v>165.2</v>
      </c>
      <c r="AC246" s="3">
        <v>151.69999999999999</v>
      </c>
      <c r="AD246" s="3">
        <v>138</v>
      </c>
      <c r="AE246" s="3">
        <v>189.4</v>
      </c>
      <c r="AF246" s="3">
        <v>151</v>
      </c>
      <c r="AG246" s="3">
        <v>148.1</v>
      </c>
      <c r="AH246" s="3">
        <v>153.4</v>
      </c>
      <c r="AI246" s="3">
        <v>152.69999999999999</v>
      </c>
      <c r="AJ246" s="3">
        <v>246.8</v>
      </c>
      <c r="AK246" s="3">
        <v>311.89999999999998</v>
      </c>
      <c r="AL246" s="3">
        <v>241.8</v>
      </c>
      <c r="AM246" s="3">
        <v>240.9</v>
      </c>
      <c r="AN246" s="3">
        <v>261.7</v>
      </c>
      <c r="AO246" s="3">
        <v>150.69999999999999</v>
      </c>
      <c r="AP246" s="3">
        <v>192.1</v>
      </c>
      <c r="AQ246" s="3">
        <v>243.4</v>
      </c>
      <c r="AR246" s="3">
        <v>158.30000000000001</v>
      </c>
      <c r="AS246" s="3">
        <v>371.7</v>
      </c>
      <c r="AT246" s="3">
        <v>288.3</v>
      </c>
      <c r="AU246" s="3">
        <v>287.2</v>
      </c>
      <c r="AV246" s="3">
        <v>374.4</v>
      </c>
      <c r="AW246" s="3">
        <v>290.89999999999998</v>
      </c>
      <c r="AX246" s="3">
        <v>292</v>
      </c>
      <c r="AY246" s="3">
        <v>377.2</v>
      </c>
      <c r="AZ246" s="3">
        <v>328.2</v>
      </c>
      <c r="BA246" s="3">
        <v>164.4</v>
      </c>
      <c r="BB246" s="3">
        <v>283.10000000000002</v>
      </c>
      <c r="BC246" s="3">
        <v>199.4</v>
      </c>
      <c r="BD246" s="3">
        <v>202.5</v>
      </c>
      <c r="BE246" s="3">
        <v>228</v>
      </c>
      <c r="BF246" s="3">
        <v>255.1</v>
      </c>
      <c r="BG246" s="3">
        <v>174.1</v>
      </c>
      <c r="BH246" s="3">
        <v>164.6</v>
      </c>
      <c r="BI246" s="3">
        <v>74.2</v>
      </c>
      <c r="BJ246" s="3">
        <v>145.9</v>
      </c>
      <c r="BK246" s="3">
        <v>163.19999999999999</v>
      </c>
      <c r="BL246" s="3">
        <v>173.8</v>
      </c>
      <c r="BM246" s="3">
        <v>212.7</v>
      </c>
      <c r="BN246" s="3">
        <v>85.3</v>
      </c>
      <c r="BO246" s="3">
        <v>301</v>
      </c>
      <c r="BP246" s="3">
        <v>291.60000000000002</v>
      </c>
      <c r="BQ246" s="3">
        <v>97.7</v>
      </c>
      <c r="BR246" s="3">
        <v>68.7</v>
      </c>
      <c r="BS246" s="3">
        <v>87.8</v>
      </c>
      <c r="BT246" s="3">
        <v>150.4</v>
      </c>
      <c r="BU246" s="3">
        <v>111.8</v>
      </c>
      <c r="BV246" s="3">
        <v>140</v>
      </c>
      <c r="BW246" s="3">
        <v>193</v>
      </c>
      <c r="BX246" s="3">
        <v>368.9</v>
      </c>
      <c r="BY246" s="3">
        <v>104.9</v>
      </c>
      <c r="BZ246" s="3">
        <v>307.3</v>
      </c>
      <c r="CA246" s="3">
        <v>277.7</v>
      </c>
      <c r="CB246" s="3">
        <v>294.7</v>
      </c>
      <c r="CC246" s="3">
        <v>262.10000000000002</v>
      </c>
      <c r="CD246" s="3">
        <v>273.2</v>
      </c>
      <c r="CE246" s="3">
        <v>216</v>
      </c>
      <c r="CF246" s="3">
        <v>15.1</v>
      </c>
      <c r="CG246" s="3">
        <v>103.7</v>
      </c>
      <c r="CH246" s="3">
        <v>87.9</v>
      </c>
      <c r="CI246" s="3">
        <v>256.39999999999998</v>
      </c>
      <c r="CJ246" s="3">
        <v>145.9</v>
      </c>
      <c r="CK246" s="3">
        <v>168.1</v>
      </c>
      <c r="CL246" s="3">
        <v>367</v>
      </c>
      <c r="CM246" s="3">
        <v>171.5</v>
      </c>
      <c r="CN246" s="3">
        <v>169.7</v>
      </c>
    </row>
    <row r="247" spans="1:92" x14ac:dyDescent="0.25">
      <c r="A247" s="4">
        <v>39234</v>
      </c>
      <c r="B247" s="3">
        <v>176.1</v>
      </c>
      <c r="C247" s="3">
        <v>150.80000000000001</v>
      </c>
      <c r="D247" s="3">
        <v>174.4</v>
      </c>
      <c r="E247" s="3">
        <v>142.4</v>
      </c>
      <c r="F247" s="3">
        <v>191.5</v>
      </c>
      <c r="G247" s="3">
        <v>199</v>
      </c>
      <c r="H247" s="3">
        <v>158.5</v>
      </c>
      <c r="I247" s="3">
        <v>185.4</v>
      </c>
      <c r="J247" s="3">
        <v>114</v>
      </c>
      <c r="K247" s="3">
        <v>150</v>
      </c>
      <c r="L247" s="3">
        <v>175.9</v>
      </c>
      <c r="M247" s="3">
        <v>190.6</v>
      </c>
      <c r="N247" s="3">
        <v>162</v>
      </c>
      <c r="O247" s="3">
        <v>172.7</v>
      </c>
      <c r="P247" s="3">
        <v>143.9</v>
      </c>
      <c r="Q247" s="3">
        <v>176.7</v>
      </c>
      <c r="R247" s="3">
        <v>181.9</v>
      </c>
      <c r="S247" s="3">
        <v>194.2</v>
      </c>
      <c r="T247" s="3">
        <v>151</v>
      </c>
      <c r="U247" s="3">
        <v>158.5</v>
      </c>
      <c r="V247" s="3">
        <v>125.3</v>
      </c>
      <c r="W247" s="3">
        <v>201</v>
      </c>
      <c r="X247" s="3">
        <v>165.4</v>
      </c>
      <c r="Y247" s="3">
        <v>199.6</v>
      </c>
      <c r="Z247" s="3">
        <v>172.1</v>
      </c>
      <c r="AA247" s="3">
        <v>169.4</v>
      </c>
      <c r="AB247" s="3">
        <v>166.1</v>
      </c>
      <c r="AC247" s="3">
        <v>154.80000000000001</v>
      </c>
      <c r="AD247" s="3">
        <v>141.30000000000001</v>
      </c>
      <c r="AE247" s="3">
        <v>190.8</v>
      </c>
      <c r="AF247" s="3">
        <v>152.1</v>
      </c>
      <c r="AG247" s="3">
        <v>149.30000000000001</v>
      </c>
      <c r="AH247" s="3">
        <v>153.5</v>
      </c>
      <c r="AI247" s="3">
        <v>152.9</v>
      </c>
      <c r="AJ247" s="3">
        <v>247.3</v>
      </c>
      <c r="AK247" s="3">
        <v>312.7</v>
      </c>
      <c r="AL247" s="3">
        <v>242.7</v>
      </c>
      <c r="AM247" s="3">
        <v>240.9</v>
      </c>
      <c r="AN247" s="3">
        <v>261.89999999999998</v>
      </c>
      <c r="AO247" s="3">
        <v>150.1</v>
      </c>
      <c r="AP247" s="3">
        <v>193.2</v>
      </c>
      <c r="AQ247" s="3">
        <v>244.1</v>
      </c>
      <c r="AR247" s="3">
        <v>159.9</v>
      </c>
      <c r="AS247" s="3">
        <v>371.8</v>
      </c>
      <c r="AT247" s="3">
        <v>288.3</v>
      </c>
      <c r="AU247" s="3">
        <v>287.60000000000002</v>
      </c>
      <c r="AV247" s="3">
        <v>388.3</v>
      </c>
      <c r="AW247" s="3">
        <v>293.60000000000002</v>
      </c>
      <c r="AX247" s="3">
        <v>292</v>
      </c>
      <c r="AY247" s="3">
        <v>377.2</v>
      </c>
      <c r="AZ247" s="3">
        <v>329.2</v>
      </c>
      <c r="BA247" s="3">
        <v>165.5</v>
      </c>
      <c r="BB247" s="3">
        <v>282.2</v>
      </c>
      <c r="BC247" s="3">
        <v>198.5</v>
      </c>
      <c r="BD247" s="3">
        <v>199.7</v>
      </c>
      <c r="BE247" s="3">
        <v>221.5</v>
      </c>
      <c r="BF247" s="3">
        <v>260.39999999999998</v>
      </c>
      <c r="BG247" s="3">
        <v>191.2</v>
      </c>
      <c r="BH247" s="3">
        <v>160.6</v>
      </c>
      <c r="BI247" s="3">
        <v>73.5</v>
      </c>
      <c r="BJ247" s="3">
        <v>147.1</v>
      </c>
      <c r="BK247" s="3">
        <v>162.9</v>
      </c>
      <c r="BL247" s="3">
        <v>174.6</v>
      </c>
      <c r="BM247" s="3">
        <v>212.7</v>
      </c>
      <c r="BN247" s="3">
        <v>84.9</v>
      </c>
      <c r="BO247" s="3">
        <v>302.8</v>
      </c>
      <c r="BP247" s="3">
        <v>290.89999999999998</v>
      </c>
      <c r="BQ247" s="3">
        <v>97.3</v>
      </c>
      <c r="BR247" s="3">
        <v>68.599999999999994</v>
      </c>
      <c r="BS247" s="3">
        <v>87.5</v>
      </c>
      <c r="BT247" s="3">
        <v>150.69999999999999</v>
      </c>
      <c r="BU247" s="3">
        <v>111.7</v>
      </c>
      <c r="BV247" s="3">
        <v>140.19999999999999</v>
      </c>
      <c r="BW247" s="3">
        <v>193.2</v>
      </c>
      <c r="BX247" s="3">
        <v>369.4</v>
      </c>
      <c r="BY247" s="3">
        <v>104.1</v>
      </c>
      <c r="BZ247" s="3">
        <v>309.39999999999998</v>
      </c>
      <c r="CA247" s="3">
        <v>281.7</v>
      </c>
      <c r="CB247" s="3">
        <v>296</v>
      </c>
      <c r="CC247" s="3">
        <v>262.7</v>
      </c>
      <c r="CD247" s="3">
        <v>276.2</v>
      </c>
      <c r="CE247" s="3">
        <v>219.7</v>
      </c>
      <c r="CF247" s="3">
        <v>14.9</v>
      </c>
      <c r="CG247" s="3">
        <v>102.7</v>
      </c>
      <c r="CH247" s="3">
        <v>86.7</v>
      </c>
      <c r="CI247" s="3">
        <v>256</v>
      </c>
      <c r="CJ247" s="3">
        <v>144.6</v>
      </c>
      <c r="CK247" s="3">
        <v>168</v>
      </c>
      <c r="CL247" s="3">
        <v>370.1</v>
      </c>
      <c r="CM247" s="3">
        <v>171.3</v>
      </c>
      <c r="CN247" s="3">
        <v>170</v>
      </c>
    </row>
    <row r="248" spans="1:92" x14ac:dyDescent="0.25">
      <c r="A248" s="4">
        <v>39264</v>
      </c>
      <c r="B248" s="3">
        <v>174.3</v>
      </c>
      <c r="C248" s="3">
        <v>146</v>
      </c>
      <c r="D248" s="3">
        <v>172.9</v>
      </c>
      <c r="E248" s="3">
        <v>141.4</v>
      </c>
      <c r="F248" s="3">
        <v>191</v>
      </c>
      <c r="G248" s="3">
        <v>195.9</v>
      </c>
      <c r="H248" s="3">
        <v>153.30000000000001</v>
      </c>
      <c r="I248" s="3">
        <v>181.9</v>
      </c>
      <c r="J248" s="3">
        <v>111</v>
      </c>
      <c r="K248" s="3">
        <v>148.5</v>
      </c>
      <c r="L248" s="3">
        <v>173.7</v>
      </c>
      <c r="M248" s="3">
        <v>187</v>
      </c>
      <c r="N248" s="3">
        <v>161.1</v>
      </c>
      <c r="O248" s="3">
        <v>171.2</v>
      </c>
      <c r="P248" s="3">
        <v>142.5</v>
      </c>
      <c r="Q248" s="3">
        <v>176.6</v>
      </c>
      <c r="R248" s="3">
        <v>181.6</v>
      </c>
      <c r="S248" s="3">
        <v>193.7</v>
      </c>
      <c r="T248" s="3">
        <v>152.80000000000001</v>
      </c>
      <c r="U248" s="3">
        <v>161.80000000000001</v>
      </c>
      <c r="V248" s="3">
        <v>124.5</v>
      </c>
      <c r="W248" s="3">
        <v>201.2</v>
      </c>
      <c r="X248" s="3">
        <v>163.1</v>
      </c>
      <c r="Y248" s="3">
        <v>198.9</v>
      </c>
      <c r="Z248" s="3">
        <v>162.69999999999999</v>
      </c>
      <c r="AA248" s="3">
        <v>152.69999999999999</v>
      </c>
      <c r="AB248" s="3">
        <v>162.1</v>
      </c>
      <c r="AC248" s="3">
        <v>149.9</v>
      </c>
      <c r="AD248" s="3">
        <v>135.9</v>
      </c>
      <c r="AE248" s="3">
        <v>189.8</v>
      </c>
      <c r="AF248" s="3">
        <v>141.9</v>
      </c>
      <c r="AG248" s="3">
        <v>137.80000000000001</v>
      </c>
      <c r="AH248" s="3">
        <v>152.69999999999999</v>
      </c>
      <c r="AI248" s="3">
        <v>152.80000000000001</v>
      </c>
      <c r="AJ248" s="3">
        <v>247.9</v>
      </c>
      <c r="AK248" s="3">
        <v>312.89999999999998</v>
      </c>
      <c r="AL248" s="3">
        <v>243.6</v>
      </c>
      <c r="AM248" s="3">
        <v>241.8</v>
      </c>
      <c r="AN248" s="3">
        <v>262.89999999999998</v>
      </c>
      <c r="AO248" s="3">
        <v>150.4</v>
      </c>
      <c r="AP248" s="3">
        <v>192.6</v>
      </c>
      <c r="AQ248" s="3">
        <v>244.3</v>
      </c>
      <c r="AR248" s="3">
        <v>158.6</v>
      </c>
      <c r="AS248" s="3">
        <v>371.9</v>
      </c>
      <c r="AT248" s="3">
        <v>288.5</v>
      </c>
      <c r="AU248" s="3">
        <v>289.8</v>
      </c>
      <c r="AV248" s="3">
        <v>391.3</v>
      </c>
      <c r="AW248" s="3">
        <v>296.8</v>
      </c>
      <c r="AX248" s="3">
        <v>292</v>
      </c>
      <c r="AY248" s="3">
        <v>377.2</v>
      </c>
      <c r="AZ248" s="3">
        <v>329.6</v>
      </c>
      <c r="BA248" s="3">
        <v>166.5</v>
      </c>
      <c r="BB248" s="3">
        <v>282.7</v>
      </c>
      <c r="BC248" s="3">
        <v>198.2</v>
      </c>
      <c r="BD248" s="3">
        <v>197.2</v>
      </c>
      <c r="BE248" s="3">
        <v>216.5</v>
      </c>
      <c r="BF248" s="3">
        <v>267.10000000000002</v>
      </c>
      <c r="BG248" s="3">
        <v>166.8</v>
      </c>
      <c r="BH248" s="3">
        <v>159</v>
      </c>
      <c r="BI248" s="3">
        <v>72.7</v>
      </c>
      <c r="BJ248" s="3">
        <v>143.9</v>
      </c>
      <c r="BK248" s="3">
        <v>162.1</v>
      </c>
      <c r="BL248" s="3">
        <v>175.2</v>
      </c>
      <c r="BM248" s="3">
        <v>212.7</v>
      </c>
      <c r="BN248" s="3">
        <v>83.8</v>
      </c>
      <c r="BO248" s="3">
        <v>303.8</v>
      </c>
      <c r="BP248" s="3">
        <v>292.2</v>
      </c>
      <c r="BQ248" s="3">
        <v>93.8</v>
      </c>
      <c r="BR248" s="3">
        <v>64.099999999999994</v>
      </c>
      <c r="BS248" s="3">
        <v>87.9</v>
      </c>
      <c r="BT248" s="3">
        <v>148.19999999999999</v>
      </c>
      <c r="BU248" s="3">
        <v>109.4</v>
      </c>
      <c r="BV248" s="3">
        <v>138.6</v>
      </c>
      <c r="BW248" s="3">
        <v>192.2</v>
      </c>
      <c r="BX248" s="3">
        <v>372.1</v>
      </c>
      <c r="BY248" s="3">
        <v>102.9</v>
      </c>
      <c r="BZ248" s="3">
        <v>309.8</v>
      </c>
      <c r="CA248" s="3">
        <v>280.60000000000002</v>
      </c>
      <c r="CB248" s="3">
        <v>297.5</v>
      </c>
      <c r="CC248" s="3">
        <v>263.60000000000002</v>
      </c>
      <c r="CD248" s="3">
        <v>276.3</v>
      </c>
      <c r="CE248" s="3">
        <v>236.9</v>
      </c>
      <c r="CF248" s="3">
        <v>14.5</v>
      </c>
      <c r="CG248" s="3">
        <v>100.3</v>
      </c>
      <c r="CH248" s="3">
        <v>85.7</v>
      </c>
      <c r="CI248" s="3">
        <v>259</v>
      </c>
      <c r="CJ248" s="3">
        <v>144.80000000000001</v>
      </c>
      <c r="CK248" s="3">
        <v>167.7</v>
      </c>
      <c r="CL248" s="3">
        <v>367.2</v>
      </c>
      <c r="CM248" s="3">
        <v>172.6</v>
      </c>
      <c r="CN248" s="3">
        <v>170.5</v>
      </c>
    </row>
    <row r="249" spans="1:92" x14ac:dyDescent="0.25">
      <c r="A249" s="4">
        <v>39295</v>
      </c>
      <c r="B249" s="3">
        <v>174.4</v>
      </c>
      <c r="C249" s="3">
        <v>147.1</v>
      </c>
      <c r="D249" s="3">
        <v>172.8</v>
      </c>
      <c r="E249" s="3">
        <v>141.19999999999999</v>
      </c>
      <c r="F249" s="3">
        <v>191.6</v>
      </c>
      <c r="G249" s="3">
        <v>195.1</v>
      </c>
      <c r="H249" s="3">
        <v>153.19999999999999</v>
      </c>
      <c r="I249" s="3">
        <v>182.1</v>
      </c>
      <c r="J249" s="3">
        <v>112.6</v>
      </c>
      <c r="K249" s="3">
        <v>148.5</v>
      </c>
      <c r="L249" s="3">
        <v>173.7</v>
      </c>
      <c r="M249" s="3">
        <v>191.5</v>
      </c>
      <c r="N249" s="3">
        <v>157.1</v>
      </c>
      <c r="O249" s="3">
        <v>169.8</v>
      </c>
      <c r="P249" s="3">
        <v>141.4</v>
      </c>
      <c r="Q249" s="3">
        <v>177.2</v>
      </c>
      <c r="R249" s="3">
        <v>190.8</v>
      </c>
      <c r="S249" s="3">
        <v>194</v>
      </c>
      <c r="T249" s="3">
        <v>153.80000000000001</v>
      </c>
      <c r="U249" s="3">
        <v>157.5</v>
      </c>
      <c r="V249" s="3">
        <v>125.8</v>
      </c>
      <c r="W249" s="3">
        <v>201.1</v>
      </c>
      <c r="X249" s="3">
        <v>162</v>
      </c>
      <c r="Y249" s="3">
        <v>200.9</v>
      </c>
      <c r="Z249" s="3">
        <v>163.30000000000001</v>
      </c>
      <c r="AA249" s="3">
        <v>151.30000000000001</v>
      </c>
      <c r="AB249" s="3">
        <v>164.2</v>
      </c>
      <c r="AC249" s="3">
        <v>153.1</v>
      </c>
      <c r="AD249" s="3">
        <v>139.80000000000001</v>
      </c>
      <c r="AE249" s="3">
        <v>188.7</v>
      </c>
      <c r="AF249" s="3">
        <v>144.69999999999999</v>
      </c>
      <c r="AG249" s="3">
        <v>141.4</v>
      </c>
      <c r="AH249" s="3">
        <v>150.1</v>
      </c>
      <c r="AI249" s="3">
        <v>152.4</v>
      </c>
      <c r="AJ249" s="3">
        <v>248.2</v>
      </c>
      <c r="AK249" s="3">
        <v>314</v>
      </c>
      <c r="AL249" s="3">
        <v>244.1</v>
      </c>
      <c r="AM249" s="3">
        <v>242</v>
      </c>
      <c r="AN249" s="3">
        <v>262.89999999999998</v>
      </c>
      <c r="AO249" s="3">
        <v>151.4</v>
      </c>
      <c r="AP249" s="3">
        <v>193.1</v>
      </c>
      <c r="AQ249" s="3">
        <v>244.7</v>
      </c>
      <c r="AR249" s="3">
        <v>159.19999999999999</v>
      </c>
      <c r="AS249" s="3">
        <v>372</v>
      </c>
      <c r="AT249" s="3">
        <v>288.5</v>
      </c>
      <c r="AU249" s="3">
        <v>289.60000000000002</v>
      </c>
      <c r="AV249" s="3">
        <v>406.8</v>
      </c>
      <c r="AW249" s="3">
        <v>300.3</v>
      </c>
      <c r="AX249" s="3">
        <v>292</v>
      </c>
      <c r="AY249" s="3">
        <v>377.2</v>
      </c>
      <c r="AZ249" s="3">
        <v>330.4</v>
      </c>
      <c r="BA249" s="3">
        <v>166.6</v>
      </c>
      <c r="BB249" s="3">
        <v>289.2</v>
      </c>
      <c r="BC249" s="3">
        <v>198.4</v>
      </c>
      <c r="BD249" s="3">
        <v>196.2</v>
      </c>
      <c r="BE249" s="3">
        <v>213.4</v>
      </c>
      <c r="BF249" s="3">
        <v>262.39999999999998</v>
      </c>
      <c r="BG249" s="3">
        <v>168.5</v>
      </c>
      <c r="BH249" s="3">
        <v>161.69999999999999</v>
      </c>
      <c r="BI249" s="3">
        <v>72.3</v>
      </c>
      <c r="BJ249" s="3">
        <v>145.6</v>
      </c>
      <c r="BK249" s="3">
        <v>160.69999999999999</v>
      </c>
      <c r="BL249" s="3">
        <v>173.7</v>
      </c>
      <c r="BM249" s="3">
        <v>212.7</v>
      </c>
      <c r="BN249" s="3">
        <v>85.8</v>
      </c>
      <c r="BO249" s="3">
        <v>304.8</v>
      </c>
      <c r="BP249" s="3">
        <v>292.7</v>
      </c>
      <c r="BQ249" s="3">
        <v>94.9</v>
      </c>
      <c r="BR249" s="3">
        <v>65.7</v>
      </c>
      <c r="BS249" s="3">
        <v>87.8</v>
      </c>
      <c r="BT249" s="3">
        <v>149.6</v>
      </c>
      <c r="BU249" s="3">
        <v>110.3</v>
      </c>
      <c r="BV249" s="3">
        <v>139.4</v>
      </c>
      <c r="BW249" s="3">
        <v>192.1</v>
      </c>
      <c r="BX249" s="3">
        <v>372.4</v>
      </c>
      <c r="BY249" s="3">
        <v>102.1</v>
      </c>
      <c r="BZ249" s="3">
        <v>311.39999999999998</v>
      </c>
      <c r="CA249" s="3">
        <v>280</v>
      </c>
      <c r="CB249" s="3">
        <v>297.89999999999998</v>
      </c>
      <c r="CC249" s="3">
        <v>265</v>
      </c>
      <c r="CD249" s="3">
        <v>277.39999999999998</v>
      </c>
      <c r="CE249" s="3">
        <v>246.2</v>
      </c>
      <c r="CF249" s="3">
        <v>14.5</v>
      </c>
      <c r="CG249" s="3">
        <v>100.5</v>
      </c>
      <c r="CH249" s="3">
        <v>86.8</v>
      </c>
      <c r="CI249" s="3">
        <v>260.8</v>
      </c>
      <c r="CJ249" s="3">
        <v>144.80000000000001</v>
      </c>
      <c r="CK249" s="3">
        <v>167.7</v>
      </c>
      <c r="CL249" s="3">
        <v>371</v>
      </c>
      <c r="CM249" s="3">
        <v>173.1</v>
      </c>
      <c r="CN249" s="3">
        <v>171.4</v>
      </c>
    </row>
    <row r="250" spans="1:92" x14ac:dyDescent="0.25">
      <c r="A250" s="4">
        <v>39326</v>
      </c>
      <c r="B250" s="3">
        <v>180.3</v>
      </c>
      <c r="C250" s="3">
        <v>149.1</v>
      </c>
      <c r="D250" s="3">
        <v>172.2</v>
      </c>
      <c r="E250" s="3">
        <v>139.80000000000001</v>
      </c>
      <c r="F250" s="3">
        <v>186</v>
      </c>
      <c r="G250" s="3">
        <v>189.9</v>
      </c>
      <c r="H250" s="3">
        <v>160.6</v>
      </c>
      <c r="I250" s="3">
        <v>176.7</v>
      </c>
      <c r="J250" s="3">
        <v>110.4</v>
      </c>
      <c r="K250" s="3">
        <v>148.6</v>
      </c>
      <c r="L250" s="3">
        <v>174.8</v>
      </c>
      <c r="M250" s="3">
        <v>188.9</v>
      </c>
      <c r="N250" s="3">
        <v>161.4</v>
      </c>
      <c r="O250" s="3">
        <v>199.8</v>
      </c>
      <c r="P250" s="3">
        <v>154.5</v>
      </c>
      <c r="Q250" s="3">
        <v>182</v>
      </c>
      <c r="R250" s="3">
        <v>197</v>
      </c>
      <c r="S250" s="3">
        <v>217.8</v>
      </c>
      <c r="T250" s="3">
        <v>156</v>
      </c>
      <c r="U250" s="3">
        <v>160.4</v>
      </c>
      <c r="V250" s="3">
        <v>126.1</v>
      </c>
      <c r="W250" s="3">
        <v>200.3</v>
      </c>
      <c r="X250" s="3">
        <v>163.6</v>
      </c>
      <c r="Y250" s="3">
        <v>201.6</v>
      </c>
      <c r="Z250" s="3">
        <v>162.5</v>
      </c>
      <c r="AA250" s="3">
        <v>153.9</v>
      </c>
      <c r="AB250" s="3">
        <v>161</v>
      </c>
      <c r="AC250" s="3">
        <v>151</v>
      </c>
      <c r="AD250" s="3">
        <v>137.1</v>
      </c>
      <c r="AE250" s="3">
        <v>189.8</v>
      </c>
      <c r="AF250" s="3">
        <v>149.69999999999999</v>
      </c>
      <c r="AG250" s="3">
        <v>146.69999999999999</v>
      </c>
      <c r="AH250" s="3">
        <v>153</v>
      </c>
      <c r="AI250" s="3">
        <v>153.80000000000001</v>
      </c>
      <c r="AJ250" s="3">
        <v>248.8</v>
      </c>
      <c r="AK250" s="3">
        <v>318.2</v>
      </c>
      <c r="AL250" s="3">
        <v>244.5</v>
      </c>
      <c r="AM250" s="3">
        <v>242</v>
      </c>
      <c r="AN250" s="3">
        <v>263.39999999999998</v>
      </c>
      <c r="AO250" s="3">
        <v>149.6</v>
      </c>
      <c r="AP250" s="3">
        <v>193.5</v>
      </c>
      <c r="AQ250" s="3">
        <v>245.2</v>
      </c>
      <c r="AR250" s="3">
        <v>159.6</v>
      </c>
      <c r="AS250" s="3">
        <v>372.4</v>
      </c>
      <c r="AT250" s="3">
        <v>288.60000000000002</v>
      </c>
      <c r="AU250" s="3">
        <v>289.89999999999998</v>
      </c>
      <c r="AV250" s="3">
        <v>409.5</v>
      </c>
      <c r="AW250" s="3">
        <v>302.89999999999998</v>
      </c>
      <c r="AX250" s="3">
        <v>292</v>
      </c>
      <c r="AY250" s="3">
        <v>377.2</v>
      </c>
      <c r="AZ250" s="3">
        <v>331.1</v>
      </c>
      <c r="BA250" s="3">
        <v>167.3</v>
      </c>
      <c r="BB250" s="3">
        <v>292.39999999999998</v>
      </c>
      <c r="BC250" s="3">
        <v>200.8</v>
      </c>
      <c r="BD250" s="3">
        <v>195.9</v>
      </c>
      <c r="BE250" s="3">
        <v>211.8</v>
      </c>
      <c r="BF250" s="3">
        <v>276.3</v>
      </c>
      <c r="BG250" s="3">
        <v>177</v>
      </c>
      <c r="BH250" s="3">
        <v>163.80000000000001</v>
      </c>
      <c r="BI250" s="3">
        <v>73.599999999999994</v>
      </c>
      <c r="BJ250" s="3">
        <v>145.19999999999999</v>
      </c>
      <c r="BK250" s="3">
        <v>161.1</v>
      </c>
      <c r="BL250" s="3">
        <v>175.4</v>
      </c>
      <c r="BM250" s="3">
        <v>212.7</v>
      </c>
      <c r="BN250" s="3">
        <v>85.5</v>
      </c>
      <c r="BO250" s="3">
        <v>305.89999999999998</v>
      </c>
      <c r="BP250" s="3">
        <v>298.89999999999998</v>
      </c>
      <c r="BQ250" s="3">
        <v>96.1</v>
      </c>
      <c r="BR250" s="3">
        <v>67.900000000000006</v>
      </c>
      <c r="BS250" s="3">
        <v>89.9</v>
      </c>
      <c r="BT250" s="3">
        <v>150.9</v>
      </c>
      <c r="BU250" s="3">
        <v>110.7</v>
      </c>
      <c r="BV250" s="3">
        <v>140.69999999999999</v>
      </c>
      <c r="BW250" s="3">
        <v>192.4</v>
      </c>
      <c r="BX250" s="3">
        <v>373.2</v>
      </c>
      <c r="BY250" s="3">
        <v>101.8</v>
      </c>
      <c r="BZ250" s="3">
        <v>311.8</v>
      </c>
      <c r="CA250" s="3">
        <v>276.7</v>
      </c>
      <c r="CB250" s="3">
        <v>298.5</v>
      </c>
      <c r="CC250" s="3">
        <v>264.8</v>
      </c>
      <c r="CD250" s="3">
        <v>277</v>
      </c>
      <c r="CE250" s="3">
        <v>210.7</v>
      </c>
      <c r="CF250" s="3">
        <v>14.2</v>
      </c>
      <c r="CG250" s="3">
        <v>100.7</v>
      </c>
      <c r="CH250" s="3">
        <v>87.1</v>
      </c>
      <c r="CI250" s="3">
        <v>262.5</v>
      </c>
      <c r="CJ250" s="3">
        <v>144.9</v>
      </c>
      <c r="CK250" s="3">
        <v>167.7</v>
      </c>
      <c r="CL250" s="3">
        <v>379.8</v>
      </c>
      <c r="CM250" s="3">
        <v>173.5</v>
      </c>
      <c r="CN250" s="3">
        <v>171.8</v>
      </c>
    </row>
    <row r="251" spans="1:92" x14ac:dyDescent="0.25">
      <c r="A251" s="4">
        <v>39356</v>
      </c>
      <c r="B251" s="3">
        <v>181.7</v>
      </c>
      <c r="C251" s="3">
        <v>149</v>
      </c>
      <c r="D251" s="3">
        <v>179.4</v>
      </c>
      <c r="E251" s="3">
        <v>139.6</v>
      </c>
      <c r="F251" s="3">
        <v>183.3</v>
      </c>
      <c r="G251" s="3">
        <v>185.8</v>
      </c>
      <c r="H251" s="3">
        <v>160.19999999999999</v>
      </c>
      <c r="I251" s="3">
        <v>190</v>
      </c>
      <c r="J251" s="3">
        <v>116.9</v>
      </c>
      <c r="K251" s="3">
        <v>150.4</v>
      </c>
      <c r="L251" s="3">
        <v>178.4</v>
      </c>
      <c r="M251" s="3">
        <v>194.6</v>
      </c>
      <c r="N251" s="3">
        <v>163.19999999999999</v>
      </c>
      <c r="O251" s="3">
        <v>203.5</v>
      </c>
      <c r="P251" s="3">
        <v>156.19999999999999</v>
      </c>
      <c r="Q251" s="3">
        <v>185.2</v>
      </c>
      <c r="R251" s="3">
        <v>214</v>
      </c>
      <c r="S251" s="3">
        <v>219.2</v>
      </c>
      <c r="T251" s="3">
        <v>156.5</v>
      </c>
      <c r="U251" s="3">
        <v>161.6</v>
      </c>
      <c r="V251" s="3">
        <v>122.6</v>
      </c>
      <c r="W251" s="3">
        <v>200.7</v>
      </c>
      <c r="X251" s="3">
        <v>164.5</v>
      </c>
      <c r="Y251" s="3">
        <v>201.3</v>
      </c>
      <c r="Z251" s="3">
        <v>162.5</v>
      </c>
      <c r="AA251" s="3">
        <v>154</v>
      </c>
      <c r="AB251" s="3">
        <v>161</v>
      </c>
      <c r="AC251" s="3">
        <v>152.5</v>
      </c>
      <c r="AD251" s="3">
        <v>137.6</v>
      </c>
      <c r="AE251" s="3">
        <v>195.9</v>
      </c>
      <c r="AF251" s="3">
        <v>158.9</v>
      </c>
      <c r="AG251" s="3">
        <v>157.5</v>
      </c>
      <c r="AH251" s="3">
        <v>150.69999999999999</v>
      </c>
      <c r="AI251" s="3">
        <v>154.69999999999999</v>
      </c>
      <c r="AJ251" s="3">
        <v>250.4</v>
      </c>
      <c r="AK251" s="3">
        <v>318</v>
      </c>
      <c r="AL251" s="3">
        <v>245.4</v>
      </c>
      <c r="AM251" s="3">
        <v>241.1</v>
      </c>
      <c r="AN251" s="3">
        <v>263.2</v>
      </c>
      <c r="AO251" s="3">
        <v>146.19999999999999</v>
      </c>
      <c r="AP251" s="3">
        <v>193.2</v>
      </c>
      <c r="AQ251" s="3">
        <v>245.2</v>
      </c>
      <c r="AR251" s="3">
        <v>158.9</v>
      </c>
      <c r="AS251" s="3">
        <v>372.5</v>
      </c>
      <c r="AT251" s="3">
        <v>288.8</v>
      </c>
      <c r="AU251" s="3">
        <v>291.2</v>
      </c>
      <c r="AV251" s="3">
        <v>411.3</v>
      </c>
      <c r="AW251" s="3">
        <v>304.3</v>
      </c>
      <c r="AX251" s="3">
        <v>292</v>
      </c>
      <c r="AY251" s="3">
        <v>377.2</v>
      </c>
      <c r="AZ251" s="3">
        <v>333.5</v>
      </c>
      <c r="BA251" s="3">
        <v>167.3</v>
      </c>
      <c r="BB251" s="3">
        <v>291.7</v>
      </c>
      <c r="BC251" s="3">
        <v>206.5</v>
      </c>
      <c r="BD251" s="3">
        <v>195.8</v>
      </c>
      <c r="BE251" s="3">
        <v>211</v>
      </c>
      <c r="BF251" s="3">
        <v>285.3</v>
      </c>
      <c r="BG251" s="3">
        <v>171.1</v>
      </c>
      <c r="BH251" s="3">
        <v>161.9</v>
      </c>
      <c r="BI251" s="3">
        <v>73.099999999999994</v>
      </c>
      <c r="BJ251" s="3">
        <v>145.80000000000001</v>
      </c>
      <c r="BK251" s="3">
        <v>161.4</v>
      </c>
      <c r="BL251" s="3">
        <v>175.8</v>
      </c>
      <c r="BM251" s="3">
        <v>212.7</v>
      </c>
      <c r="BN251" s="3">
        <v>85.1</v>
      </c>
      <c r="BO251" s="3">
        <v>307.89999999999998</v>
      </c>
      <c r="BP251" s="3">
        <v>310.39999999999998</v>
      </c>
      <c r="BQ251" s="3">
        <v>96.4</v>
      </c>
      <c r="BR251" s="3">
        <v>67.3</v>
      </c>
      <c r="BS251" s="3">
        <v>91.5</v>
      </c>
      <c r="BT251" s="3">
        <v>150.1</v>
      </c>
      <c r="BU251" s="3">
        <v>111.1</v>
      </c>
      <c r="BV251" s="3">
        <v>140.19999999999999</v>
      </c>
      <c r="BW251" s="3">
        <v>194.2</v>
      </c>
      <c r="BX251" s="3">
        <v>376.8</v>
      </c>
      <c r="BY251" s="3">
        <v>101.4</v>
      </c>
      <c r="BZ251" s="3">
        <v>312.39999999999998</v>
      </c>
      <c r="CA251" s="3">
        <v>284.2</v>
      </c>
      <c r="CB251" s="3">
        <v>299.60000000000002</v>
      </c>
      <c r="CC251" s="3">
        <v>263.3</v>
      </c>
      <c r="CD251" s="3">
        <v>274.5</v>
      </c>
      <c r="CE251" s="3">
        <v>214.5</v>
      </c>
      <c r="CF251" s="3">
        <v>14.1</v>
      </c>
      <c r="CG251" s="3">
        <v>98.4</v>
      </c>
      <c r="CH251" s="3">
        <v>87.3</v>
      </c>
      <c r="CI251" s="3">
        <v>263.10000000000002</v>
      </c>
      <c r="CJ251" s="3">
        <v>145.1</v>
      </c>
      <c r="CK251" s="3">
        <v>169.7</v>
      </c>
      <c r="CL251" s="3">
        <v>379.5</v>
      </c>
      <c r="CM251" s="3">
        <v>174.5</v>
      </c>
      <c r="CN251" s="3">
        <v>171.9</v>
      </c>
    </row>
    <row r="252" spans="1:92" x14ac:dyDescent="0.25">
      <c r="A252" s="4">
        <v>39387</v>
      </c>
      <c r="B252" s="3">
        <v>189.1</v>
      </c>
      <c r="C252" s="3">
        <v>152.69999999999999</v>
      </c>
      <c r="D252" s="3">
        <v>180.6</v>
      </c>
      <c r="E252" s="3">
        <v>140.1</v>
      </c>
      <c r="F252" s="3">
        <v>183.1</v>
      </c>
      <c r="G252" s="3">
        <v>182.6</v>
      </c>
      <c r="H252" s="3">
        <v>159.30000000000001</v>
      </c>
      <c r="I252" s="3">
        <v>188.9</v>
      </c>
      <c r="J252" s="3">
        <v>118.9</v>
      </c>
      <c r="K252" s="3">
        <v>150.6</v>
      </c>
      <c r="L252" s="3">
        <v>179</v>
      </c>
      <c r="M252" s="3">
        <v>193.2</v>
      </c>
      <c r="N252" s="3">
        <v>165.6</v>
      </c>
      <c r="O252" s="3">
        <v>230.4</v>
      </c>
      <c r="P252" s="3">
        <v>154.1</v>
      </c>
      <c r="Q252" s="3">
        <v>191.5</v>
      </c>
      <c r="R252" s="3">
        <v>231.3</v>
      </c>
      <c r="S252" s="3">
        <v>220.7</v>
      </c>
      <c r="T252" s="3">
        <v>161.5</v>
      </c>
      <c r="U252" s="3">
        <v>160.1</v>
      </c>
      <c r="V252" s="3">
        <v>125.3</v>
      </c>
      <c r="W252" s="3">
        <v>199.5</v>
      </c>
      <c r="X252" s="3">
        <v>166.8</v>
      </c>
      <c r="Y252" s="3">
        <v>203.3</v>
      </c>
      <c r="Z252" s="3">
        <v>166.5</v>
      </c>
      <c r="AA252" s="3">
        <v>155.69999999999999</v>
      </c>
      <c r="AB252" s="3">
        <v>166.4</v>
      </c>
      <c r="AC252" s="3">
        <v>152.69999999999999</v>
      </c>
      <c r="AD252" s="3">
        <v>136.9</v>
      </c>
      <c r="AE252" s="3">
        <v>200.6</v>
      </c>
      <c r="AF252" s="3">
        <v>160.6</v>
      </c>
      <c r="AG252" s="3">
        <v>159.30000000000001</v>
      </c>
      <c r="AH252" s="3">
        <v>151.6</v>
      </c>
      <c r="AI252" s="3">
        <v>154.5</v>
      </c>
      <c r="AJ252" s="3">
        <v>250.8</v>
      </c>
      <c r="AK252" s="3">
        <v>319</v>
      </c>
      <c r="AL252" s="3">
        <v>247</v>
      </c>
      <c r="AM252" s="3">
        <v>241.1</v>
      </c>
      <c r="AN252" s="3">
        <v>263.10000000000002</v>
      </c>
      <c r="AO252" s="3">
        <v>146.80000000000001</v>
      </c>
      <c r="AP252" s="3">
        <v>192.5</v>
      </c>
      <c r="AQ252" s="3">
        <v>245.2</v>
      </c>
      <c r="AR252" s="3">
        <v>157.5</v>
      </c>
      <c r="AS252" s="3">
        <v>372.3</v>
      </c>
      <c r="AT252" s="3">
        <v>288.89999999999998</v>
      </c>
      <c r="AU252" s="3">
        <v>291.7</v>
      </c>
      <c r="AV252" s="3">
        <v>413.9</v>
      </c>
      <c r="AW252" s="3">
        <v>305.5</v>
      </c>
      <c r="AX252" s="3">
        <v>292</v>
      </c>
      <c r="AY252" s="3">
        <v>377.2</v>
      </c>
      <c r="AZ252" s="3">
        <v>334.6</v>
      </c>
      <c r="BA252" s="3">
        <v>167.1</v>
      </c>
      <c r="BB252" s="3">
        <v>292.10000000000002</v>
      </c>
      <c r="BC252" s="3">
        <v>210.5</v>
      </c>
      <c r="BD252" s="3">
        <v>195.8</v>
      </c>
      <c r="BE252" s="3">
        <v>211.1</v>
      </c>
      <c r="BF252" s="3">
        <v>319.10000000000002</v>
      </c>
      <c r="BG252" s="3">
        <v>175.7</v>
      </c>
      <c r="BH252" s="3">
        <v>159</v>
      </c>
      <c r="BI252" s="3">
        <v>73.400000000000006</v>
      </c>
      <c r="BJ252" s="3">
        <v>145.19999999999999</v>
      </c>
      <c r="BK252" s="3">
        <v>162</v>
      </c>
      <c r="BL252" s="3">
        <v>178.9</v>
      </c>
      <c r="BM252" s="3">
        <v>212.7</v>
      </c>
      <c r="BN252" s="3">
        <v>85.2</v>
      </c>
      <c r="BO252" s="3">
        <v>309.3</v>
      </c>
      <c r="BP252" s="3">
        <v>311.10000000000002</v>
      </c>
      <c r="BQ252" s="3">
        <v>96.9</v>
      </c>
      <c r="BR252" s="3">
        <v>67.599999999999994</v>
      </c>
      <c r="BS252" s="3">
        <v>91.7</v>
      </c>
      <c r="BT252" s="3">
        <v>150.69999999999999</v>
      </c>
      <c r="BU252" s="3">
        <v>110.8</v>
      </c>
      <c r="BV252" s="3">
        <v>140.80000000000001</v>
      </c>
      <c r="BW252" s="3">
        <v>193.4</v>
      </c>
      <c r="BX252" s="3">
        <v>377.8</v>
      </c>
      <c r="BY252" s="3">
        <v>101.8</v>
      </c>
      <c r="BZ252" s="3">
        <v>313.3</v>
      </c>
      <c r="CA252" s="3">
        <v>295.10000000000002</v>
      </c>
      <c r="CB252" s="3">
        <v>299.39999999999998</v>
      </c>
      <c r="CC252" s="3">
        <v>263.3</v>
      </c>
      <c r="CD252" s="3">
        <v>275.3</v>
      </c>
      <c r="CE252" s="3">
        <v>203</v>
      </c>
      <c r="CF252" s="3">
        <v>13.9</v>
      </c>
      <c r="CG252" s="3">
        <v>100.4</v>
      </c>
      <c r="CH252" s="3">
        <v>86.7</v>
      </c>
      <c r="CI252" s="3">
        <v>261.5</v>
      </c>
      <c r="CJ252" s="3">
        <v>145.1</v>
      </c>
      <c r="CK252" s="3">
        <v>169.7</v>
      </c>
      <c r="CL252" s="3">
        <v>379.6</v>
      </c>
      <c r="CM252" s="3">
        <v>174.8</v>
      </c>
      <c r="CN252" s="3">
        <v>172</v>
      </c>
    </row>
    <row r="253" spans="1:92" x14ac:dyDescent="0.25">
      <c r="A253" s="4">
        <v>39417</v>
      </c>
      <c r="B253" s="3">
        <v>195.9</v>
      </c>
      <c r="C253" s="3">
        <v>153.19999999999999</v>
      </c>
      <c r="D253" s="3">
        <v>183.6</v>
      </c>
      <c r="E253" s="3">
        <v>140.1</v>
      </c>
      <c r="F253" s="3">
        <v>186.7</v>
      </c>
      <c r="G253" s="3">
        <v>188</v>
      </c>
      <c r="H253" s="3">
        <v>162.4</v>
      </c>
      <c r="I253" s="3">
        <v>191.2</v>
      </c>
      <c r="J253" s="3">
        <v>119.4</v>
      </c>
      <c r="K253" s="3">
        <v>152</v>
      </c>
      <c r="L253" s="3">
        <v>176.6</v>
      </c>
      <c r="M253" s="3">
        <v>190.4</v>
      </c>
      <c r="N253" s="3">
        <v>163.6</v>
      </c>
      <c r="O253" s="3">
        <v>235.2</v>
      </c>
      <c r="P253" s="3">
        <v>153.69999999999999</v>
      </c>
      <c r="Q253" s="3">
        <v>196.1</v>
      </c>
      <c r="R253" s="3">
        <v>233</v>
      </c>
      <c r="S253" s="3">
        <v>220</v>
      </c>
      <c r="T253" s="3">
        <v>164.7</v>
      </c>
      <c r="U253" s="3">
        <v>156.1</v>
      </c>
      <c r="V253" s="3">
        <v>125.4</v>
      </c>
      <c r="W253" s="3">
        <v>199.9</v>
      </c>
      <c r="X253" s="3">
        <v>166.5</v>
      </c>
      <c r="Y253" s="3">
        <v>206.2</v>
      </c>
      <c r="Z253" s="3">
        <v>167.4</v>
      </c>
      <c r="AA253" s="3">
        <v>163</v>
      </c>
      <c r="AB253" s="3">
        <v>162.80000000000001</v>
      </c>
      <c r="AC253" s="3">
        <v>156.30000000000001</v>
      </c>
      <c r="AD253" s="3">
        <v>140.19999999999999</v>
      </c>
      <c r="AE253" s="3">
        <v>204.9</v>
      </c>
      <c r="AF253" s="3">
        <v>158.6</v>
      </c>
      <c r="AG253" s="3">
        <v>157.30000000000001</v>
      </c>
      <c r="AH253" s="3">
        <v>149.6</v>
      </c>
      <c r="AI253" s="3">
        <v>156.4</v>
      </c>
      <c r="AJ253" s="3">
        <v>251.3</v>
      </c>
      <c r="AK253" s="3">
        <v>318.39999999999998</v>
      </c>
      <c r="AL253" s="3">
        <v>248.5</v>
      </c>
      <c r="AM253" s="3">
        <v>241.3</v>
      </c>
      <c r="AN253" s="3">
        <v>263.89999999999998</v>
      </c>
      <c r="AO253" s="3">
        <v>145.1</v>
      </c>
      <c r="AP253" s="3">
        <v>191.5</v>
      </c>
      <c r="AQ253" s="3">
        <v>245.4</v>
      </c>
      <c r="AR253" s="3">
        <v>155.5</v>
      </c>
      <c r="AS253" s="3">
        <v>371.7</v>
      </c>
      <c r="AT253" s="3">
        <v>288.60000000000002</v>
      </c>
      <c r="AU253" s="3">
        <v>291.60000000000002</v>
      </c>
      <c r="AV253" s="3">
        <v>416.5</v>
      </c>
      <c r="AW253" s="3">
        <v>305.5</v>
      </c>
      <c r="AX253" s="3">
        <v>292</v>
      </c>
      <c r="AY253" s="3">
        <v>377.2</v>
      </c>
      <c r="AZ253" s="3">
        <v>335.4</v>
      </c>
      <c r="BA253" s="3">
        <v>168.4</v>
      </c>
      <c r="BB253" s="3">
        <v>301.7</v>
      </c>
      <c r="BC253" s="3">
        <v>214.7</v>
      </c>
      <c r="BD253" s="3">
        <v>195.8</v>
      </c>
      <c r="BE253" s="3">
        <v>211.2</v>
      </c>
      <c r="BF253" s="3">
        <v>320.39999999999998</v>
      </c>
      <c r="BG253" s="3">
        <v>187</v>
      </c>
      <c r="BH253" s="3">
        <v>168</v>
      </c>
      <c r="BI253" s="3">
        <v>72.7</v>
      </c>
      <c r="BJ253" s="3">
        <v>146.69999999999999</v>
      </c>
      <c r="BK253" s="3">
        <v>162.19999999999999</v>
      </c>
      <c r="BL253" s="3">
        <v>179.9</v>
      </c>
      <c r="BM253" s="3">
        <v>212.7</v>
      </c>
      <c r="BN253" s="3">
        <v>85.3</v>
      </c>
      <c r="BO253" s="3">
        <v>309.7</v>
      </c>
      <c r="BP253" s="3">
        <v>311.39999999999998</v>
      </c>
      <c r="BQ253" s="3">
        <v>96.8</v>
      </c>
      <c r="BR253" s="3">
        <v>66.3</v>
      </c>
      <c r="BS253" s="3">
        <v>92.2</v>
      </c>
      <c r="BT253" s="3">
        <v>150.6</v>
      </c>
      <c r="BU253" s="3">
        <v>109.9</v>
      </c>
      <c r="BV253" s="3">
        <v>141.69999999999999</v>
      </c>
      <c r="BW253" s="3">
        <v>193.9</v>
      </c>
      <c r="BX253" s="3">
        <v>378</v>
      </c>
      <c r="BY253" s="3">
        <v>100.8</v>
      </c>
      <c r="BZ253" s="3">
        <v>314.3</v>
      </c>
      <c r="CA253" s="3">
        <v>301.39999999999998</v>
      </c>
      <c r="CB253" s="3">
        <v>300.7</v>
      </c>
      <c r="CC253" s="3">
        <v>263.2</v>
      </c>
      <c r="CD253" s="3">
        <v>277</v>
      </c>
      <c r="CE253" s="3">
        <v>222.5</v>
      </c>
      <c r="CF253" s="3">
        <v>13.9</v>
      </c>
      <c r="CG253" s="3">
        <v>102.9</v>
      </c>
      <c r="CH253" s="3">
        <v>86.8</v>
      </c>
      <c r="CI253" s="3">
        <v>262.89999999999998</v>
      </c>
      <c r="CJ253" s="3">
        <v>146.4</v>
      </c>
      <c r="CK253" s="3">
        <v>169.7</v>
      </c>
      <c r="CL253" s="3">
        <v>380.7</v>
      </c>
      <c r="CM253" s="3">
        <v>175.3</v>
      </c>
      <c r="CN253" s="3">
        <v>172</v>
      </c>
    </row>
    <row r="254" spans="1:92" x14ac:dyDescent="0.25">
      <c r="A254" s="4">
        <v>39448</v>
      </c>
      <c r="B254" s="3">
        <v>194.5</v>
      </c>
      <c r="C254" s="3">
        <v>153.19999999999999</v>
      </c>
      <c r="D254" s="3">
        <v>183.4</v>
      </c>
      <c r="E254" s="3">
        <v>141.19999999999999</v>
      </c>
      <c r="F254" s="3">
        <v>187.3</v>
      </c>
      <c r="G254" s="3">
        <v>187</v>
      </c>
      <c r="H254" s="3">
        <v>164.2</v>
      </c>
      <c r="I254" s="3">
        <v>190.7</v>
      </c>
      <c r="J254" s="3">
        <v>117.6</v>
      </c>
      <c r="K254" s="3">
        <v>151.30000000000001</v>
      </c>
      <c r="L254" s="3">
        <v>180.9</v>
      </c>
      <c r="M254" s="3">
        <v>196.3</v>
      </c>
      <c r="N254" s="3">
        <v>166.4</v>
      </c>
      <c r="O254" s="3">
        <v>236.8</v>
      </c>
      <c r="P254" s="3">
        <v>154.1</v>
      </c>
      <c r="Q254" s="3">
        <v>193.6</v>
      </c>
      <c r="R254" s="3">
        <v>232.8</v>
      </c>
      <c r="S254" s="3">
        <v>220.3</v>
      </c>
      <c r="T254" s="3">
        <v>165.2</v>
      </c>
      <c r="U254" s="3">
        <v>155.4</v>
      </c>
      <c r="V254" s="3">
        <v>124</v>
      </c>
      <c r="W254" s="3">
        <v>200.2</v>
      </c>
      <c r="X254" s="3">
        <v>167.9</v>
      </c>
      <c r="Y254" s="3">
        <v>207.2</v>
      </c>
      <c r="Z254" s="3">
        <v>168.7</v>
      </c>
      <c r="AA254" s="3">
        <v>167.7</v>
      </c>
      <c r="AB254" s="3">
        <v>161.6</v>
      </c>
      <c r="AC254" s="3">
        <v>157.5</v>
      </c>
      <c r="AD254" s="3">
        <v>141.1</v>
      </c>
      <c r="AE254" s="3">
        <v>207.2</v>
      </c>
      <c r="AF254" s="3">
        <v>153.30000000000001</v>
      </c>
      <c r="AG254" s="3">
        <v>151.4</v>
      </c>
      <c r="AH254" s="3">
        <v>148.9</v>
      </c>
      <c r="AI254" s="3">
        <v>156.69999999999999</v>
      </c>
      <c r="AJ254" s="3">
        <v>251.3</v>
      </c>
      <c r="AK254" s="3">
        <v>319.8</v>
      </c>
      <c r="AL254" s="3">
        <v>249.3</v>
      </c>
      <c r="AM254" s="3">
        <v>240.6</v>
      </c>
      <c r="AN254" s="3">
        <v>263</v>
      </c>
      <c r="AO254" s="3">
        <v>145.1</v>
      </c>
      <c r="AP254" s="3">
        <v>193.4</v>
      </c>
      <c r="AQ254" s="3">
        <v>245.6</v>
      </c>
      <c r="AR254" s="3">
        <v>159</v>
      </c>
      <c r="AS254" s="3">
        <v>374.3</v>
      </c>
      <c r="AT254" s="3">
        <v>289.89999999999998</v>
      </c>
      <c r="AU254" s="3">
        <v>293.10000000000002</v>
      </c>
      <c r="AV254" s="3">
        <v>406.5</v>
      </c>
      <c r="AW254" s="3">
        <v>306.3</v>
      </c>
      <c r="AX254" s="3">
        <v>292</v>
      </c>
      <c r="AY254" s="3">
        <v>377.2</v>
      </c>
      <c r="AZ254" s="3">
        <v>339.5</v>
      </c>
      <c r="BA254" s="3">
        <v>170.8</v>
      </c>
      <c r="BB254" s="3">
        <v>309.5</v>
      </c>
      <c r="BC254" s="3">
        <v>217.3</v>
      </c>
      <c r="BD254" s="3">
        <v>196.6</v>
      </c>
      <c r="BE254" s="3">
        <v>211.7</v>
      </c>
      <c r="BF254" s="3">
        <v>335.4</v>
      </c>
      <c r="BG254" s="3">
        <v>168</v>
      </c>
      <c r="BH254" s="3">
        <v>159.69999999999999</v>
      </c>
      <c r="BI254" s="3">
        <v>70.599999999999994</v>
      </c>
      <c r="BJ254" s="3">
        <v>144.4</v>
      </c>
      <c r="BK254" s="3">
        <v>162.19999999999999</v>
      </c>
      <c r="BL254" s="3">
        <v>179.9</v>
      </c>
      <c r="BM254" s="3">
        <v>212.7</v>
      </c>
      <c r="BN254" s="3">
        <v>84.9</v>
      </c>
      <c r="BO254" s="3">
        <v>311.89999999999998</v>
      </c>
      <c r="BP254" s="3">
        <v>314.3</v>
      </c>
      <c r="BQ254" s="3">
        <v>92.1</v>
      </c>
      <c r="BR254" s="3">
        <v>62.3</v>
      </c>
      <c r="BS254" s="3">
        <v>88.6</v>
      </c>
      <c r="BT254" s="3">
        <v>148</v>
      </c>
      <c r="BU254" s="3">
        <v>105.9</v>
      </c>
      <c r="BV254" s="3">
        <v>140.4</v>
      </c>
      <c r="BW254" s="3">
        <v>193.4</v>
      </c>
      <c r="BX254" s="3">
        <v>380.6</v>
      </c>
      <c r="BY254" s="3">
        <v>101.1</v>
      </c>
      <c r="BZ254" s="3">
        <v>319.60000000000002</v>
      </c>
      <c r="CA254" s="3">
        <v>304.8</v>
      </c>
      <c r="CB254" s="3">
        <v>302.39999999999998</v>
      </c>
      <c r="CC254" s="3">
        <v>272</v>
      </c>
      <c r="CD254" s="3">
        <v>282.7</v>
      </c>
      <c r="CE254" s="3">
        <v>205.7</v>
      </c>
      <c r="CF254" s="3">
        <v>13.3</v>
      </c>
      <c r="CG254" s="3">
        <v>98.1</v>
      </c>
      <c r="CH254" s="3">
        <v>86</v>
      </c>
      <c r="CI254" s="3">
        <v>264.2</v>
      </c>
      <c r="CJ254" s="3">
        <v>147</v>
      </c>
      <c r="CK254" s="3">
        <v>169</v>
      </c>
      <c r="CL254" s="3">
        <v>381.1</v>
      </c>
      <c r="CM254" s="3">
        <v>175.2</v>
      </c>
      <c r="CN254" s="3">
        <v>172.2</v>
      </c>
    </row>
    <row r="255" spans="1:92" x14ac:dyDescent="0.25">
      <c r="A255" s="4">
        <v>39479</v>
      </c>
      <c r="B255" s="3">
        <v>196.9</v>
      </c>
      <c r="C255" s="3">
        <v>154.80000000000001</v>
      </c>
      <c r="D255" s="3">
        <v>186.1</v>
      </c>
      <c r="E255" s="3">
        <v>145.9</v>
      </c>
      <c r="F255" s="3">
        <v>187.3</v>
      </c>
      <c r="G255" s="3">
        <v>186.9</v>
      </c>
      <c r="H255" s="3">
        <v>164.1</v>
      </c>
      <c r="I255" s="3">
        <v>190.9</v>
      </c>
      <c r="J255" s="3">
        <v>119.2</v>
      </c>
      <c r="K255" s="3">
        <v>151.5</v>
      </c>
      <c r="L255" s="3">
        <v>179</v>
      </c>
      <c r="M255" s="3">
        <v>187.6</v>
      </c>
      <c r="N255" s="3">
        <v>170.2</v>
      </c>
      <c r="O255" s="3">
        <v>236.9</v>
      </c>
      <c r="P255" s="3">
        <v>153.4</v>
      </c>
      <c r="Q255" s="3">
        <v>201.1</v>
      </c>
      <c r="R255" s="3">
        <v>234.2</v>
      </c>
      <c r="S255" s="3">
        <v>219.8</v>
      </c>
      <c r="T255" s="3">
        <v>166.5</v>
      </c>
      <c r="U255" s="3">
        <v>164.2</v>
      </c>
      <c r="V255" s="3">
        <v>126</v>
      </c>
      <c r="W255" s="3">
        <v>202.7</v>
      </c>
      <c r="X255" s="3">
        <v>168.4</v>
      </c>
      <c r="Y255" s="3">
        <v>207</v>
      </c>
      <c r="Z255" s="3">
        <v>172.9</v>
      </c>
      <c r="AA255" s="3">
        <v>167.1</v>
      </c>
      <c r="AB255" s="3">
        <v>168.8</v>
      </c>
      <c r="AC255" s="3">
        <v>156.5</v>
      </c>
      <c r="AD255" s="3">
        <v>139.80000000000001</v>
      </c>
      <c r="AE255" s="3">
        <v>208.3</v>
      </c>
      <c r="AF255" s="3">
        <v>148.9</v>
      </c>
      <c r="AG255" s="3">
        <v>146.80000000000001</v>
      </c>
      <c r="AH255" s="3">
        <v>145.80000000000001</v>
      </c>
      <c r="AI255" s="3">
        <v>155.9</v>
      </c>
      <c r="AJ255" s="3">
        <v>252.1</v>
      </c>
      <c r="AK255" s="3">
        <v>321.39999999999998</v>
      </c>
      <c r="AL255" s="3">
        <v>249.9</v>
      </c>
      <c r="AM255" s="3">
        <v>242.9</v>
      </c>
      <c r="AN255" s="3">
        <v>264.89999999999998</v>
      </c>
      <c r="AO255" s="3">
        <v>148.19999999999999</v>
      </c>
      <c r="AP255" s="3">
        <v>194.2</v>
      </c>
      <c r="AQ255" s="3">
        <v>246.2</v>
      </c>
      <c r="AR255" s="3">
        <v>159.9</v>
      </c>
      <c r="AS255" s="3">
        <v>378.9</v>
      </c>
      <c r="AT255" s="3">
        <v>293.8</v>
      </c>
      <c r="AU255" s="3">
        <v>293.10000000000002</v>
      </c>
      <c r="AV255" s="3">
        <v>408.9</v>
      </c>
      <c r="AW255" s="3">
        <v>305.3</v>
      </c>
      <c r="AX255" s="3">
        <v>292</v>
      </c>
      <c r="AY255" s="3">
        <v>377.2</v>
      </c>
      <c r="AZ255" s="3">
        <v>339.7</v>
      </c>
      <c r="BA255" s="3">
        <v>171.9</v>
      </c>
      <c r="BB255" s="3">
        <v>314.7</v>
      </c>
      <c r="BC255" s="3">
        <v>218.3</v>
      </c>
      <c r="BD255" s="3">
        <v>217.4</v>
      </c>
      <c r="BE255" s="3">
        <v>239.4</v>
      </c>
      <c r="BF255" s="3">
        <v>336.1</v>
      </c>
      <c r="BG255" s="3">
        <v>171.9</v>
      </c>
      <c r="BH255" s="3">
        <v>166.9</v>
      </c>
      <c r="BI255" s="3">
        <v>69.8</v>
      </c>
      <c r="BJ255" s="3">
        <v>148.6</v>
      </c>
      <c r="BK255" s="3">
        <v>162.80000000000001</v>
      </c>
      <c r="BL255" s="3">
        <v>180.7</v>
      </c>
      <c r="BM255" s="3">
        <v>212.7</v>
      </c>
      <c r="BN255" s="3">
        <v>84</v>
      </c>
      <c r="BO255" s="3">
        <v>311.89999999999998</v>
      </c>
      <c r="BP255" s="3">
        <v>314.10000000000002</v>
      </c>
      <c r="BQ255" s="3">
        <v>93.4</v>
      </c>
      <c r="BR255" s="3">
        <v>63.2</v>
      </c>
      <c r="BS255" s="3">
        <v>88.9</v>
      </c>
      <c r="BT255" s="3">
        <v>148</v>
      </c>
      <c r="BU255" s="3">
        <v>108.5</v>
      </c>
      <c r="BV255" s="3">
        <v>141.80000000000001</v>
      </c>
      <c r="BW255" s="3">
        <v>194.9</v>
      </c>
      <c r="BX255" s="3">
        <v>381.1</v>
      </c>
      <c r="BY255" s="3">
        <v>100.8</v>
      </c>
      <c r="BZ255" s="3">
        <v>320.39999999999998</v>
      </c>
      <c r="CA255" s="3">
        <v>304.5</v>
      </c>
      <c r="CB255" s="3">
        <v>301</v>
      </c>
      <c r="CC255" s="3">
        <v>273.5</v>
      </c>
      <c r="CD255" s="3">
        <v>284</v>
      </c>
      <c r="CE255" s="3">
        <v>209.9</v>
      </c>
      <c r="CF255" s="3">
        <v>13.2</v>
      </c>
      <c r="CG255" s="3">
        <v>100.7</v>
      </c>
      <c r="CH255" s="3">
        <v>85.4</v>
      </c>
      <c r="CI255" s="3">
        <v>274.7</v>
      </c>
      <c r="CJ255" s="3">
        <v>150</v>
      </c>
      <c r="CK255" s="3">
        <v>169</v>
      </c>
      <c r="CL255" s="3">
        <v>381.8</v>
      </c>
      <c r="CM255" s="3">
        <v>175.9</v>
      </c>
      <c r="CN255" s="3">
        <v>172.2</v>
      </c>
    </row>
    <row r="256" spans="1:92" x14ac:dyDescent="0.25">
      <c r="A256" s="4">
        <v>39508</v>
      </c>
      <c r="B256" s="3">
        <v>195.8</v>
      </c>
      <c r="C256" s="3">
        <v>158.30000000000001</v>
      </c>
      <c r="D256" s="3">
        <v>185.1</v>
      </c>
      <c r="E256" s="3">
        <v>148.30000000000001</v>
      </c>
      <c r="F256" s="3">
        <v>188.9</v>
      </c>
      <c r="G256" s="3">
        <v>194.4</v>
      </c>
      <c r="H256" s="3">
        <v>162.80000000000001</v>
      </c>
      <c r="I256" s="3">
        <v>188.7</v>
      </c>
      <c r="J256" s="3">
        <v>121</v>
      </c>
      <c r="K256" s="3">
        <v>152.4</v>
      </c>
      <c r="L256" s="3">
        <v>179.1</v>
      </c>
      <c r="M256" s="3">
        <v>183.1</v>
      </c>
      <c r="N256" s="3">
        <v>174.2</v>
      </c>
      <c r="O256" s="3">
        <v>234.6</v>
      </c>
      <c r="P256" s="3">
        <v>154.4</v>
      </c>
      <c r="Q256" s="3">
        <v>205.4</v>
      </c>
      <c r="R256" s="3">
        <v>238.4</v>
      </c>
      <c r="S256" s="3">
        <v>219.4</v>
      </c>
      <c r="T256" s="3">
        <v>167.8</v>
      </c>
      <c r="U256" s="3">
        <v>163.19999999999999</v>
      </c>
      <c r="V256" s="3">
        <v>125.3</v>
      </c>
      <c r="W256" s="3">
        <v>203.7</v>
      </c>
      <c r="X256" s="3">
        <v>167.2</v>
      </c>
      <c r="Y256" s="3">
        <v>209.7</v>
      </c>
      <c r="Z256" s="3">
        <v>171.1</v>
      </c>
      <c r="AA256" s="3">
        <v>168.5</v>
      </c>
      <c r="AB256" s="3">
        <v>164.9</v>
      </c>
      <c r="AC256" s="3">
        <v>156.4</v>
      </c>
      <c r="AD256" s="3">
        <v>139.1</v>
      </c>
      <c r="AE256" s="3">
        <v>211.5</v>
      </c>
      <c r="AF256" s="3">
        <v>148.9</v>
      </c>
      <c r="AG256" s="3">
        <v>146.4</v>
      </c>
      <c r="AH256" s="3">
        <v>148.80000000000001</v>
      </c>
      <c r="AI256" s="3">
        <v>157</v>
      </c>
      <c r="AJ256" s="3">
        <v>253.1</v>
      </c>
      <c r="AK256" s="3">
        <v>322.2</v>
      </c>
      <c r="AL256" s="3">
        <v>250.2</v>
      </c>
      <c r="AM256" s="3">
        <v>243.9</v>
      </c>
      <c r="AN256" s="3">
        <v>267</v>
      </c>
      <c r="AO256" s="3">
        <v>146.1</v>
      </c>
      <c r="AP256" s="3">
        <v>194.8</v>
      </c>
      <c r="AQ256" s="3">
        <v>247.4</v>
      </c>
      <c r="AR256" s="3">
        <v>160.19999999999999</v>
      </c>
      <c r="AS256" s="3">
        <v>380.1</v>
      </c>
      <c r="AT256" s="3">
        <v>294.39999999999998</v>
      </c>
      <c r="AU256" s="3">
        <v>293.10000000000002</v>
      </c>
      <c r="AV256" s="3">
        <v>398.2</v>
      </c>
      <c r="AW256" s="3">
        <v>304.39999999999998</v>
      </c>
      <c r="AX256" s="3">
        <v>292</v>
      </c>
      <c r="AY256" s="3">
        <v>377.2</v>
      </c>
      <c r="AZ256" s="3">
        <v>340</v>
      </c>
      <c r="BA256" s="3">
        <v>172.7</v>
      </c>
      <c r="BB256" s="3">
        <v>316.89999999999998</v>
      </c>
      <c r="BC256" s="3">
        <v>219</v>
      </c>
      <c r="BD256" s="3">
        <v>217.4</v>
      </c>
      <c r="BE256" s="3">
        <v>239.4</v>
      </c>
      <c r="BF256" s="3">
        <v>374.8</v>
      </c>
      <c r="BG256" s="3">
        <v>186</v>
      </c>
      <c r="BH256" s="3">
        <v>164.2</v>
      </c>
      <c r="BI256" s="3">
        <v>69.8</v>
      </c>
      <c r="BJ256" s="3">
        <v>149.80000000000001</v>
      </c>
      <c r="BK256" s="3">
        <v>163.80000000000001</v>
      </c>
      <c r="BL256" s="3">
        <v>180.6</v>
      </c>
      <c r="BM256" s="3">
        <v>213</v>
      </c>
      <c r="BN256" s="3">
        <v>84</v>
      </c>
      <c r="BO256" s="3">
        <v>312.89999999999998</v>
      </c>
      <c r="BP256" s="3">
        <v>316.60000000000002</v>
      </c>
      <c r="BQ256" s="3">
        <v>94.9</v>
      </c>
      <c r="BR256" s="3">
        <v>63.4</v>
      </c>
      <c r="BS256" s="3">
        <v>89.4</v>
      </c>
      <c r="BT256" s="3">
        <v>148.80000000000001</v>
      </c>
      <c r="BU256" s="3">
        <v>109.4</v>
      </c>
      <c r="BV256" s="3">
        <v>144.6</v>
      </c>
      <c r="BW256" s="3">
        <v>196.4</v>
      </c>
      <c r="BX256" s="3">
        <v>382.2</v>
      </c>
      <c r="BY256" s="3">
        <v>100.3</v>
      </c>
      <c r="BZ256" s="3">
        <v>321.7</v>
      </c>
      <c r="CA256" s="3">
        <v>313.2</v>
      </c>
      <c r="CB256" s="3">
        <v>298.8</v>
      </c>
      <c r="CC256" s="3">
        <v>273.10000000000002</v>
      </c>
      <c r="CD256" s="3">
        <v>286.3</v>
      </c>
      <c r="CE256" s="3">
        <v>217.1</v>
      </c>
      <c r="CF256" s="3">
        <v>12.8</v>
      </c>
      <c r="CG256" s="3">
        <v>99.5</v>
      </c>
      <c r="CH256" s="3">
        <v>84.8</v>
      </c>
      <c r="CI256" s="3">
        <v>275.8</v>
      </c>
      <c r="CJ256" s="3">
        <v>148.19999999999999</v>
      </c>
      <c r="CK256" s="3">
        <v>169</v>
      </c>
      <c r="CL256" s="3">
        <v>382.1</v>
      </c>
      <c r="CM256" s="3">
        <v>176.5</v>
      </c>
      <c r="CN256" s="3">
        <v>172.5</v>
      </c>
    </row>
    <row r="257" spans="1:92" x14ac:dyDescent="0.25">
      <c r="A257" s="4">
        <v>39539</v>
      </c>
      <c r="B257" s="3">
        <v>199.4</v>
      </c>
      <c r="C257" s="3">
        <v>160.19999999999999</v>
      </c>
      <c r="D257" s="3">
        <v>185.7</v>
      </c>
      <c r="E257" s="3">
        <v>154.5</v>
      </c>
      <c r="F257" s="3">
        <v>196.2</v>
      </c>
      <c r="G257" s="3">
        <v>204.1</v>
      </c>
      <c r="H257" s="3">
        <v>174.9</v>
      </c>
      <c r="I257" s="3">
        <v>189.4</v>
      </c>
      <c r="J257" s="3">
        <v>122.4</v>
      </c>
      <c r="K257" s="3">
        <v>152.69999999999999</v>
      </c>
      <c r="L257" s="3">
        <v>183.1</v>
      </c>
      <c r="M257" s="3">
        <v>189.3</v>
      </c>
      <c r="N257" s="3">
        <v>176.4</v>
      </c>
      <c r="O257" s="3">
        <v>229.3</v>
      </c>
      <c r="P257" s="3">
        <v>154.1</v>
      </c>
      <c r="Q257" s="3">
        <v>204.2</v>
      </c>
      <c r="R257" s="3">
        <v>241.2</v>
      </c>
      <c r="S257" s="3">
        <v>219.2</v>
      </c>
      <c r="T257" s="3">
        <v>168.1</v>
      </c>
      <c r="U257" s="3">
        <v>161</v>
      </c>
      <c r="V257" s="3">
        <v>125.3</v>
      </c>
      <c r="W257" s="3">
        <v>204.2</v>
      </c>
      <c r="X257" s="3">
        <v>170.1</v>
      </c>
      <c r="Y257" s="3">
        <v>211.2</v>
      </c>
      <c r="Z257" s="3">
        <v>175</v>
      </c>
      <c r="AA257" s="3">
        <v>174.8</v>
      </c>
      <c r="AB257" s="3">
        <v>167.1</v>
      </c>
      <c r="AC257" s="3">
        <v>160</v>
      </c>
      <c r="AD257" s="3">
        <v>142.69999999999999</v>
      </c>
      <c r="AE257" s="3">
        <v>214.3</v>
      </c>
      <c r="AF257" s="3">
        <v>153.4</v>
      </c>
      <c r="AG257" s="3">
        <v>151.9</v>
      </c>
      <c r="AH257" s="3">
        <v>146</v>
      </c>
      <c r="AI257" s="3">
        <v>157.6</v>
      </c>
      <c r="AJ257" s="3">
        <v>255.6</v>
      </c>
      <c r="AK257" s="3">
        <v>322.89999999999998</v>
      </c>
      <c r="AL257" s="3">
        <v>251.7</v>
      </c>
      <c r="AM257" s="3">
        <v>250.2</v>
      </c>
      <c r="AN257" s="3">
        <v>272.89999999999998</v>
      </c>
      <c r="AO257" s="3">
        <v>152.5</v>
      </c>
      <c r="AP257" s="3">
        <v>200.7</v>
      </c>
      <c r="AQ257" s="3">
        <v>252.6</v>
      </c>
      <c r="AR257" s="3">
        <v>166.6</v>
      </c>
      <c r="AS257" s="3">
        <v>388.7</v>
      </c>
      <c r="AT257" s="3">
        <v>298.8</v>
      </c>
      <c r="AU257" s="3">
        <v>297.8</v>
      </c>
      <c r="AV257" s="3">
        <v>400.4</v>
      </c>
      <c r="AW257" s="3">
        <v>303.7</v>
      </c>
      <c r="AX257" s="3">
        <v>302.60000000000002</v>
      </c>
      <c r="AY257" s="3">
        <v>401.7</v>
      </c>
      <c r="AZ257" s="3">
        <v>341.2</v>
      </c>
      <c r="BA257" s="3">
        <v>172.7</v>
      </c>
      <c r="BB257" s="3">
        <v>317.39999999999998</v>
      </c>
      <c r="BC257" s="3">
        <v>219.7</v>
      </c>
      <c r="BD257" s="3">
        <v>222</v>
      </c>
      <c r="BE257" s="3">
        <v>244.4</v>
      </c>
      <c r="BF257" s="3">
        <v>408.1</v>
      </c>
      <c r="BG257" s="3">
        <v>177</v>
      </c>
      <c r="BH257" s="3">
        <v>166.1</v>
      </c>
      <c r="BI257" s="3">
        <v>69.8</v>
      </c>
      <c r="BJ257" s="3">
        <v>149.6</v>
      </c>
      <c r="BK257" s="3">
        <v>164.4</v>
      </c>
      <c r="BL257" s="3">
        <v>179.9</v>
      </c>
      <c r="BM257" s="3">
        <v>226.9</v>
      </c>
      <c r="BN257" s="3">
        <v>84</v>
      </c>
      <c r="BO257" s="3">
        <v>314</v>
      </c>
      <c r="BP257" s="3">
        <v>316.7</v>
      </c>
      <c r="BQ257" s="3">
        <v>95.5</v>
      </c>
      <c r="BR257" s="3">
        <v>63.4</v>
      </c>
      <c r="BS257" s="3">
        <v>89.4</v>
      </c>
      <c r="BT257" s="3">
        <v>149.4</v>
      </c>
      <c r="BU257" s="3">
        <v>110.4</v>
      </c>
      <c r="BV257" s="3">
        <v>145</v>
      </c>
      <c r="BW257" s="3">
        <v>196.1</v>
      </c>
      <c r="BX257" s="3">
        <v>384.2</v>
      </c>
      <c r="BY257" s="3">
        <v>100.2</v>
      </c>
      <c r="BZ257" s="3">
        <v>322.7</v>
      </c>
      <c r="CA257" s="3">
        <v>317.89999999999998</v>
      </c>
      <c r="CB257" s="3">
        <v>301.89999999999998</v>
      </c>
      <c r="CC257" s="3">
        <v>275.5</v>
      </c>
      <c r="CD257" s="3">
        <v>287.2</v>
      </c>
      <c r="CE257" s="3">
        <v>213.7</v>
      </c>
      <c r="CF257" s="3">
        <v>12.5</v>
      </c>
      <c r="CG257" s="3">
        <v>100.5</v>
      </c>
      <c r="CH257" s="3">
        <v>85.5</v>
      </c>
      <c r="CI257" s="3">
        <v>273.8</v>
      </c>
      <c r="CJ257" s="3">
        <v>148.1</v>
      </c>
      <c r="CK257" s="3">
        <v>170.3</v>
      </c>
      <c r="CL257" s="3">
        <v>387.3</v>
      </c>
      <c r="CM257" s="3">
        <v>178</v>
      </c>
      <c r="CN257" s="3">
        <v>173.2</v>
      </c>
    </row>
    <row r="258" spans="1:92" x14ac:dyDescent="0.25">
      <c r="A258" s="4">
        <v>39569</v>
      </c>
      <c r="B258" s="3">
        <v>202.5</v>
      </c>
      <c r="C258" s="3">
        <v>165</v>
      </c>
      <c r="D258" s="3">
        <v>185.3</v>
      </c>
      <c r="E258" s="3">
        <v>156.5</v>
      </c>
      <c r="F258" s="3">
        <v>205.5</v>
      </c>
      <c r="G258" s="3">
        <v>220.4</v>
      </c>
      <c r="H258" s="3">
        <v>176.7</v>
      </c>
      <c r="I258" s="3">
        <v>202</v>
      </c>
      <c r="J258" s="3">
        <v>125.4</v>
      </c>
      <c r="K258" s="3">
        <v>157.69999999999999</v>
      </c>
      <c r="L258" s="3">
        <v>187.3</v>
      </c>
      <c r="M258" s="3">
        <v>196.3</v>
      </c>
      <c r="N258" s="3">
        <v>178.1</v>
      </c>
      <c r="O258" s="3">
        <v>229</v>
      </c>
      <c r="P258" s="3">
        <v>161.80000000000001</v>
      </c>
      <c r="Q258" s="3">
        <v>206.3</v>
      </c>
      <c r="R258" s="3">
        <v>250.8</v>
      </c>
      <c r="S258" s="3">
        <v>220.8</v>
      </c>
      <c r="T258" s="3">
        <v>168.3</v>
      </c>
      <c r="U258" s="3">
        <v>166.1</v>
      </c>
      <c r="V258" s="3">
        <v>126.1</v>
      </c>
      <c r="W258" s="3">
        <v>204.7</v>
      </c>
      <c r="X258" s="3">
        <v>170.8</v>
      </c>
      <c r="Y258" s="3">
        <v>211.8</v>
      </c>
      <c r="Z258" s="3">
        <v>176.5</v>
      </c>
      <c r="AA258" s="3">
        <v>179.4</v>
      </c>
      <c r="AB258" s="3">
        <v>166.5</v>
      </c>
      <c r="AC258" s="3">
        <v>165.1</v>
      </c>
      <c r="AD258" s="3">
        <v>148.5</v>
      </c>
      <c r="AE258" s="3">
        <v>214.4</v>
      </c>
      <c r="AF258" s="3">
        <v>155.1</v>
      </c>
      <c r="AG258" s="3">
        <v>153.4</v>
      </c>
      <c r="AH258" s="3">
        <v>149.1</v>
      </c>
      <c r="AI258" s="3">
        <v>158.69999999999999</v>
      </c>
      <c r="AJ258" s="3">
        <v>256.7</v>
      </c>
      <c r="AK258" s="3">
        <v>324.7</v>
      </c>
      <c r="AL258" s="3">
        <v>252.7</v>
      </c>
      <c r="AM258" s="3">
        <v>250.9</v>
      </c>
      <c r="AN258" s="3">
        <v>273.5</v>
      </c>
      <c r="AO258" s="3">
        <v>153.5</v>
      </c>
      <c r="AP258" s="3">
        <v>202.3</v>
      </c>
      <c r="AQ258" s="3">
        <v>253.7</v>
      </c>
      <c r="AR258" s="3">
        <v>168.6</v>
      </c>
      <c r="AS258" s="3">
        <v>388.7</v>
      </c>
      <c r="AT258" s="3">
        <v>298.89999999999998</v>
      </c>
      <c r="AU258" s="3">
        <v>298.2</v>
      </c>
      <c r="AV258" s="3">
        <v>389.2</v>
      </c>
      <c r="AW258" s="3">
        <v>304.10000000000002</v>
      </c>
      <c r="AX258" s="3">
        <v>302.60000000000002</v>
      </c>
      <c r="AY258" s="3">
        <v>401.7</v>
      </c>
      <c r="AZ258" s="3">
        <v>342.1</v>
      </c>
      <c r="BA258" s="3">
        <v>172.3</v>
      </c>
      <c r="BB258" s="3">
        <v>318.5</v>
      </c>
      <c r="BC258" s="3">
        <v>224.2</v>
      </c>
      <c r="BD258" s="3">
        <v>222</v>
      </c>
      <c r="BE258" s="3">
        <v>244.4</v>
      </c>
      <c r="BF258" s="3">
        <v>437.6</v>
      </c>
      <c r="BG258" s="3">
        <v>181.9</v>
      </c>
      <c r="BH258" s="3">
        <v>173.6</v>
      </c>
      <c r="BI258" s="3">
        <v>69.7</v>
      </c>
      <c r="BJ258" s="3">
        <v>149.69999999999999</v>
      </c>
      <c r="BK258" s="3">
        <v>166.1</v>
      </c>
      <c r="BL258" s="3">
        <v>181.6</v>
      </c>
      <c r="BM258" s="3">
        <v>226.9</v>
      </c>
      <c r="BN258" s="3">
        <v>84</v>
      </c>
      <c r="BO258" s="3">
        <v>315.60000000000002</v>
      </c>
      <c r="BP258" s="3">
        <v>317.60000000000002</v>
      </c>
      <c r="BQ258" s="3">
        <v>94.8</v>
      </c>
      <c r="BR258" s="3">
        <v>63.3</v>
      </c>
      <c r="BS258" s="3">
        <v>88.7</v>
      </c>
      <c r="BT258" s="3">
        <v>150</v>
      </c>
      <c r="BU258" s="3">
        <v>111.1</v>
      </c>
      <c r="BV258" s="3">
        <v>145.4</v>
      </c>
      <c r="BW258" s="3">
        <v>196.5</v>
      </c>
      <c r="BX258" s="3">
        <v>386.1</v>
      </c>
      <c r="BY258" s="3">
        <v>99.8</v>
      </c>
      <c r="BZ258" s="3">
        <v>324.5</v>
      </c>
      <c r="CA258" s="3">
        <v>328.7</v>
      </c>
      <c r="CB258" s="3">
        <v>305.2</v>
      </c>
      <c r="CC258" s="3">
        <v>274.89999999999998</v>
      </c>
      <c r="CD258" s="3">
        <v>288.89999999999998</v>
      </c>
      <c r="CE258" s="3">
        <v>222.2</v>
      </c>
      <c r="CF258" s="3">
        <v>12.4</v>
      </c>
      <c r="CG258" s="3">
        <v>100.5</v>
      </c>
      <c r="CH258" s="3">
        <v>85.2</v>
      </c>
      <c r="CI258" s="3">
        <v>279.10000000000002</v>
      </c>
      <c r="CJ258" s="3">
        <v>148.30000000000001</v>
      </c>
      <c r="CK258" s="3">
        <v>170.3</v>
      </c>
      <c r="CL258" s="3">
        <v>386.9</v>
      </c>
      <c r="CM258" s="3">
        <v>178.9</v>
      </c>
      <c r="CN258" s="3">
        <v>173.7</v>
      </c>
    </row>
    <row r="259" spans="1:92" x14ac:dyDescent="0.25">
      <c r="A259" s="4">
        <v>39600</v>
      </c>
      <c r="B259" s="3">
        <v>205.6</v>
      </c>
      <c r="C259" s="3">
        <v>170</v>
      </c>
      <c r="D259" s="3">
        <v>193.6</v>
      </c>
      <c r="E259" s="3">
        <v>167.5</v>
      </c>
      <c r="F259" s="3">
        <v>211</v>
      </c>
      <c r="G259" s="3">
        <v>228.1</v>
      </c>
      <c r="H259" s="3">
        <v>180</v>
      </c>
      <c r="I259" s="3">
        <v>203.9</v>
      </c>
      <c r="J259" s="3">
        <v>133.1</v>
      </c>
      <c r="K259" s="3">
        <v>160.5</v>
      </c>
      <c r="L259" s="3">
        <v>180.8</v>
      </c>
      <c r="M259" s="3">
        <v>188</v>
      </c>
      <c r="N259" s="3">
        <v>173.3</v>
      </c>
      <c r="O259" s="3">
        <v>227.1</v>
      </c>
      <c r="P259" s="3">
        <v>177.8</v>
      </c>
      <c r="Q259" s="3">
        <v>209.8</v>
      </c>
      <c r="R259" s="3">
        <v>249.4</v>
      </c>
      <c r="S259" s="3">
        <v>231.8</v>
      </c>
      <c r="T259" s="3">
        <v>167.9</v>
      </c>
      <c r="U259" s="3">
        <v>169.3</v>
      </c>
      <c r="V259" s="3">
        <v>126.2</v>
      </c>
      <c r="W259" s="3">
        <v>204.7</v>
      </c>
      <c r="X259" s="3">
        <v>174.6</v>
      </c>
      <c r="Y259" s="3">
        <v>211.9</v>
      </c>
      <c r="Z259" s="3">
        <v>188.9</v>
      </c>
      <c r="AA259" s="3">
        <v>198.1</v>
      </c>
      <c r="AB259" s="3">
        <v>174.3</v>
      </c>
      <c r="AC259" s="3">
        <v>164.5</v>
      </c>
      <c r="AD259" s="3">
        <v>148</v>
      </c>
      <c r="AE259" s="3">
        <v>213.8</v>
      </c>
      <c r="AF259" s="3">
        <v>163.4</v>
      </c>
      <c r="AG259" s="3">
        <v>162.19999999999999</v>
      </c>
      <c r="AH259" s="3">
        <v>152.9</v>
      </c>
      <c r="AI259" s="3">
        <v>161.19999999999999</v>
      </c>
      <c r="AJ259" s="3">
        <v>257.60000000000002</v>
      </c>
      <c r="AK259" s="3">
        <v>324.7</v>
      </c>
      <c r="AL259" s="3">
        <v>253.7</v>
      </c>
      <c r="AM259" s="3">
        <v>251.1</v>
      </c>
      <c r="AN259" s="3">
        <v>274.10000000000002</v>
      </c>
      <c r="AO259" s="3">
        <v>152.19999999999999</v>
      </c>
      <c r="AP259" s="3">
        <v>202.5</v>
      </c>
      <c r="AQ259" s="3">
        <v>254.5</v>
      </c>
      <c r="AR259" s="3">
        <v>168.4</v>
      </c>
      <c r="AS259" s="3">
        <v>388.9</v>
      </c>
      <c r="AT259" s="3">
        <v>299.10000000000002</v>
      </c>
      <c r="AU259" s="3">
        <v>298.5</v>
      </c>
      <c r="AV259" s="3">
        <v>391.4</v>
      </c>
      <c r="AW259" s="3">
        <v>304.2</v>
      </c>
      <c r="AX259" s="3">
        <v>302.60000000000002</v>
      </c>
      <c r="AY259" s="3">
        <v>401.7</v>
      </c>
      <c r="AZ259" s="3">
        <v>343</v>
      </c>
      <c r="BA259" s="3">
        <v>172.7</v>
      </c>
      <c r="BB259" s="3">
        <v>312.5</v>
      </c>
      <c r="BC259" s="3">
        <v>228.8</v>
      </c>
      <c r="BD259" s="3">
        <v>222</v>
      </c>
      <c r="BE259" s="3">
        <v>244.4</v>
      </c>
      <c r="BF259" s="3">
        <v>453.7</v>
      </c>
      <c r="BG259" s="3">
        <v>202.2</v>
      </c>
      <c r="BH259" s="3">
        <v>170.5</v>
      </c>
      <c r="BI259" s="3">
        <v>69.5</v>
      </c>
      <c r="BJ259" s="3">
        <v>148.4</v>
      </c>
      <c r="BK259" s="3">
        <v>167.1</v>
      </c>
      <c r="BL259" s="3">
        <v>184.4</v>
      </c>
      <c r="BM259" s="3">
        <v>226.9</v>
      </c>
      <c r="BN259" s="3">
        <v>84.6</v>
      </c>
      <c r="BO259" s="3">
        <v>317.39999999999998</v>
      </c>
      <c r="BP259" s="3">
        <v>314.5</v>
      </c>
      <c r="BQ259" s="3">
        <v>94.3</v>
      </c>
      <c r="BR259" s="3">
        <v>61.9</v>
      </c>
      <c r="BS259" s="3">
        <v>87.5</v>
      </c>
      <c r="BT259" s="3">
        <v>149.69999999999999</v>
      </c>
      <c r="BU259" s="3">
        <v>110.6</v>
      </c>
      <c r="BV259" s="3">
        <v>145.1</v>
      </c>
      <c r="BW259" s="3">
        <v>196.4</v>
      </c>
      <c r="BX259" s="3">
        <v>387.2</v>
      </c>
      <c r="BY259" s="3">
        <v>98.6</v>
      </c>
      <c r="BZ259" s="3">
        <v>326.2</v>
      </c>
      <c r="CA259" s="3">
        <v>349.4</v>
      </c>
      <c r="CB259" s="3">
        <v>306.8</v>
      </c>
      <c r="CC259" s="3">
        <v>273.7</v>
      </c>
      <c r="CD259" s="3">
        <v>287.60000000000002</v>
      </c>
      <c r="CE259" s="3">
        <v>229</v>
      </c>
      <c r="CF259" s="3">
        <v>12.3</v>
      </c>
      <c r="CG259" s="3">
        <v>102.5</v>
      </c>
      <c r="CH259" s="3">
        <v>85.2</v>
      </c>
      <c r="CI259" s="3">
        <v>276.2</v>
      </c>
      <c r="CJ259" s="3">
        <v>150.4</v>
      </c>
      <c r="CK259" s="3">
        <v>170.3</v>
      </c>
      <c r="CL259" s="3">
        <v>386.7</v>
      </c>
      <c r="CM259" s="3">
        <v>180.4</v>
      </c>
      <c r="CN259" s="3">
        <v>173.9</v>
      </c>
    </row>
    <row r="260" spans="1:92" x14ac:dyDescent="0.25">
      <c r="A260" s="4">
        <v>39630</v>
      </c>
      <c r="B260" s="3">
        <v>209.1</v>
      </c>
      <c r="C260" s="3">
        <v>171.6</v>
      </c>
      <c r="D260" s="3">
        <v>201.6</v>
      </c>
      <c r="E260" s="3">
        <v>169.4</v>
      </c>
      <c r="F260" s="3">
        <v>213.1</v>
      </c>
      <c r="G260" s="3">
        <v>231.7</v>
      </c>
      <c r="H260" s="3">
        <v>191.1</v>
      </c>
      <c r="I260" s="3">
        <v>210.8</v>
      </c>
      <c r="J260" s="3">
        <v>137.30000000000001</v>
      </c>
      <c r="K260" s="3">
        <v>165</v>
      </c>
      <c r="L260" s="3">
        <v>183.8</v>
      </c>
      <c r="M260" s="3">
        <v>187</v>
      </c>
      <c r="N260" s="3">
        <v>179.6</v>
      </c>
      <c r="O260" s="3">
        <v>233.7</v>
      </c>
      <c r="P260" s="3">
        <v>176.6</v>
      </c>
      <c r="Q260" s="3">
        <v>208.3</v>
      </c>
      <c r="R260" s="3">
        <v>246.8</v>
      </c>
      <c r="S260" s="3">
        <v>231.2</v>
      </c>
      <c r="T260" s="3">
        <v>170.8</v>
      </c>
      <c r="U260" s="3">
        <v>175.2</v>
      </c>
      <c r="V260" s="3">
        <v>128.1</v>
      </c>
      <c r="W260" s="3">
        <v>205.3</v>
      </c>
      <c r="X260" s="3">
        <v>173.6</v>
      </c>
      <c r="Y260" s="3">
        <v>212.2</v>
      </c>
      <c r="Z260" s="3">
        <v>189.6</v>
      </c>
      <c r="AA260" s="3">
        <v>195.3</v>
      </c>
      <c r="AB260" s="3">
        <v>177.2</v>
      </c>
      <c r="AC260" s="3">
        <v>164.7</v>
      </c>
      <c r="AD260" s="3">
        <v>147.4</v>
      </c>
      <c r="AE260" s="3">
        <v>217.5</v>
      </c>
      <c r="AF260" s="3">
        <v>156.4</v>
      </c>
      <c r="AG260" s="3">
        <v>153.5</v>
      </c>
      <c r="AH260" s="3">
        <v>158</v>
      </c>
      <c r="AI260" s="3">
        <v>163.5</v>
      </c>
      <c r="AJ260" s="3">
        <v>258.39999999999998</v>
      </c>
      <c r="AK260" s="3">
        <v>325.3</v>
      </c>
      <c r="AL260" s="3">
        <v>255.3</v>
      </c>
      <c r="AM260" s="3">
        <v>250.4</v>
      </c>
      <c r="AN260" s="3">
        <v>274.5</v>
      </c>
      <c r="AO260" s="3">
        <v>148.80000000000001</v>
      </c>
      <c r="AP260" s="3">
        <v>202.2</v>
      </c>
      <c r="AQ260" s="3">
        <v>254.8</v>
      </c>
      <c r="AR260" s="3">
        <v>167.6</v>
      </c>
      <c r="AS260" s="3">
        <v>388.8</v>
      </c>
      <c r="AT260" s="3">
        <v>299</v>
      </c>
      <c r="AU260" s="3">
        <v>299</v>
      </c>
      <c r="AV260" s="3">
        <v>393.5</v>
      </c>
      <c r="AW260" s="3">
        <v>301.89999999999998</v>
      </c>
      <c r="AX260" s="3">
        <v>302.60000000000002</v>
      </c>
      <c r="AY260" s="3">
        <v>401.7</v>
      </c>
      <c r="AZ260" s="3">
        <v>348.4</v>
      </c>
      <c r="BA260" s="3">
        <v>173.4</v>
      </c>
      <c r="BB260" s="3">
        <v>310.2</v>
      </c>
      <c r="BC260" s="3">
        <v>231.3</v>
      </c>
      <c r="BD260" s="3">
        <v>222</v>
      </c>
      <c r="BE260" s="3">
        <v>244.4</v>
      </c>
      <c r="BF260" s="3">
        <v>477.8</v>
      </c>
      <c r="BG260" s="3">
        <v>179.4</v>
      </c>
      <c r="BH260" s="3">
        <v>169.8</v>
      </c>
      <c r="BI260" s="3">
        <v>68.3</v>
      </c>
      <c r="BJ260" s="3">
        <v>147.6</v>
      </c>
      <c r="BK260" s="3">
        <v>168.1</v>
      </c>
      <c r="BL260" s="3">
        <v>185.9</v>
      </c>
      <c r="BM260" s="3">
        <v>226.9</v>
      </c>
      <c r="BN260" s="3">
        <v>83.7</v>
      </c>
      <c r="BO260" s="3">
        <v>318.10000000000002</v>
      </c>
      <c r="BP260" s="3">
        <v>313</v>
      </c>
      <c r="BQ260" s="3">
        <v>91.2</v>
      </c>
      <c r="BR260" s="3">
        <v>58.8</v>
      </c>
      <c r="BS260" s="3">
        <v>86.1</v>
      </c>
      <c r="BT260" s="3">
        <v>148.4</v>
      </c>
      <c r="BU260" s="3">
        <v>109.9</v>
      </c>
      <c r="BV260" s="3">
        <v>143.6</v>
      </c>
      <c r="BW260" s="3">
        <v>196.7</v>
      </c>
      <c r="BX260" s="3">
        <v>390.5</v>
      </c>
      <c r="BY260" s="3">
        <v>97.4</v>
      </c>
      <c r="BZ260" s="3">
        <v>327.60000000000002</v>
      </c>
      <c r="CA260" s="3">
        <v>354.7</v>
      </c>
      <c r="CB260" s="3">
        <v>308.10000000000002</v>
      </c>
      <c r="CC260" s="3">
        <v>275</v>
      </c>
      <c r="CD260" s="3">
        <v>291.89999999999998</v>
      </c>
      <c r="CE260" s="3">
        <v>251.6</v>
      </c>
      <c r="CF260" s="3">
        <v>12.2</v>
      </c>
      <c r="CG260" s="3">
        <v>98</v>
      </c>
      <c r="CH260" s="3">
        <v>83.8</v>
      </c>
      <c r="CI260" s="3">
        <v>277</v>
      </c>
      <c r="CJ260" s="3">
        <v>148.69999999999999</v>
      </c>
      <c r="CK260" s="3">
        <v>170.2</v>
      </c>
      <c r="CL260" s="3">
        <v>386.7</v>
      </c>
      <c r="CM260" s="3">
        <v>181.9</v>
      </c>
      <c r="CN260" s="3">
        <v>175.3</v>
      </c>
    </row>
    <row r="261" spans="1:92" x14ac:dyDescent="0.25">
      <c r="A261" s="4">
        <v>39661</v>
      </c>
      <c r="B261" s="3">
        <v>212.1</v>
      </c>
      <c r="C261" s="3">
        <v>174.4</v>
      </c>
      <c r="D261" s="3">
        <v>202.3</v>
      </c>
      <c r="E261" s="3">
        <v>171</v>
      </c>
      <c r="F261" s="3">
        <v>211.3</v>
      </c>
      <c r="G261" s="3">
        <v>230.4</v>
      </c>
      <c r="H261" s="3">
        <v>193.8</v>
      </c>
      <c r="I261" s="3">
        <v>211.4</v>
      </c>
      <c r="J261" s="3">
        <v>132.4</v>
      </c>
      <c r="K261" s="3">
        <v>168.4</v>
      </c>
      <c r="L261" s="3">
        <v>192.3</v>
      </c>
      <c r="M261" s="3">
        <v>194.3</v>
      </c>
      <c r="N261" s="3">
        <v>189.1</v>
      </c>
      <c r="O261" s="3">
        <v>236.5</v>
      </c>
      <c r="P261" s="3">
        <v>175.2</v>
      </c>
      <c r="Q261" s="3">
        <v>212</v>
      </c>
      <c r="R261" s="3">
        <v>249</v>
      </c>
      <c r="S261" s="3">
        <v>231</v>
      </c>
      <c r="T261" s="3">
        <v>171.7</v>
      </c>
      <c r="U261" s="3">
        <v>172.6</v>
      </c>
      <c r="V261" s="3">
        <v>134.5</v>
      </c>
      <c r="W261" s="3">
        <v>205.6</v>
      </c>
      <c r="X261" s="3">
        <v>173.7</v>
      </c>
      <c r="Y261" s="3">
        <v>216.4</v>
      </c>
      <c r="Z261" s="3">
        <v>192.5</v>
      </c>
      <c r="AA261" s="3">
        <v>201.2</v>
      </c>
      <c r="AB261" s="3">
        <v>178.1</v>
      </c>
      <c r="AC261" s="3">
        <v>163.4</v>
      </c>
      <c r="AD261" s="3">
        <v>145.69999999999999</v>
      </c>
      <c r="AE261" s="3">
        <v>218.8</v>
      </c>
      <c r="AF261" s="3">
        <v>163</v>
      </c>
      <c r="AG261" s="3">
        <v>160.80000000000001</v>
      </c>
      <c r="AH261" s="3">
        <v>159.30000000000001</v>
      </c>
      <c r="AI261" s="3">
        <v>166.3</v>
      </c>
      <c r="AJ261" s="3">
        <v>259</v>
      </c>
      <c r="AK261" s="3">
        <v>326.3</v>
      </c>
      <c r="AL261" s="3">
        <v>256.60000000000002</v>
      </c>
      <c r="AM261" s="3">
        <v>250.8</v>
      </c>
      <c r="AN261" s="3">
        <v>274.7</v>
      </c>
      <c r="AO261" s="3">
        <v>149.5</v>
      </c>
      <c r="AP261" s="3">
        <v>203.1</v>
      </c>
      <c r="AQ261" s="3">
        <v>255.3</v>
      </c>
      <c r="AR261" s="3">
        <v>168.8</v>
      </c>
      <c r="AS261" s="3">
        <v>388.7</v>
      </c>
      <c r="AT261" s="3">
        <v>299.3</v>
      </c>
      <c r="AU261" s="3">
        <v>299.3</v>
      </c>
      <c r="AV261" s="3">
        <v>395.8</v>
      </c>
      <c r="AW261" s="3">
        <v>301.10000000000002</v>
      </c>
      <c r="AX261" s="3">
        <v>302.60000000000002</v>
      </c>
      <c r="AY261" s="3">
        <v>401.7</v>
      </c>
      <c r="AZ261" s="3">
        <v>349.6</v>
      </c>
      <c r="BA261" s="3">
        <v>174.9</v>
      </c>
      <c r="BB261" s="3">
        <v>321</v>
      </c>
      <c r="BC261" s="3">
        <v>233.7</v>
      </c>
      <c r="BD261" s="3">
        <v>231.5</v>
      </c>
      <c r="BE261" s="3">
        <v>273.5</v>
      </c>
      <c r="BF261" s="3">
        <v>415.7</v>
      </c>
      <c r="BG261" s="3">
        <v>180.2</v>
      </c>
      <c r="BH261" s="3">
        <v>170.5</v>
      </c>
      <c r="BI261" s="3">
        <v>69.5</v>
      </c>
      <c r="BJ261" s="3">
        <v>148.9</v>
      </c>
      <c r="BK261" s="3">
        <v>169.7</v>
      </c>
      <c r="BL261" s="3">
        <v>186.1</v>
      </c>
      <c r="BM261" s="3">
        <v>226.9</v>
      </c>
      <c r="BN261" s="3">
        <v>83.8</v>
      </c>
      <c r="BO261" s="3">
        <v>318.7</v>
      </c>
      <c r="BP261" s="3">
        <v>313.3</v>
      </c>
      <c r="BQ261" s="3">
        <v>91.4</v>
      </c>
      <c r="BR261" s="3">
        <v>60.4</v>
      </c>
      <c r="BS261" s="3">
        <v>87.1</v>
      </c>
      <c r="BT261" s="3">
        <v>149.1</v>
      </c>
      <c r="BU261" s="3">
        <v>110.5</v>
      </c>
      <c r="BV261" s="3">
        <v>144.6</v>
      </c>
      <c r="BW261" s="3">
        <v>198.2</v>
      </c>
      <c r="BX261" s="3">
        <v>390.9</v>
      </c>
      <c r="BY261" s="3">
        <v>95.6</v>
      </c>
      <c r="BZ261" s="3">
        <v>329.3</v>
      </c>
      <c r="CA261" s="3">
        <v>338.2</v>
      </c>
      <c r="CB261" s="3">
        <v>304.3</v>
      </c>
      <c r="CC261" s="3">
        <v>275.10000000000002</v>
      </c>
      <c r="CD261" s="3">
        <v>294.39999999999998</v>
      </c>
      <c r="CE261" s="3">
        <v>267.8</v>
      </c>
      <c r="CF261" s="3">
        <v>12</v>
      </c>
      <c r="CG261" s="3">
        <v>98.6</v>
      </c>
      <c r="CH261" s="3">
        <v>84.2</v>
      </c>
      <c r="CI261" s="3">
        <v>274.2</v>
      </c>
      <c r="CJ261" s="3">
        <v>149</v>
      </c>
      <c r="CK261" s="3">
        <v>170.2</v>
      </c>
      <c r="CL261" s="3">
        <v>388.2</v>
      </c>
      <c r="CM261" s="3">
        <v>184.6</v>
      </c>
      <c r="CN261" s="3">
        <v>175.4</v>
      </c>
    </row>
    <row r="262" spans="1:92" x14ac:dyDescent="0.25">
      <c r="A262" s="4">
        <v>39692</v>
      </c>
      <c r="B262" s="3">
        <v>212.7</v>
      </c>
      <c r="C262" s="3">
        <v>174.3</v>
      </c>
      <c r="D262" s="3">
        <v>204.1</v>
      </c>
      <c r="E262" s="3">
        <v>172.1</v>
      </c>
      <c r="F262" s="3">
        <v>214.2</v>
      </c>
      <c r="G262" s="3">
        <v>226.6</v>
      </c>
      <c r="H262" s="3">
        <v>198.3</v>
      </c>
      <c r="I262" s="3">
        <v>214.3</v>
      </c>
      <c r="J262" s="3">
        <v>133.5</v>
      </c>
      <c r="K262" s="3">
        <v>169.1</v>
      </c>
      <c r="L262" s="3">
        <v>192.9</v>
      </c>
      <c r="M262" s="3">
        <v>191.4</v>
      </c>
      <c r="N262" s="3">
        <v>192.6</v>
      </c>
      <c r="O262" s="3">
        <v>236.1</v>
      </c>
      <c r="P262" s="3">
        <v>173.8</v>
      </c>
      <c r="Q262" s="3">
        <v>211.9</v>
      </c>
      <c r="R262" s="3">
        <v>251.6</v>
      </c>
      <c r="S262" s="3">
        <v>231</v>
      </c>
      <c r="T262" s="3">
        <v>171.1</v>
      </c>
      <c r="U262" s="3">
        <v>174.4</v>
      </c>
      <c r="V262" s="3">
        <v>131.4</v>
      </c>
      <c r="W262" s="3">
        <v>202.7</v>
      </c>
      <c r="X262" s="3">
        <v>173.4</v>
      </c>
      <c r="Y262" s="3">
        <v>217.1</v>
      </c>
      <c r="Z262" s="3">
        <v>191.7</v>
      </c>
      <c r="AA262" s="3">
        <v>195.5</v>
      </c>
      <c r="AB262" s="3">
        <v>180.4</v>
      </c>
      <c r="AC262" s="3">
        <v>163.1</v>
      </c>
      <c r="AD262" s="3">
        <v>144.5</v>
      </c>
      <c r="AE262" s="3">
        <v>222.9</v>
      </c>
      <c r="AF262" s="3">
        <v>158.9</v>
      </c>
      <c r="AG262" s="3">
        <v>156.6</v>
      </c>
      <c r="AH262" s="3">
        <v>156.30000000000001</v>
      </c>
      <c r="AI262" s="3">
        <v>164.7</v>
      </c>
      <c r="AJ262" s="3">
        <v>260.10000000000002</v>
      </c>
      <c r="AK262" s="3">
        <v>330.4</v>
      </c>
      <c r="AL262" s="3">
        <v>257.5</v>
      </c>
      <c r="AM262" s="3">
        <v>251.4</v>
      </c>
      <c r="AN262" s="3">
        <v>275.5</v>
      </c>
      <c r="AO262" s="3">
        <v>149.69999999999999</v>
      </c>
      <c r="AP262" s="3">
        <v>203.2</v>
      </c>
      <c r="AQ262" s="3">
        <v>256</v>
      </c>
      <c r="AR262" s="3">
        <v>168.5</v>
      </c>
      <c r="AS262" s="3">
        <v>389.3</v>
      </c>
      <c r="AT262" s="3">
        <v>299.10000000000002</v>
      </c>
      <c r="AU262" s="3">
        <v>299.39999999999998</v>
      </c>
      <c r="AV262" s="3">
        <v>397.8</v>
      </c>
      <c r="AW262" s="3">
        <v>298.10000000000002</v>
      </c>
      <c r="AX262" s="3">
        <v>302.60000000000002</v>
      </c>
      <c r="AY262" s="3">
        <v>401.7</v>
      </c>
      <c r="AZ262" s="3">
        <v>350.1</v>
      </c>
      <c r="BA262" s="3">
        <v>177.7</v>
      </c>
      <c r="BB262" s="3">
        <v>339.6</v>
      </c>
      <c r="BC262" s="3">
        <v>255.6</v>
      </c>
      <c r="BD262" s="3">
        <v>255.3</v>
      </c>
      <c r="BE262" s="3">
        <v>320.5</v>
      </c>
      <c r="BF262" s="3">
        <v>406.6</v>
      </c>
      <c r="BG262" s="3">
        <v>187.2</v>
      </c>
      <c r="BH262" s="3">
        <v>172.7</v>
      </c>
      <c r="BI262" s="3">
        <v>69.2</v>
      </c>
      <c r="BJ262" s="3">
        <v>151.69999999999999</v>
      </c>
      <c r="BK262" s="3">
        <v>170.4</v>
      </c>
      <c r="BL262" s="3">
        <v>188.3</v>
      </c>
      <c r="BM262" s="3">
        <v>226.9</v>
      </c>
      <c r="BN262" s="3">
        <v>83.7</v>
      </c>
      <c r="BO262" s="3">
        <v>320.60000000000002</v>
      </c>
      <c r="BP262" s="3">
        <v>314.7</v>
      </c>
      <c r="BQ262" s="3">
        <v>94.1</v>
      </c>
      <c r="BR262" s="3">
        <v>62.2</v>
      </c>
      <c r="BS262" s="3">
        <v>88.6</v>
      </c>
      <c r="BT262" s="3">
        <v>150.6</v>
      </c>
      <c r="BU262" s="3">
        <v>111</v>
      </c>
      <c r="BV262" s="3">
        <v>146.69999999999999</v>
      </c>
      <c r="BW262" s="3">
        <v>197.6</v>
      </c>
      <c r="BX262" s="3">
        <v>391.5</v>
      </c>
      <c r="BY262" s="3">
        <v>93.2</v>
      </c>
      <c r="BZ262" s="3">
        <v>331.5</v>
      </c>
      <c r="CA262" s="3">
        <v>333.9</v>
      </c>
      <c r="CB262" s="3">
        <v>308.60000000000002</v>
      </c>
      <c r="CC262" s="3">
        <v>272.89999999999998</v>
      </c>
      <c r="CD262" s="3">
        <v>293.89999999999998</v>
      </c>
      <c r="CE262" s="3">
        <v>241.5</v>
      </c>
      <c r="CF262" s="3">
        <v>11.9</v>
      </c>
      <c r="CG262" s="3">
        <v>98.7</v>
      </c>
      <c r="CH262" s="3">
        <v>85</v>
      </c>
      <c r="CI262" s="3">
        <v>275.2</v>
      </c>
      <c r="CJ262" s="3">
        <v>147.69999999999999</v>
      </c>
      <c r="CK262" s="3">
        <v>170.2</v>
      </c>
      <c r="CL262" s="3">
        <v>398</v>
      </c>
      <c r="CM262" s="3">
        <v>185.7</v>
      </c>
      <c r="CN262" s="3">
        <v>176.5</v>
      </c>
    </row>
    <row r="263" spans="1:92" x14ac:dyDescent="0.25">
      <c r="A263" s="4">
        <v>39722</v>
      </c>
      <c r="B263" s="3">
        <v>211.6</v>
      </c>
      <c r="C263" s="3">
        <v>172.6</v>
      </c>
      <c r="D263" s="3">
        <v>202.6</v>
      </c>
      <c r="E263" s="3">
        <v>169.1</v>
      </c>
      <c r="F263" s="3">
        <v>214</v>
      </c>
      <c r="G263" s="3">
        <v>223.7</v>
      </c>
      <c r="H263" s="3">
        <v>197</v>
      </c>
      <c r="I263" s="3">
        <v>211.1</v>
      </c>
      <c r="J263" s="3">
        <v>134.5</v>
      </c>
      <c r="K263" s="3">
        <v>167.3</v>
      </c>
      <c r="L263" s="3">
        <v>193.6</v>
      </c>
      <c r="M263" s="3">
        <v>193.4</v>
      </c>
      <c r="N263" s="3">
        <v>192.2</v>
      </c>
      <c r="O263" s="3">
        <v>229.4</v>
      </c>
      <c r="P263" s="3">
        <v>170.2</v>
      </c>
      <c r="Q263" s="3">
        <v>212</v>
      </c>
      <c r="R263" s="3">
        <v>250.7</v>
      </c>
      <c r="S263" s="3">
        <v>243.9</v>
      </c>
      <c r="T263" s="3">
        <v>171.1</v>
      </c>
      <c r="U263" s="3">
        <v>175.3</v>
      </c>
      <c r="V263" s="3">
        <v>134.1</v>
      </c>
      <c r="W263" s="3">
        <v>202.8</v>
      </c>
      <c r="X263" s="3">
        <v>172.2</v>
      </c>
      <c r="Y263" s="3">
        <v>217.7</v>
      </c>
      <c r="Z263" s="3">
        <v>186.1</v>
      </c>
      <c r="AA263" s="3">
        <v>188.9</v>
      </c>
      <c r="AB263" s="3">
        <v>175.9</v>
      </c>
      <c r="AC263" s="3">
        <v>164.9</v>
      </c>
      <c r="AD263" s="3">
        <v>147.5</v>
      </c>
      <c r="AE263" s="3">
        <v>218.5</v>
      </c>
      <c r="AF263" s="3">
        <v>167.6</v>
      </c>
      <c r="AG263" s="3">
        <v>166.2</v>
      </c>
      <c r="AH263" s="3">
        <v>158</v>
      </c>
      <c r="AI263" s="3">
        <v>165.7</v>
      </c>
      <c r="AJ263" s="3">
        <v>260.7</v>
      </c>
      <c r="AK263" s="3">
        <v>331.4</v>
      </c>
      <c r="AL263" s="3">
        <v>258.2</v>
      </c>
      <c r="AM263" s="3">
        <v>252.1</v>
      </c>
      <c r="AN263" s="3">
        <v>276</v>
      </c>
      <c r="AO263" s="3">
        <v>150.80000000000001</v>
      </c>
      <c r="AP263" s="3">
        <v>202.6</v>
      </c>
      <c r="AQ263" s="3">
        <v>256.7</v>
      </c>
      <c r="AR263" s="3">
        <v>167</v>
      </c>
      <c r="AS263" s="3">
        <v>389.4</v>
      </c>
      <c r="AT263" s="3">
        <v>299.2</v>
      </c>
      <c r="AU263" s="3">
        <v>302.39999999999998</v>
      </c>
      <c r="AV263" s="3">
        <v>399.7</v>
      </c>
      <c r="AW263" s="3">
        <v>293.3</v>
      </c>
      <c r="AX263" s="3">
        <v>302.60000000000002</v>
      </c>
      <c r="AY263" s="3">
        <v>401.7</v>
      </c>
      <c r="AZ263" s="3">
        <v>351.2</v>
      </c>
      <c r="BA263" s="3">
        <v>178.4</v>
      </c>
      <c r="BB263" s="3">
        <v>337.9</v>
      </c>
      <c r="BC263" s="3">
        <v>278.8</v>
      </c>
      <c r="BD263" s="3">
        <v>257.2</v>
      </c>
      <c r="BE263" s="3">
        <v>320.5</v>
      </c>
      <c r="BF263" s="3">
        <v>361.6</v>
      </c>
      <c r="BG263" s="3">
        <v>182.9</v>
      </c>
      <c r="BH263" s="3">
        <v>169.5</v>
      </c>
      <c r="BI263" s="3">
        <v>69</v>
      </c>
      <c r="BJ263" s="3">
        <v>150.4</v>
      </c>
      <c r="BK263" s="3">
        <v>171.5</v>
      </c>
      <c r="BL263" s="3">
        <v>188.5</v>
      </c>
      <c r="BM263" s="3">
        <v>227.4</v>
      </c>
      <c r="BN263" s="3">
        <v>83.7</v>
      </c>
      <c r="BO263" s="3">
        <v>322.2</v>
      </c>
      <c r="BP263" s="3">
        <v>321.7</v>
      </c>
      <c r="BQ263" s="3">
        <v>94.2</v>
      </c>
      <c r="BR263" s="3">
        <v>61.5</v>
      </c>
      <c r="BS263" s="3">
        <v>87.7</v>
      </c>
      <c r="BT263" s="3">
        <v>150</v>
      </c>
      <c r="BU263" s="3">
        <v>110.8</v>
      </c>
      <c r="BV263" s="3">
        <v>145.6</v>
      </c>
      <c r="BW263" s="3">
        <v>198.2</v>
      </c>
      <c r="BX263" s="3">
        <v>392.5</v>
      </c>
      <c r="BY263" s="3">
        <v>91.3</v>
      </c>
      <c r="BZ263" s="3">
        <v>333.6</v>
      </c>
      <c r="CA263" s="3">
        <v>318.7</v>
      </c>
      <c r="CB263" s="3">
        <v>308.3</v>
      </c>
      <c r="CC263" s="3">
        <v>273.60000000000002</v>
      </c>
      <c r="CD263" s="3">
        <v>295.60000000000002</v>
      </c>
      <c r="CE263" s="3">
        <v>234.9</v>
      </c>
      <c r="CF263" s="3">
        <v>11.6</v>
      </c>
      <c r="CG263" s="3">
        <v>93.6</v>
      </c>
      <c r="CH263" s="3">
        <v>84.8</v>
      </c>
      <c r="CI263" s="3">
        <v>273.3</v>
      </c>
      <c r="CJ263" s="3">
        <v>149.1</v>
      </c>
      <c r="CK263" s="3">
        <v>172.2</v>
      </c>
      <c r="CL263" s="3">
        <v>397.5</v>
      </c>
      <c r="CM263" s="3">
        <v>186.2</v>
      </c>
      <c r="CN263" s="3">
        <v>176.9</v>
      </c>
    </row>
    <row r="264" spans="1:92" x14ac:dyDescent="0.25">
      <c r="A264" s="4">
        <v>39753</v>
      </c>
      <c r="B264" s="3">
        <v>214.6</v>
      </c>
      <c r="C264" s="3">
        <v>175.3</v>
      </c>
      <c r="D264" s="3">
        <v>202.9</v>
      </c>
      <c r="E264" s="3">
        <v>173.5</v>
      </c>
      <c r="F264" s="3">
        <v>213</v>
      </c>
      <c r="G264" s="3">
        <v>222.8</v>
      </c>
      <c r="H264" s="3">
        <v>186.5</v>
      </c>
      <c r="I264" s="3">
        <v>214.3</v>
      </c>
      <c r="J264" s="3">
        <v>130.9</v>
      </c>
      <c r="K264" s="3">
        <v>167.1</v>
      </c>
      <c r="L264" s="3">
        <v>198.3</v>
      </c>
      <c r="M264" s="3">
        <v>193.4</v>
      </c>
      <c r="N264" s="3">
        <v>200.9</v>
      </c>
      <c r="O264" s="3">
        <v>223.9</v>
      </c>
      <c r="P264" s="3">
        <v>170.4</v>
      </c>
      <c r="Q264" s="3">
        <v>214</v>
      </c>
      <c r="R264" s="3">
        <v>253</v>
      </c>
      <c r="S264" s="3">
        <v>245.3</v>
      </c>
      <c r="T264" s="3">
        <v>170.5</v>
      </c>
      <c r="U264" s="3">
        <v>178</v>
      </c>
      <c r="V264" s="3">
        <v>137</v>
      </c>
      <c r="W264" s="3">
        <v>203.3</v>
      </c>
      <c r="X264" s="3">
        <v>178.1</v>
      </c>
      <c r="Y264" s="3">
        <v>220.3</v>
      </c>
      <c r="Z264" s="3">
        <v>191.7</v>
      </c>
      <c r="AA264" s="3">
        <v>186.6</v>
      </c>
      <c r="AB264" s="3">
        <v>186.3</v>
      </c>
      <c r="AC264" s="3">
        <v>172.4</v>
      </c>
      <c r="AD264" s="3">
        <v>153.5</v>
      </c>
      <c r="AE264" s="3">
        <v>232.1</v>
      </c>
      <c r="AF264" s="3">
        <v>177.9</v>
      </c>
      <c r="AG264" s="3">
        <v>177</v>
      </c>
      <c r="AH264" s="3">
        <v>164.1</v>
      </c>
      <c r="AI264" s="3">
        <v>170.7</v>
      </c>
      <c r="AJ264" s="3">
        <v>261</v>
      </c>
      <c r="AK264" s="3">
        <v>331.4</v>
      </c>
      <c r="AL264" s="3">
        <v>259</v>
      </c>
      <c r="AM264" s="3">
        <v>251</v>
      </c>
      <c r="AN264" s="3">
        <v>276.3</v>
      </c>
      <c r="AO264" s="3">
        <v>145.80000000000001</v>
      </c>
      <c r="AP264" s="3">
        <v>201.6</v>
      </c>
      <c r="AQ264" s="3">
        <v>257.2</v>
      </c>
      <c r="AR264" s="3">
        <v>164.8</v>
      </c>
      <c r="AS264" s="3">
        <v>389.5</v>
      </c>
      <c r="AT264" s="3">
        <v>299.2</v>
      </c>
      <c r="AU264" s="3">
        <v>302.39999999999998</v>
      </c>
      <c r="AV264" s="3">
        <v>372.3</v>
      </c>
      <c r="AW264" s="3">
        <v>288.60000000000002</v>
      </c>
      <c r="AX264" s="3">
        <v>302.60000000000002</v>
      </c>
      <c r="AY264" s="3">
        <v>401.7</v>
      </c>
      <c r="AZ264" s="3">
        <v>351.4</v>
      </c>
      <c r="BA264" s="3">
        <v>179.6</v>
      </c>
      <c r="BB264" s="3">
        <v>337.1</v>
      </c>
      <c r="BC264" s="3">
        <v>280.89999999999998</v>
      </c>
      <c r="BD264" s="3">
        <v>257.2</v>
      </c>
      <c r="BE264" s="3">
        <v>320.39999999999998</v>
      </c>
      <c r="BF264" s="3">
        <v>338.1</v>
      </c>
      <c r="BG264" s="3">
        <v>186.9</v>
      </c>
      <c r="BH264" s="3">
        <v>169</v>
      </c>
      <c r="BI264" s="3">
        <v>68.599999999999994</v>
      </c>
      <c r="BJ264" s="3">
        <v>152.30000000000001</v>
      </c>
      <c r="BK264" s="3">
        <v>170.6</v>
      </c>
      <c r="BL264" s="3">
        <v>189.7</v>
      </c>
      <c r="BM264" s="3">
        <v>227.4</v>
      </c>
      <c r="BN264" s="3">
        <v>84.9</v>
      </c>
      <c r="BO264" s="3">
        <v>323</v>
      </c>
      <c r="BP264" s="3">
        <v>321.39999999999998</v>
      </c>
      <c r="BQ264" s="3">
        <v>93.7</v>
      </c>
      <c r="BR264" s="3">
        <v>61.3</v>
      </c>
      <c r="BS264" s="3">
        <v>88.3</v>
      </c>
      <c r="BT264" s="3">
        <v>150.80000000000001</v>
      </c>
      <c r="BU264" s="3">
        <v>110.3</v>
      </c>
      <c r="BV264" s="3">
        <v>146.69999999999999</v>
      </c>
      <c r="BW264" s="3">
        <v>200.2</v>
      </c>
      <c r="BX264" s="3">
        <v>392.9</v>
      </c>
      <c r="BY264" s="3">
        <v>89.8</v>
      </c>
      <c r="BZ264" s="3">
        <v>335</v>
      </c>
      <c r="CA264" s="3">
        <v>284.2</v>
      </c>
      <c r="CB264" s="3">
        <v>307.3</v>
      </c>
      <c r="CC264" s="3">
        <v>273.2</v>
      </c>
      <c r="CD264" s="3">
        <v>298.60000000000002</v>
      </c>
      <c r="CE264" s="3">
        <v>229.1</v>
      </c>
      <c r="CF264" s="3">
        <v>11.6</v>
      </c>
      <c r="CG264" s="3">
        <v>95.4</v>
      </c>
      <c r="CH264" s="3">
        <v>84.1</v>
      </c>
      <c r="CI264" s="3">
        <v>272.3</v>
      </c>
      <c r="CJ264" s="3">
        <v>151.1</v>
      </c>
      <c r="CK264" s="3">
        <v>172.2</v>
      </c>
      <c r="CL264" s="3">
        <v>399.6</v>
      </c>
      <c r="CM264" s="3">
        <v>187</v>
      </c>
      <c r="CN264" s="3">
        <v>176.6</v>
      </c>
    </row>
    <row r="265" spans="1:92" x14ac:dyDescent="0.25">
      <c r="A265" s="4">
        <v>39783</v>
      </c>
      <c r="B265" s="3">
        <v>216</v>
      </c>
      <c r="C265" s="3">
        <v>177</v>
      </c>
      <c r="D265" s="3">
        <v>204.8</v>
      </c>
      <c r="E265" s="3">
        <v>173.6</v>
      </c>
      <c r="F265" s="3">
        <v>219.3</v>
      </c>
      <c r="G265" s="3">
        <v>230.9</v>
      </c>
      <c r="H265" s="3">
        <v>196.3</v>
      </c>
      <c r="I265" s="3">
        <v>215.4</v>
      </c>
      <c r="J265" s="3">
        <v>131.69999999999999</v>
      </c>
      <c r="K265" s="3">
        <v>169.5</v>
      </c>
      <c r="L265" s="3">
        <v>195.2</v>
      </c>
      <c r="M265" s="3">
        <v>188.9</v>
      </c>
      <c r="N265" s="3">
        <v>198.9</v>
      </c>
      <c r="O265" s="3">
        <v>224.8</v>
      </c>
      <c r="P265" s="3">
        <v>171.7</v>
      </c>
      <c r="Q265" s="3">
        <v>216.4</v>
      </c>
      <c r="R265" s="3">
        <v>252.8</v>
      </c>
      <c r="S265" s="3">
        <v>244.7</v>
      </c>
      <c r="T265" s="3">
        <v>173.7</v>
      </c>
      <c r="U265" s="3">
        <v>174</v>
      </c>
      <c r="V265" s="3">
        <v>139.4</v>
      </c>
      <c r="W265" s="3">
        <v>202.1</v>
      </c>
      <c r="X265" s="3">
        <v>183.5</v>
      </c>
      <c r="Y265" s="3">
        <v>220.2</v>
      </c>
      <c r="Z265" s="3">
        <v>193</v>
      </c>
      <c r="AA265" s="3">
        <v>195.8</v>
      </c>
      <c r="AB265" s="3">
        <v>182.4</v>
      </c>
      <c r="AC265" s="3">
        <v>180</v>
      </c>
      <c r="AD265" s="3">
        <v>160.80000000000001</v>
      </c>
      <c r="AE265" s="3">
        <v>239.7</v>
      </c>
      <c r="AF265" s="3">
        <v>174</v>
      </c>
      <c r="AG265" s="3">
        <v>172.6</v>
      </c>
      <c r="AH265" s="3">
        <v>164</v>
      </c>
      <c r="AI265" s="3">
        <v>171.5</v>
      </c>
      <c r="AJ265" s="3">
        <v>259.7</v>
      </c>
      <c r="AK265" s="3">
        <v>327.3</v>
      </c>
      <c r="AL265" s="3">
        <v>259.7</v>
      </c>
      <c r="AM265" s="3">
        <v>251.4</v>
      </c>
      <c r="AN265" s="3">
        <v>276.8</v>
      </c>
      <c r="AO265" s="3">
        <v>145.9</v>
      </c>
      <c r="AP265" s="3">
        <v>200.7</v>
      </c>
      <c r="AQ265" s="3">
        <v>257.39999999999998</v>
      </c>
      <c r="AR265" s="3">
        <v>163.1</v>
      </c>
      <c r="AS265" s="3">
        <v>390.4</v>
      </c>
      <c r="AT265" s="3">
        <v>299.8</v>
      </c>
      <c r="AU265" s="3">
        <v>302.5</v>
      </c>
      <c r="AV265" s="3">
        <v>301.7</v>
      </c>
      <c r="AW265" s="3">
        <v>282.3</v>
      </c>
      <c r="AX265" s="3">
        <v>302.60000000000002</v>
      </c>
      <c r="AY265" s="3">
        <v>401.7</v>
      </c>
      <c r="AZ265" s="3">
        <v>350.1</v>
      </c>
      <c r="BA265" s="3">
        <v>176.7</v>
      </c>
      <c r="BB265" s="3">
        <v>324.39999999999998</v>
      </c>
      <c r="BC265" s="3">
        <v>283.2</v>
      </c>
      <c r="BD265" s="3">
        <v>257.2</v>
      </c>
      <c r="BE265" s="3">
        <v>320.3</v>
      </c>
      <c r="BF265" s="3">
        <v>309</v>
      </c>
      <c r="BG265" s="3">
        <v>194.9</v>
      </c>
      <c r="BH265" s="3">
        <v>173.2</v>
      </c>
      <c r="BI265" s="3">
        <v>66.900000000000006</v>
      </c>
      <c r="BJ265" s="3">
        <v>145.69999999999999</v>
      </c>
      <c r="BK265" s="3">
        <v>168.9</v>
      </c>
      <c r="BL265" s="3">
        <v>189</v>
      </c>
      <c r="BM265" s="3">
        <v>227.4</v>
      </c>
      <c r="BN265" s="3">
        <v>83.3</v>
      </c>
      <c r="BO265" s="3">
        <v>323.60000000000002</v>
      </c>
      <c r="BP265" s="3">
        <v>321.2</v>
      </c>
      <c r="BQ265" s="3">
        <v>90.4</v>
      </c>
      <c r="BR265" s="3">
        <v>57.7</v>
      </c>
      <c r="BS265" s="3">
        <v>86.5</v>
      </c>
      <c r="BT265" s="3">
        <v>148.5</v>
      </c>
      <c r="BU265" s="3">
        <v>105.3</v>
      </c>
      <c r="BV265" s="3">
        <v>144.1</v>
      </c>
      <c r="BW265" s="3">
        <v>196.2</v>
      </c>
      <c r="BX265" s="3">
        <v>392.9</v>
      </c>
      <c r="BY265" s="3">
        <v>87.9</v>
      </c>
      <c r="BZ265" s="3">
        <v>334.1</v>
      </c>
      <c r="CA265" s="3">
        <v>266.7</v>
      </c>
      <c r="CB265" s="3">
        <v>310</v>
      </c>
      <c r="CC265" s="3">
        <v>274.10000000000002</v>
      </c>
      <c r="CD265" s="3">
        <v>306.7</v>
      </c>
      <c r="CE265" s="3">
        <v>265.5</v>
      </c>
      <c r="CF265" s="3">
        <v>11.3</v>
      </c>
      <c r="CG265" s="3">
        <v>97.9</v>
      </c>
      <c r="CH265" s="3">
        <v>82.1</v>
      </c>
      <c r="CI265" s="3">
        <v>271.2</v>
      </c>
      <c r="CJ265" s="3">
        <v>147.5</v>
      </c>
      <c r="CK265" s="3">
        <v>170.8</v>
      </c>
      <c r="CL265" s="3">
        <v>399.3</v>
      </c>
      <c r="CM265" s="3">
        <v>187.8</v>
      </c>
      <c r="CN265" s="3">
        <v>176.5</v>
      </c>
    </row>
    <row r="266" spans="1:92" x14ac:dyDescent="0.25">
      <c r="A266" s="4">
        <v>39814</v>
      </c>
      <c r="B266" s="3">
        <v>211.3</v>
      </c>
      <c r="C266" s="3">
        <v>171.3</v>
      </c>
      <c r="D266" s="3">
        <v>203.5</v>
      </c>
      <c r="E266" s="3">
        <v>173.5</v>
      </c>
      <c r="F266" s="3">
        <v>216.8</v>
      </c>
      <c r="G266" s="3">
        <v>228.8</v>
      </c>
      <c r="H266" s="3">
        <v>188.3</v>
      </c>
      <c r="I266" s="3">
        <v>215</v>
      </c>
      <c r="J266" s="3">
        <v>131.19999999999999</v>
      </c>
      <c r="K266" s="3">
        <v>168.3</v>
      </c>
      <c r="L266" s="3">
        <v>194.7</v>
      </c>
      <c r="M266" s="3">
        <v>189.6</v>
      </c>
      <c r="N266" s="3">
        <v>197.5</v>
      </c>
      <c r="O266" s="3">
        <v>233.2</v>
      </c>
      <c r="P266" s="3">
        <v>170.4</v>
      </c>
      <c r="Q266" s="3">
        <v>213</v>
      </c>
      <c r="R266" s="3">
        <v>251.2</v>
      </c>
      <c r="S266" s="3">
        <v>245.2</v>
      </c>
      <c r="T266" s="3">
        <v>168</v>
      </c>
      <c r="U266" s="3">
        <v>178.3</v>
      </c>
      <c r="V266" s="3">
        <v>143.19999999999999</v>
      </c>
      <c r="W266" s="3">
        <v>200.6</v>
      </c>
      <c r="X266" s="3">
        <v>188.6</v>
      </c>
      <c r="Y266" s="3">
        <v>225.1</v>
      </c>
      <c r="Z266" s="3">
        <v>189.5</v>
      </c>
      <c r="AA266" s="3">
        <v>193</v>
      </c>
      <c r="AB266" s="3">
        <v>178.6</v>
      </c>
      <c r="AC266" s="3">
        <v>184.1</v>
      </c>
      <c r="AD266" s="3">
        <v>165.4</v>
      </c>
      <c r="AE266" s="3">
        <v>239.9</v>
      </c>
      <c r="AF266" s="3">
        <v>167.6</v>
      </c>
      <c r="AG266" s="3">
        <v>164.9</v>
      </c>
      <c r="AH266" s="3">
        <v>166.6</v>
      </c>
      <c r="AI266" s="3">
        <v>171.1</v>
      </c>
      <c r="AJ266" s="3">
        <v>260.10000000000002</v>
      </c>
      <c r="AK266" s="3">
        <v>327.8</v>
      </c>
      <c r="AL266" s="3">
        <v>259.89999999999998</v>
      </c>
      <c r="AM266" s="3">
        <v>252.6</v>
      </c>
      <c r="AN266" s="3">
        <v>276.39999999999998</v>
      </c>
      <c r="AO266" s="3">
        <v>151.6</v>
      </c>
      <c r="AP266" s="3">
        <v>203.7</v>
      </c>
      <c r="AQ266" s="3">
        <v>257.60000000000002</v>
      </c>
      <c r="AR266" s="3">
        <v>168.1</v>
      </c>
      <c r="AS266" s="3">
        <v>392.6</v>
      </c>
      <c r="AT266" s="3">
        <v>300.8</v>
      </c>
      <c r="AU266" s="3">
        <v>302.2</v>
      </c>
      <c r="AV266" s="3">
        <v>265.3</v>
      </c>
      <c r="AW266" s="3">
        <v>276.89999999999998</v>
      </c>
      <c r="AX266" s="3">
        <v>302.60000000000002</v>
      </c>
      <c r="AY266" s="3">
        <v>401.7</v>
      </c>
      <c r="AZ266" s="3">
        <v>349.3</v>
      </c>
      <c r="BA266" s="3">
        <v>178.8</v>
      </c>
      <c r="BB266" s="3">
        <v>337.1</v>
      </c>
      <c r="BC266" s="3">
        <v>286</v>
      </c>
      <c r="BD266" s="3">
        <v>256.60000000000002</v>
      </c>
      <c r="BE266" s="3">
        <v>320.3</v>
      </c>
      <c r="BF266" s="3">
        <v>305.2</v>
      </c>
      <c r="BG266" s="3">
        <v>177.3</v>
      </c>
      <c r="BH266" s="3">
        <v>167.3</v>
      </c>
      <c r="BI266" s="3">
        <v>67.900000000000006</v>
      </c>
      <c r="BJ266" s="3">
        <v>145.1</v>
      </c>
      <c r="BK266" s="3">
        <v>170.9</v>
      </c>
      <c r="BL266" s="3">
        <v>191.4</v>
      </c>
      <c r="BM266" s="3">
        <v>227.4</v>
      </c>
      <c r="BN266" s="3">
        <v>83.8</v>
      </c>
      <c r="BO266" s="3">
        <v>324.8</v>
      </c>
      <c r="BP266" s="3">
        <v>321.3</v>
      </c>
      <c r="BQ266" s="3">
        <v>86</v>
      </c>
      <c r="BR266" s="3">
        <v>54.1</v>
      </c>
      <c r="BS266" s="3">
        <v>84.6</v>
      </c>
      <c r="BT266" s="3">
        <v>146.5</v>
      </c>
      <c r="BU266" s="3">
        <v>102.7</v>
      </c>
      <c r="BV266" s="3">
        <v>142.6</v>
      </c>
      <c r="BW266" s="3">
        <v>198.2</v>
      </c>
      <c r="BX266" s="3">
        <v>392.7</v>
      </c>
      <c r="BY266" s="3">
        <v>86.3</v>
      </c>
      <c r="BZ266" s="3">
        <v>336</v>
      </c>
      <c r="CA266" s="3">
        <v>258</v>
      </c>
      <c r="CB266" s="3">
        <v>312.89999999999998</v>
      </c>
      <c r="CC266" s="3">
        <v>287</v>
      </c>
      <c r="CD266" s="3">
        <v>309.2</v>
      </c>
      <c r="CE266" s="3">
        <v>231.7</v>
      </c>
      <c r="CF266" s="3">
        <v>11.1</v>
      </c>
      <c r="CG266" s="3">
        <v>88.8</v>
      </c>
      <c r="CH266" s="3">
        <v>81.7</v>
      </c>
      <c r="CI266" s="3">
        <v>275.10000000000002</v>
      </c>
      <c r="CJ266" s="3">
        <v>148.1</v>
      </c>
      <c r="CK266" s="3">
        <v>170.1</v>
      </c>
      <c r="CL266" s="3">
        <v>400.7</v>
      </c>
      <c r="CM266" s="3">
        <v>188.4</v>
      </c>
      <c r="CN266" s="3">
        <v>176.5</v>
      </c>
    </row>
    <row r="267" spans="1:92" x14ac:dyDescent="0.25">
      <c r="A267" s="4">
        <v>39845</v>
      </c>
      <c r="B267" s="3">
        <v>214.2</v>
      </c>
      <c r="C267" s="3">
        <v>179.7</v>
      </c>
      <c r="D267" s="3">
        <v>203.7</v>
      </c>
      <c r="E267" s="3">
        <v>175.9</v>
      </c>
      <c r="F267" s="3">
        <v>227.2</v>
      </c>
      <c r="G267" s="3">
        <v>236.8</v>
      </c>
      <c r="H267" s="3">
        <v>196</v>
      </c>
      <c r="I267" s="3">
        <v>216.8</v>
      </c>
      <c r="J267" s="3">
        <v>132.80000000000001</v>
      </c>
      <c r="K267" s="3">
        <v>168.5</v>
      </c>
      <c r="L267" s="3">
        <v>194.4</v>
      </c>
      <c r="M267" s="3">
        <v>191.3</v>
      </c>
      <c r="N267" s="3">
        <v>193</v>
      </c>
      <c r="O267" s="3">
        <v>232</v>
      </c>
      <c r="P267" s="3">
        <v>172.1</v>
      </c>
      <c r="Q267" s="3">
        <v>217.5</v>
      </c>
      <c r="R267" s="3">
        <v>245.1</v>
      </c>
      <c r="S267" s="3">
        <v>245.1</v>
      </c>
      <c r="T267" s="3">
        <v>170.9</v>
      </c>
      <c r="U267" s="3">
        <v>182.7</v>
      </c>
      <c r="V267" s="3">
        <v>138.4</v>
      </c>
      <c r="W267" s="3">
        <v>208.3</v>
      </c>
      <c r="X267" s="3">
        <v>195.8</v>
      </c>
      <c r="Y267" s="3">
        <v>227</v>
      </c>
      <c r="Z267" s="3">
        <v>194.4</v>
      </c>
      <c r="AA267" s="3">
        <v>195.6</v>
      </c>
      <c r="AB267" s="3">
        <v>184.7</v>
      </c>
      <c r="AC267" s="3">
        <v>190.4</v>
      </c>
      <c r="AD267" s="3">
        <v>173.1</v>
      </c>
      <c r="AE267" s="3">
        <v>236.5</v>
      </c>
      <c r="AF267" s="3">
        <v>169.4</v>
      </c>
      <c r="AG267" s="3">
        <v>167.1</v>
      </c>
      <c r="AH267" s="3">
        <v>166.1</v>
      </c>
      <c r="AI267" s="3">
        <v>173.9</v>
      </c>
      <c r="AJ267" s="3">
        <v>262</v>
      </c>
      <c r="AK267" s="3">
        <v>329.8</v>
      </c>
      <c r="AL267" s="3">
        <v>260.5</v>
      </c>
      <c r="AM267" s="3">
        <v>255.1</v>
      </c>
      <c r="AN267" s="3">
        <v>277.10000000000002</v>
      </c>
      <c r="AO267" s="3">
        <v>158</v>
      </c>
      <c r="AP267" s="3">
        <v>205.4</v>
      </c>
      <c r="AQ267" s="3">
        <v>258.60000000000002</v>
      </c>
      <c r="AR267" s="3">
        <v>170.5</v>
      </c>
      <c r="AS267" s="3">
        <v>396</v>
      </c>
      <c r="AT267" s="3">
        <v>303.89999999999998</v>
      </c>
      <c r="AU267" s="3">
        <v>302.10000000000002</v>
      </c>
      <c r="AV267" s="3">
        <v>245.9</v>
      </c>
      <c r="AW267" s="3">
        <v>274.7</v>
      </c>
      <c r="AX267" s="3">
        <v>302.60000000000002</v>
      </c>
      <c r="AY267" s="3">
        <v>401.7</v>
      </c>
      <c r="AZ267" s="3">
        <v>349.5</v>
      </c>
      <c r="BA267" s="3">
        <v>181.2</v>
      </c>
      <c r="BB267" s="3">
        <v>344.9</v>
      </c>
      <c r="BC267" s="3">
        <v>286.2</v>
      </c>
      <c r="BD267" s="3">
        <v>256.60000000000002</v>
      </c>
      <c r="BE267" s="3">
        <v>320.3</v>
      </c>
      <c r="BF267" s="3">
        <v>291.2</v>
      </c>
      <c r="BG267" s="3">
        <v>181.6</v>
      </c>
      <c r="BH267" s="3">
        <v>173.4</v>
      </c>
      <c r="BI267" s="3">
        <v>70.099999999999994</v>
      </c>
      <c r="BJ267" s="3">
        <v>151.5</v>
      </c>
      <c r="BK267" s="3">
        <v>175.2</v>
      </c>
      <c r="BL267" s="3">
        <v>192.1</v>
      </c>
      <c r="BM267" s="3">
        <v>227.4</v>
      </c>
      <c r="BN267" s="3">
        <v>83.7</v>
      </c>
      <c r="BO267" s="3">
        <v>324.89999999999998</v>
      </c>
      <c r="BP267" s="3">
        <v>322.60000000000002</v>
      </c>
      <c r="BQ267" s="3">
        <v>87.6</v>
      </c>
      <c r="BR267" s="3">
        <v>55.1</v>
      </c>
      <c r="BS267" s="3">
        <v>86</v>
      </c>
      <c r="BT267" s="3">
        <v>149</v>
      </c>
      <c r="BU267" s="3">
        <v>106.8</v>
      </c>
      <c r="BV267" s="3">
        <v>146.4</v>
      </c>
      <c r="BW267" s="3">
        <v>201.1</v>
      </c>
      <c r="BX267" s="3">
        <v>393.2</v>
      </c>
      <c r="BY267" s="3">
        <v>86.4</v>
      </c>
      <c r="BZ267" s="3">
        <v>336.1</v>
      </c>
      <c r="CA267" s="3">
        <v>268.89999999999998</v>
      </c>
      <c r="CB267" s="3">
        <v>317.8</v>
      </c>
      <c r="CC267" s="3">
        <v>288.89999999999998</v>
      </c>
      <c r="CD267" s="3">
        <v>304.8</v>
      </c>
      <c r="CE267" s="3">
        <v>230.9</v>
      </c>
      <c r="CF267" s="3">
        <v>11.2</v>
      </c>
      <c r="CG267" s="3">
        <v>89</v>
      </c>
      <c r="CH267" s="3">
        <v>83.6</v>
      </c>
      <c r="CI267" s="3">
        <v>290</v>
      </c>
      <c r="CJ267" s="3">
        <v>150.9</v>
      </c>
      <c r="CK267" s="3">
        <v>170.1</v>
      </c>
      <c r="CL267" s="3">
        <v>402.4</v>
      </c>
      <c r="CM267" s="3">
        <v>189.4</v>
      </c>
      <c r="CN267" s="3">
        <v>176.5</v>
      </c>
    </row>
    <row r="268" spans="1:92" x14ac:dyDescent="0.25">
      <c r="A268" s="4">
        <v>39873</v>
      </c>
      <c r="B268" s="3">
        <v>213.5</v>
      </c>
      <c r="C268" s="3">
        <v>180.9</v>
      </c>
      <c r="D268" s="3">
        <v>202.4</v>
      </c>
      <c r="E268" s="3">
        <v>176.8</v>
      </c>
      <c r="F268" s="3">
        <v>230.1</v>
      </c>
      <c r="G268" s="3">
        <v>237.9</v>
      </c>
      <c r="H268" s="3">
        <v>197.3</v>
      </c>
      <c r="I268" s="3">
        <v>212.2</v>
      </c>
      <c r="J268" s="3">
        <v>131.9</v>
      </c>
      <c r="K268" s="3">
        <v>169.1</v>
      </c>
      <c r="L268" s="3">
        <v>192.9</v>
      </c>
      <c r="M268" s="3">
        <v>185.3</v>
      </c>
      <c r="N268" s="3">
        <v>201</v>
      </c>
      <c r="O268" s="3">
        <v>223.4</v>
      </c>
      <c r="P268" s="3">
        <v>163.5</v>
      </c>
      <c r="Q268" s="3">
        <v>220.3</v>
      </c>
      <c r="R268" s="3">
        <v>251.4</v>
      </c>
      <c r="S268" s="3">
        <v>245.3</v>
      </c>
      <c r="T268" s="3">
        <v>172</v>
      </c>
      <c r="U268" s="3">
        <v>188.1</v>
      </c>
      <c r="V268" s="3">
        <v>140.69999999999999</v>
      </c>
      <c r="W268" s="3">
        <v>210</v>
      </c>
      <c r="X268" s="3">
        <v>196.8</v>
      </c>
      <c r="Y268" s="3">
        <v>227.2</v>
      </c>
      <c r="Z268" s="3">
        <v>193.6</v>
      </c>
      <c r="AA268" s="3">
        <v>191.4</v>
      </c>
      <c r="AB268" s="3">
        <v>186</v>
      </c>
      <c r="AC268" s="3">
        <v>183.5</v>
      </c>
      <c r="AD268" s="3">
        <v>165.5</v>
      </c>
      <c r="AE268" s="3">
        <v>235.1</v>
      </c>
      <c r="AF268" s="3">
        <v>164.1</v>
      </c>
      <c r="AG268" s="3">
        <v>161.1</v>
      </c>
      <c r="AH268" s="3">
        <v>166</v>
      </c>
      <c r="AI268" s="3">
        <v>173.6</v>
      </c>
      <c r="AJ268" s="3">
        <v>262.60000000000002</v>
      </c>
      <c r="AK268" s="3">
        <v>329.4</v>
      </c>
      <c r="AL268" s="3">
        <v>260.89999999999998</v>
      </c>
      <c r="AM268" s="3">
        <v>255.1</v>
      </c>
      <c r="AN268" s="3">
        <v>278.2</v>
      </c>
      <c r="AO268" s="3">
        <v>155.1</v>
      </c>
      <c r="AP268" s="3">
        <v>206.2</v>
      </c>
      <c r="AQ268" s="3">
        <v>259.5</v>
      </c>
      <c r="AR268" s="3">
        <v>171.2</v>
      </c>
      <c r="AS268" s="3">
        <v>398.1</v>
      </c>
      <c r="AT268" s="3">
        <v>306.39999999999998</v>
      </c>
      <c r="AU268" s="3">
        <v>301.89999999999998</v>
      </c>
      <c r="AV268" s="3">
        <v>230.3</v>
      </c>
      <c r="AW268" s="3">
        <v>269.39999999999998</v>
      </c>
      <c r="AX268" s="3">
        <v>302.60000000000002</v>
      </c>
      <c r="AY268" s="3">
        <v>401.7</v>
      </c>
      <c r="AZ268" s="3">
        <v>348.9</v>
      </c>
      <c r="BA268" s="3">
        <v>181.8</v>
      </c>
      <c r="BB268" s="3">
        <v>338.6</v>
      </c>
      <c r="BC268" s="3">
        <v>285.89999999999998</v>
      </c>
      <c r="BD268" s="3">
        <v>255.4</v>
      </c>
      <c r="BE268" s="3">
        <v>306.2</v>
      </c>
      <c r="BF268" s="3">
        <v>266.89999999999998</v>
      </c>
      <c r="BG268" s="3">
        <v>191.1</v>
      </c>
      <c r="BH268" s="3">
        <v>176.5</v>
      </c>
      <c r="BI268" s="3">
        <v>71.2</v>
      </c>
      <c r="BJ268" s="3">
        <v>152.69999999999999</v>
      </c>
      <c r="BK268" s="3">
        <v>176.7</v>
      </c>
      <c r="BL268" s="3">
        <v>195.3</v>
      </c>
      <c r="BM268" s="3">
        <v>227.4</v>
      </c>
      <c r="BN268" s="3">
        <v>83.6</v>
      </c>
      <c r="BO268" s="3">
        <v>325</v>
      </c>
      <c r="BP268" s="3">
        <v>325</v>
      </c>
      <c r="BQ268" s="3">
        <v>89.3</v>
      </c>
      <c r="BR268" s="3">
        <v>56.3</v>
      </c>
      <c r="BS268" s="3">
        <v>85.9</v>
      </c>
      <c r="BT268" s="3">
        <v>150.9</v>
      </c>
      <c r="BU268" s="3">
        <v>108.4</v>
      </c>
      <c r="BV268" s="3">
        <v>148.6</v>
      </c>
      <c r="BW268" s="3">
        <v>201.1</v>
      </c>
      <c r="BX268" s="3">
        <v>393.2</v>
      </c>
      <c r="BY268" s="3">
        <v>88.4</v>
      </c>
      <c r="BZ268" s="3">
        <v>336.6</v>
      </c>
      <c r="CA268" s="3">
        <v>268.5</v>
      </c>
      <c r="CB268" s="3">
        <v>323.39999999999998</v>
      </c>
      <c r="CC268" s="3">
        <v>288.3</v>
      </c>
      <c r="CD268" s="3">
        <v>306.2</v>
      </c>
      <c r="CE268" s="3">
        <v>229.8</v>
      </c>
      <c r="CF268" s="3">
        <v>11.2</v>
      </c>
      <c r="CG268" s="3">
        <v>88.4</v>
      </c>
      <c r="CH268" s="3">
        <v>84</v>
      </c>
      <c r="CI268" s="3">
        <v>286.5</v>
      </c>
      <c r="CJ268" s="3">
        <v>151.1</v>
      </c>
      <c r="CK268" s="3">
        <v>170.1</v>
      </c>
      <c r="CL268" s="3">
        <v>403.1</v>
      </c>
      <c r="CM268" s="3">
        <v>190.3</v>
      </c>
      <c r="CN268" s="3">
        <v>176.7</v>
      </c>
    </row>
    <row r="269" spans="1:92" x14ac:dyDescent="0.25">
      <c r="A269" s="4">
        <v>39904</v>
      </c>
      <c r="B269" s="3">
        <v>214.2</v>
      </c>
      <c r="C269" s="3">
        <v>178.5</v>
      </c>
      <c r="D269" s="3">
        <v>204.5</v>
      </c>
      <c r="E269" s="3">
        <v>176.6</v>
      </c>
      <c r="F269" s="3">
        <v>226.7</v>
      </c>
      <c r="G269" s="3">
        <v>235</v>
      </c>
      <c r="H269" s="3">
        <v>199.1</v>
      </c>
      <c r="I269" s="3">
        <v>211.4</v>
      </c>
      <c r="J269" s="3">
        <v>132.80000000000001</v>
      </c>
      <c r="K269" s="3">
        <v>167.7</v>
      </c>
      <c r="L269" s="3">
        <v>197.2</v>
      </c>
      <c r="M269" s="3">
        <v>190.7</v>
      </c>
      <c r="N269" s="3">
        <v>202.8</v>
      </c>
      <c r="O269" s="3">
        <v>225.5</v>
      </c>
      <c r="P269" s="3">
        <v>169.4</v>
      </c>
      <c r="Q269" s="3">
        <v>218.2</v>
      </c>
      <c r="R269" s="3">
        <v>254.3</v>
      </c>
      <c r="S269" s="3">
        <v>245.1</v>
      </c>
      <c r="T269" s="3">
        <v>170.8</v>
      </c>
      <c r="U269" s="3">
        <v>181.7</v>
      </c>
      <c r="V269" s="3">
        <v>141.6</v>
      </c>
      <c r="W269" s="3">
        <v>209.4</v>
      </c>
      <c r="X269" s="3">
        <v>196.2</v>
      </c>
      <c r="Y269" s="3">
        <v>227.1</v>
      </c>
      <c r="Z269" s="3">
        <v>191.9</v>
      </c>
      <c r="AA269" s="3">
        <v>192.8</v>
      </c>
      <c r="AB269" s="3">
        <v>182.6</v>
      </c>
      <c r="AC269" s="3">
        <v>179.8</v>
      </c>
      <c r="AD269" s="3">
        <v>161.6</v>
      </c>
      <c r="AE269" s="3">
        <v>234.4</v>
      </c>
      <c r="AF269" s="3">
        <v>163.19999999999999</v>
      </c>
      <c r="AG269" s="3">
        <v>159.9</v>
      </c>
      <c r="AH269" s="3">
        <v>167.1</v>
      </c>
      <c r="AI269" s="3">
        <v>170.8</v>
      </c>
      <c r="AJ269" s="3">
        <v>263</v>
      </c>
      <c r="AK269" s="3">
        <v>330.3</v>
      </c>
      <c r="AL269" s="3">
        <v>261.60000000000002</v>
      </c>
      <c r="AM269" s="3">
        <v>255.7</v>
      </c>
      <c r="AN269" s="3">
        <v>279.39999999999998</v>
      </c>
      <c r="AO269" s="3">
        <v>154</v>
      </c>
      <c r="AP269" s="3">
        <v>207</v>
      </c>
      <c r="AQ269" s="3">
        <v>260.39999999999998</v>
      </c>
      <c r="AR269" s="3">
        <v>172</v>
      </c>
      <c r="AS269" s="3">
        <v>398.3</v>
      </c>
      <c r="AT269" s="3">
        <v>305.89999999999998</v>
      </c>
      <c r="AU269" s="3">
        <v>303.60000000000002</v>
      </c>
      <c r="AV269" s="3">
        <v>212.6</v>
      </c>
      <c r="AW269" s="3">
        <v>265.2</v>
      </c>
      <c r="AX269" s="3">
        <v>310.89999999999998</v>
      </c>
      <c r="AY269" s="3">
        <v>420.6</v>
      </c>
      <c r="AZ269" s="3">
        <v>349.4</v>
      </c>
      <c r="BA269" s="3">
        <v>183.5</v>
      </c>
      <c r="BB269" s="3">
        <v>326.2</v>
      </c>
      <c r="BC269" s="3">
        <v>286</v>
      </c>
      <c r="BD269" s="3">
        <v>242.3</v>
      </c>
      <c r="BE269" s="3">
        <v>303.10000000000002</v>
      </c>
      <c r="BF269" s="3">
        <v>279.5</v>
      </c>
      <c r="BG269" s="3">
        <v>187.5</v>
      </c>
      <c r="BH269" s="3">
        <v>172.7</v>
      </c>
      <c r="BI269" s="3">
        <v>71.2</v>
      </c>
      <c r="BJ269" s="3">
        <v>153.1</v>
      </c>
      <c r="BK269" s="3">
        <v>177.1</v>
      </c>
      <c r="BL269" s="3">
        <v>195.6</v>
      </c>
      <c r="BM269" s="3">
        <v>249.2</v>
      </c>
      <c r="BN269" s="3">
        <v>84.9</v>
      </c>
      <c r="BO269" s="3">
        <v>324.89999999999998</v>
      </c>
      <c r="BP269" s="3">
        <v>325.8</v>
      </c>
      <c r="BQ269" s="3">
        <v>90.9</v>
      </c>
      <c r="BR269" s="3">
        <v>56.5</v>
      </c>
      <c r="BS269" s="3">
        <v>86</v>
      </c>
      <c r="BT269" s="3">
        <v>150.30000000000001</v>
      </c>
      <c r="BU269" s="3">
        <v>109.4</v>
      </c>
      <c r="BV269" s="3">
        <v>148.4</v>
      </c>
      <c r="BW269" s="3">
        <v>201.5</v>
      </c>
      <c r="BX269" s="3">
        <v>395.8</v>
      </c>
      <c r="BY269" s="3">
        <v>91.1</v>
      </c>
      <c r="BZ269" s="3">
        <v>338.4</v>
      </c>
      <c r="CA269" s="3">
        <v>280.39999999999998</v>
      </c>
      <c r="CB269" s="3">
        <v>329.4</v>
      </c>
      <c r="CC269" s="3">
        <v>289</v>
      </c>
      <c r="CD269" s="3">
        <v>305.89999999999998</v>
      </c>
      <c r="CE269" s="3">
        <v>230.5</v>
      </c>
      <c r="CF269" s="3">
        <v>11.2</v>
      </c>
      <c r="CG269" s="3">
        <v>89.2</v>
      </c>
      <c r="CH269" s="3">
        <v>83.7</v>
      </c>
      <c r="CI269" s="3">
        <v>282.89999999999998</v>
      </c>
      <c r="CJ269" s="3">
        <v>150.69999999999999</v>
      </c>
      <c r="CK269" s="3">
        <v>172.5</v>
      </c>
      <c r="CL269" s="3">
        <v>405.8</v>
      </c>
      <c r="CM269" s="3">
        <v>191.7</v>
      </c>
      <c r="CN269" s="3">
        <v>176.7</v>
      </c>
    </row>
    <row r="270" spans="1:92" x14ac:dyDescent="0.25">
      <c r="A270" s="4">
        <v>39934</v>
      </c>
      <c r="B270" s="3">
        <v>211.4</v>
      </c>
      <c r="C270" s="3">
        <v>181.7</v>
      </c>
      <c r="D270" s="3">
        <v>202.8</v>
      </c>
      <c r="E270" s="3">
        <v>175.8</v>
      </c>
      <c r="F270" s="3">
        <v>235.5</v>
      </c>
      <c r="G270" s="3">
        <v>250.1</v>
      </c>
      <c r="H270" s="3">
        <v>201.1</v>
      </c>
      <c r="I270" s="3">
        <v>216.3</v>
      </c>
      <c r="J270" s="3">
        <v>131.1</v>
      </c>
      <c r="K270" s="3">
        <v>171.1</v>
      </c>
      <c r="L270" s="3">
        <v>197.6</v>
      </c>
      <c r="M270" s="3">
        <v>186.7</v>
      </c>
      <c r="N270" s="3">
        <v>212.4</v>
      </c>
      <c r="O270" s="3">
        <v>231.1</v>
      </c>
      <c r="P270" s="3">
        <v>168.3</v>
      </c>
      <c r="Q270" s="3">
        <v>217.7</v>
      </c>
      <c r="R270" s="3">
        <v>259.2</v>
      </c>
      <c r="S270" s="3">
        <v>245.8</v>
      </c>
      <c r="T270" s="3">
        <v>169.7</v>
      </c>
      <c r="U270" s="3">
        <v>174.5</v>
      </c>
      <c r="V270" s="3">
        <v>142.69999999999999</v>
      </c>
      <c r="W270" s="3">
        <v>210.1</v>
      </c>
      <c r="X270" s="3">
        <v>200.2</v>
      </c>
      <c r="Y270" s="3">
        <v>227.8</v>
      </c>
      <c r="Z270" s="3">
        <v>197.9</v>
      </c>
      <c r="AA270" s="3">
        <v>204.6</v>
      </c>
      <c r="AB270" s="3">
        <v>184.7</v>
      </c>
      <c r="AC270" s="3">
        <v>178.9</v>
      </c>
      <c r="AD270" s="3">
        <v>160</v>
      </c>
      <c r="AE270" s="3">
        <v>237.3</v>
      </c>
      <c r="AF270" s="3">
        <v>171.8</v>
      </c>
      <c r="AG270" s="3">
        <v>169.5</v>
      </c>
      <c r="AH270" s="3">
        <v>168.1</v>
      </c>
      <c r="AI270" s="3">
        <v>172.8</v>
      </c>
      <c r="AJ270" s="3">
        <v>263.39999999999998</v>
      </c>
      <c r="AK270" s="3">
        <v>331.2</v>
      </c>
      <c r="AL270" s="3">
        <v>262.2</v>
      </c>
      <c r="AM270" s="3">
        <v>257.89999999999998</v>
      </c>
      <c r="AN270" s="3">
        <v>282.10000000000002</v>
      </c>
      <c r="AO270" s="3">
        <v>155.1</v>
      </c>
      <c r="AP270" s="3">
        <v>209.9</v>
      </c>
      <c r="AQ270" s="3">
        <v>262.2</v>
      </c>
      <c r="AR270" s="3">
        <v>175.9</v>
      </c>
      <c r="AS270" s="3">
        <v>403.9</v>
      </c>
      <c r="AT270" s="3">
        <v>309.39999999999998</v>
      </c>
      <c r="AU270" s="3">
        <v>303.10000000000002</v>
      </c>
      <c r="AV270" s="3">
        <v>213.4</v>
      </c>
      <c r="AW270" s="3">
        <v>264.10000000000002</v>
      </c>
      <c r="AX270" s="3">
        <v>310.89999999999998</v>
      </c>
      <c r="AY270" s="3">
        <v>420.6</v>
      </c>
      <c r="AZ270" s="3">
        <v>349.7</v>
      </c>
      <c r="BA270" s="3">
        <v>184.5</v>
      </c>
      <c r="BB270" s="3">
        <v>339.7</v>
      </c>
      <c r="BC270" s="3">
        <v>281.39999999999998</v>
      </c>
      <c r="BD270" s="3">
        <v>237</v>
      </c>
      <c r="BE270" s="3">
        <v>303.10000000000002</v>
      </c>
      <c r="BF270" s="3">
        <v>280</v>
      </c>
      <c r="BG270" s="3">
        <v>189.8</v>
      </c>
      <c r="BH270" s="3">
        <v>177.7</v>
      </c>
      <c r="BI270" s="3">
        <v>70.5</v>
      </c>
      <c r="BJ270" s="3">
        <v>155.19999999999999</v>
      </c>
      <c r="BK270" s="3">
        <v>178.1</v>
      </c>
      <c r="BL270" s="3">
        <v>195.9</v>
      </c>
      <c r="BM270" s="3">
        <v>249.2</v>
      </c>
      <c r="BN270" s="3">
        <v>84.9</v>
      </c>
      <c r="BO270" s="3">
        <v>325.5</v>
      </c>
      <c r="BP270" s="3">
        <v>328.2</v>
      </c>
      <c r="BQ270" s="3">
        <v>90.9</v>
      </c>
      <c r="BR270" s="3">
        <v>56.8</v>
      </c>
      <c r="BS270" s="3">
        <v>86</v>
      </c>
      <c r="BT270" s="3">
        <v>151</v>
      </c>
      <c r="BU270" s="3">
        <v>110</v>
      </c>
      <c r="BV270" s="3">
        <v>149.30000000000001</v>
      </c>
      <c r="BW270" s="3">
        <v>200.6</v>
      </c>
      <c r="BX270" s="3">
        <v>396</v>
      </c>
      <c r="BY270" s="3">
        <v>93.5</v>
      </c>
      <c r="BZ270" s="3">
        <v>339.6</v>
      </c>
      <c r="CA270" s="3">
        <v>287.60000000000002</v>
      </c>
      <c r="CB270" s="3">
        <v>333.9</v>
      </c>
      <c r="CC270" s="3">
        <v>288.60000000000002</v>
      </c>
      <c r="CD270" s="3">
        <v>309.3</v>
      </c>
      <c r="CE270" s="3">
        <v>236.7</v>
      </c>
      <c r="CF270" s="3">
        <v>11.4</v>
      </c>
      <c r="CG270" s="3">
        <v>90.5</v>
      </c>
      <c r="CH270" s="3">
        <v>83.5</v>
      </c>
      <c r="CI270" s="3">
        <v>280.89999999999998</v>
      </c>
      <c r="CJ270" s="3">
        <v>150.4</v>
      </c>
      <c r="CK270" s="3">
        <v>172.5</v>
      </c>
      <c r="CL270" s="3">
        <v>406.1</v>
      </c>
      <c r="CM270" s="3">
        <v>193.5</v>
      </c>
      <c r="CN270" s="3">
        <v>176.9</v>
      </c>
    </row>
    <row r="271" spans="1:92" x14ac:dyDescent="0.25">
      <c r="A271" s="4">
        <v>39965</v>
      </c>
      <c r="B271" s="3">
        <v>212.8</v>
      </c>
      <c r="C271" s="3">
        <v>180.4</v>
      </c>
      <c r="D271" s="3">
        <v>202</v>
      </c>
      <c r="E271" s="3">
        <v>177.5</v>
      </c>
      <c r="F271" s="3">
        <v>231.4</v>
      </c>
      <c r="G271" s="3">
        <v>245.2</v>
      </c>
      <c r="H271" s="3">
        <v>200.5</v>
      </c>
      <c r="I271" s="3">
        <v>213.5</v>
      </c>
      <c r="J271" s="3">
        <v>129.69999999999999</v>
      </c>
      <c r="K271" s="3">
        <v>172.7</v>
      </c>
      <c r="L271" s="3">
        <v>195.9</v>
      </c>
      <c r="M271" s="3">
        <v>186.3</v>
      </c>
      <c r="N271" s="3">
        <v>208</v>
      </c>
      <c r="O271" s="3">
        <v>228.6</v>
      </c>
      <c r="P271" s="3">
        <v>169</v>
      </c>
      <c r="Q271" s="3">
        <v>213.3</v>
      </c>
      <c r="R271" s="3">
        <v>258.39999999999998</v>
      </c>
      <c r="S271" s="3">
        <v>245.3</v>
      </c>
      <c r="T271" s="3">
        <v>171.6</v>
      </c>
      <c r="U271" s="3">
        <v>186.8</v>
      </c>
      <c r="V271" s="3">
        <v>139.69999999999999</v>
      </c>
      <c r="W271" s="3">
        <v>210.4</v>
      </c>
      <c r="X271" s="3">
        <v>195.6</v>
      </c>
      <c r="Y271" s="3">
        <v>226.4</v>
      </c>
      <c r="Z271" s="3">
        <v>198.8</v>
      </c>
      <c r="AA271" s="3">
        <v>212.7</v>
      </c>
      <c r="AB271" s="3">
        <v>181</v>
      </c>
      <c r="AC271" s="3">
        <v>176.1</v>
      </c>
      <c r="AD271" s="3">
        <v>157.30000000000001</v>
      </c>
      <c r="AE271" s="3">
        <v>234.8</v>
      </c>
      <c r="AF271" s="3">
        <v>171.9</v>
      </c>
      <c r="AG271" s="3">
        <v>169.4</v>
      </c>
      <c r="AH271" s="3">
        <v>169.8</v>
      </c>
      <c r="AI271" s="3">
        <v>173.7</v>
      </c>
      <c r="AJ271" s="3">
        <v>263.3</v>
      </c>
      <c r="AK271" s="3">
        <v>330.9</v>
      </c>
      <c r="AL271" s="3">
        <v>262.60000000000002</v>
      </c>
      <c r="AM271" s="3">
        <v>258.39999999999998</v>
      </c>
      <c r="AN271" s="3">
        <v>282.7</v>
      </c>
      <c r="AO271" s="3">
        <v>155.1</v>
      </c>
      <c r="AP271" s="3">
        <v>208.5</v>
      </c>
      <c r="AQ271" s="3">
        <v>263.2</v>
      </c>
      <c r="AR271" s="3">
        <v>172.5</v>
      </c>
      <c r="AS271" s="3">
        <v>404</v>
      </c>
      <c r="AT271" s="3">
        <v>309.7</v>
      </c>
      <c r="AU271" s="3">
        <v>302.89999999999998</v>
      </c>
      <c r="AV271" s="3">
        <v>214.2</v>
      </c>
      <c r="AW271" s="3">
        <v>263.8</v>
      </c>
      <c r="AX271" s="3">
        <v>310.89999999999998</v>
      </c>
      <c r="AY271" s="3">
        <v>420.6</v>
      </c>
      <c r="AZ271" s="3">
        <v>349.4</v>
      </c>
      <c r="BA271" s="3">
        <v>185.7</v>
      </c>
      <c r="BB271" s="3">
        <v>330.3</v>
      </c>
      <c r="BC271" s="3">
        <v>279</v>
      </c>
      <c r="BD271" s="3">
        <v>237</v>
      </c>
      <c r="BE271" s="3">
        <v>303.10000000000002</v>
      </c>
      <c r="BF271" s="3">
        <v>305.10000000000002</v>
      </c>
      <c r="BG271" s="3">
        <v>196.5</v>
      </c>
      <c r="BH271" s="3">
        <v>177.1</v>
      </c>
      <c r="BI271" s="3">
        <v>70.8</v>
      </c>
      <c r="BJ271" s="3">
        <v>156.19999999999999</v>
      </c>
      <c r="BK271" s="3">
        <v>179</v>
      </c>
      <c r="BL271" s="3">
        <v>195.5</v>
      </c>
      <c r="BM271" s="3">
        <v>249.2</v>
      </c>
      <c r="BN271" s="3">
        <v>84.9</v>
      </c>
      <c r="BO271" s="3">
        <v>326.10000000000002</v>
      </c>
      <c r="BP271" s="3">
        <v>321.3</v>
      </c>
      <c r="BQ271" s="3">
        <v>90</v>
      </c>
      <c r="BR271" s="3">
        <v>55</v>
      </c>
      <c r="BS271" s="3">
        <v>85.3</v>
      </c>
      <c r="BT271" s="3">
        <v>151.5</v>
      </c>
      <c r="BU271" s="3">
        <v>109.5</v>
      </c>
      <c r="BV271" s="3">
        <v>149.69999999999999</v>
      </c>
      <c r="BW271" s="3">
        <v>202.7</v>
      </c>
      <c r="BX271" s="3">
        <v>396.4</v>
      </c>
      <c r="BY271" s="3">
        <v>95.1</v>
      </c>
      <c r="BZ271" s="3">
        <v>340.8</v>
      </c>
      <c r="CA271" s="3">
        <v>298.5</v>
      </c>
      <c r="CB271" s="3">
        <v>329.9</v>
      </c>
      <c r="CC271" s="3">
        <v>285.8</v>
      </c>
      <c r="CD271" s="3">
        <v>308.5</v>
      </c>
      <c r="CE271" s="3">
        <v>239.9</v>
      </c>
      <c r="CF271" s="3">
        <v>11.3</v>
      </c>
      <c r="CG271" s="3">
        <v>92.9</v>
      </c>
      <c r="CH271" s="3">
        <v>85.1</v>
      </c>
      <c r="CI271" s="3">
        <v>278.8</v>
      </c>
      <c r="CJ271" s="3">
        <v>152</v>
      </c>
      <c r="CK271" s="3">
        <v>172.5</v>
      </c>
      <c r="CL271" s="3">
        <v>407.3</v>
      </c>
      <c r="CM271" s="3">
        <v>194.4</v>
      </c>
      <c r="CN271" s="3">
        <v>176.9</v>
      </c>
    </row>
    <row r="272" spans="1:92" x14ac:dyDescent="0.25">
      <c r="A272" s="4">
        <v>39995</v>
      </c>
      <c r="B272" s="3">
        <v>211.2</v>
      </c>
      <c r="C272" s="3">
        <v>181.4</v>
      </c>
      <c r="D272" s="3">
        <v>201</v>
      </c>
      <c r="E272" s="3">
        <v>176.1</v>
      </c>
      <c r="F272" s="3">
        <v>235.2</v>
      </c>
      <c r="G272" s="3">
        <v>250.4</v>
      </c>
      <c r="H272" s="3">
        <v>198.5</v>
      </c>
      <c r="I272" s="3">
        <v>209.8</v>
      </c>
      <c r="J272" s="3">
        <v>130.19999999999999</v>
      </c>
      <c r="K272" s="3">
        <v>173</v>
      </c>
      <c r="L272" s="3">
        <v>199</v>
      </c>
      <c r="M272" s="3">
        <v>191.2</v>
      </c>
      <c r="N272" s="3">
        <v>207.2</v>
      </c>
      <c r="O272" s="3">
        <v>229</v>
      </c>
      <c r="P272" s="3">
        <v>167.6</v>
      </c>
      <c r="Q272" s="3">
        <v>212.7</v>
      </c>
      <c r="R272" s="3">
        <v>256.39999999999998</v>
      </c>
      <c r="S272" s="3">
        <v>245.7</v>
      </c>
      <c r="T272" s="3">
        <v>172.8</v>
      </c>
      <c r="U272" s="3">
        <v>193.5</v>
      </c>
      <c r="V272" s="3">
        <v>138.69999999999999</v>
      </c>
      <c r="W272" s="3">
        <v>210.8</v>
      </c>
      <c r="X272" s="3">
        <v>197</v>
      </c>
      <c r="Y272" s="3">
        <v>229</v>
      </c>
      <c r="Z272" s="3">
        <v>195.5</v>
      </c>
      <c r="AA272" s="3">
        <v>198.8</v>
      </c>
      <c r="AB272" s="3">
        <v>184.5</v>
      </c>
      <c r="AC272" s="3">
        <v>171.2</v>
      </c>
      <c r="AD272" s="3">
        <v>151.30000000000001</v>
      </c>
      <c r="AE272" s="3">
        <v>238.3</v>
      </c>
      <c r="AF272" s="3">
        <v>162.69999999999999</v>
      </c>
      <c r="AG272" s="3">
        <v>158.9</v>
      </c>
      <c r="AH272" s="3">
        <v>170.5</v>
      </c>
      <c r="AI272" s="3">
        <v>175</v>
      </c>
      <c r="AJ272" s="3">
        <v>264</v>
      </c>
      <c r="AK272" s="3">
        <v>332.3</v>
      </c>
      <c r="AL272" s="3">
        <v>262.60000000000002</v>
      </c>
      <c r="AM272" s="3">
        <v>257.7</v>
      </c>
      <c r="AN272" s="3">
        <v>282.7</v>
      </c>
      <c r="AO272" s="3">
        <v>153</v>
      </c>
      <c r="AP272" s="3">
        <v>209.8</v>
      </c>
      <c r="AQ272" s="3">
        <v>263.10000000000002</v>
      </c>
      <c r="AR272" s="3">
        <v>175</v>
      </c>
      <c r="AS272" s="3">
        <v>404</v>
      </c>
      <c r="AT272" s="3">
        <v>309.89999999999998</v>
      </c>
      <c r="AU272" s="3">
        <v>305.7</v>
      </c>
      <c r="AV272" s="3">
        <v>214.6</v>
      </c>
      <c r="AW272" s="3">
        <v>265.2</v>
      </c>
      <c r="AX272" s="3">
        <v>310.89999999999998</v>
      </c>
      <c r="AY272" s="3">
        <v>420.6</v>
      </c>
      <c r="AZ272" s="3">
        <v>349.4</v>
      </c>
      <c r="BA272" s="3">
        <v>186.6</v>
      </c>
      <c r="BB272" s="3">
        <v>329.9</v>
      </c>
      <c r="BC272" s="3">
        <v>276.89999999999998</v>
      </c>
      <c r="BD272" s="3">
        <v>237</v>
      </c>
      <c r="BE272" s="3">
        <v>301.89999999999998</v>
      </c>
      <c r="BF272" s="3">
        <v>277</v>
      </c>
      <c r="BG272" s="3">
        <v>185.4</v>
      </c>
      <c r="BH272" s="3">
        <v>170.4</v>
      </c>
      <c r="BI272" s="3">
        <v>70.2</v>
      </c>
      <c r="BJ272" s="3">
        <v>152.69999999999999</v>
      </c>
      <c r="BK272" s="3">
        <v>178.4</v>
      </c>
      <c r="BL272" s="3">
        <v>195.9</v>
      </c>
      <c r="BM272" s="3">
        <v>249.2</v>
      </c>
      <c r="BN272" s="3">
        <v>84.9</v>
      </c>
      <c r="BO272" s="3">
        <v>326.3</v>
      </c>
      <c r="BP272" s="3">
        <v>324</v>
      </c>
      <c r="BQ272" s="3">
        <v>87.9</v>
      </c>
      <c r="BR272" s="3">
        <v>52.4</v>
      </c>
      <c r="BS272" s="3">
        <v>84.6</v>
      </c>
      <c r="BT272" s="3">
        <v>149.1</v>
      </c>
      <c r="BU272" s="3">
        <v>108.5</v>
      </c>
      <c r="BV272" s="3">
        <v>147.19999999999999</v>
      </c>
      <c r="BW272" s="3">
        <v>202.8</v>
      </c>
      <c r="BX272" s="3">
        <v>399.9</v>
      </c>
      <c r="BY272" s="3">
        <v>97.8</v>
      </c>
      <c r="BZ272" s="3">
        <v>341.7</v>
      </c>
      <c r="CA272" s="3">
        <v>300</v>
      </c>
      <c r="CB272" s="3">
        <v>333.8</v>
      </c>
      <c r="CC272" s="3">
        <v>291.39999999999998</v>
      </c>
      <c r="CD272" s="3">
        <v>309.60000000000002</v>
      </c>
      <c r="CE272" s="3">
        <v>252.2</v>
      </c>
      <c r="CF272" s="3">
        <v>11.2</v>
      </c>
      <c r="CG272" s="3">
        <v>93.2</v>
      </c>
      <c r="CH272" s="3">
        <v>85.1</v>
      </c>
      <c r="CI272" s="3">
        <v>283.5</v>
      </c>
      <c r="CJ272" s="3">
        <v>150.69999999999999</v>
      </c>
      <c r="CK272" s="3">
        <v>172.5</v>
      </c>
      <c r="CL272" s="3">
        <v>409.4</v>
      </c>
      <c r="CM272" s="3">
        <v>196</v>
      </c>
      <c r="CN272" s="3">
        <v>177</v>
      </c>
    </row>
    <row r="273" spans="1:92" x14ac:dyDescent="0.25">
      <c r="A273" s="4">
        <v>40026</v>
      </c>
      <c r="B273" s="3">
        <v>211</v>
      </c>
      <c r="C273" s="3">
        <v>180.5</v>
      </c>
      <c r="D273" s="3">
        <v>198.7</v>
      </c>
      <c r="E273" s="3">
        <v>175.9</v>
      </c>
      <c r="F273" s="3">
        <v>229.1</v>
      </c>
      <c r="G273" s="3">
        <v>237.5</v>
      </c>
      <c r="H273" s="3">
        <v>197.6</v>
      </c>
      <c r="I273" s="3">
        <v>213</v>
      </c>
      <c r="J273" s="3">
        <v>132.30000000000001</v>
      </c>
      <c r="K273" s="3">
        <v>169.9</v>
      </c>
      <c r="L273" s="3">
        <v>199.7</v>
      </c>
      <c r="M273" s="3">
        <v>190.7</v>
      </c>
      <c r="N273" s="3">
        <v>210.4</v>
      </c>
      <c r="O273" s="3">
        <v>218.1</v>
      </c>
      <c r="P273" s="3">
        <v>163.80000000000001</v>
      </c>
      <c r="Q273" s="3">
        <v>214.7</v>
      </c>
      <c r="R273" s="3">
        <v>256.89999999999998</v>
      </c>
      <c r="S273" s="3">
        <v>245.8</v>
      </c>
      <c r="T273" s="3">
        <v>171.1</v>
      </c>
      <c r="U273" s="3">
        <v>198.5</v>
      </c>
      <c r="V273" s="3">
        <v>142.4</v>
      </c>
      <c r="W273" s="3">
        <v>210.1</v>
      </c>
      <c r="X273" s="3">
        <v>194.6</v>
      </c>
      <c r="Y273" s="3">
        <v>230.3</v>
      </c>
      <c r="Z273" s="3">
        <v>190.1</v>
      </c>
      <c r="AA273" s="3">
        <v>193.9</v>
      </c>
      <c r="AB273" s="3">
        <v>179</v>
      </c>
      <c r="AC273" s="3">
        <v>167.1</v>
      </c>
      <c r="AD273" s="3">
        <v>146.5</v>
      </c>
      <c r="AE273" s="3">
        <v>238.8</v>
      </c>
      <c r="AF273" s="3">
        <v>161.9</v>
      </c>
      <c r="AG273" s="3">
        <v>158</v>
      </c>
      <c r="AH273" s="3">
        <v>170.5</v>
      </c>
      <c r="AI273" s="3">
        <v>173.1</v>
      </c>
      <c r="AJ273" s="3">
        <v>264.2</v>
      </c>
      <c r="AK273" s="3">
        <v>332.3</v>
      </c>
      <c r="AL273" s="3">
        <v>263.3</v>
      </c>
      <c r="AM273" s="3">
        <v>259</v>
      </c>
      <c r="AN273" s="3">
        <v>283.2</v>
      </c>
      <c r="AO273" s="3">
        <v>155.80000000000001</v>
      </c>
      <c r="AP273" s="3">
        <v>210.2</v>
      </c>
      <c r="AQ273" s="3">
        <v>263.39999999999998</v>
      </c>
      <c r="AR273" s="3">
        <v>175.5</v>
      </c>
      <c r="AS273" s="3">
        <v>404.3</v>
      </c>
      <c r="AT273" s="3">
        <v>308.39999999999998</v>
      </c>
      <c r="AU273" s="3">
        <v>305.5</v>
      </c>
      <c r="AV273" s="3">
        <v>215.6</v>
      </c>
      <c r="AW273" s="3">
        <v>269</v>
      </c>
      <c r="AX273" s="3">
        <v>310.89999999999998</v>
      </c>
      <c r="AY273" s="3">
        <v>420.6</v>
      </c>
      <c r="AZ273" s="3">
        <v>349.6</v>
      </c>
      <c r="BA273" s="3">
        <v>187.7</v>
      </c>
      <c r="BB273" s="3">
        <v>333.2</v>
      </c>
      <c r="BC273" s="3">
        <v>278.3</v>
      </c>
      <c r="BD273" s="3">
        <v>237</v>
      </c>
      <c r="BE273" s="3">
        <v>301.8</v>
      </c>
      <c r="BF273" s="3">
        <v>303.60000000000002</v>
      </c>
      <c r="BG273" s="3">
        <v>188.3</v>
      </c>
      <c r="BH273" s="3">
        <v>174.9</v>
      </c>
      <c r="BI273" s="3">
        <v>72.400000000000006</v>
      </c>
      <c r="BJ273" s="3">
        <v>154.30000000000001</v>
      </c>
      <c r="BK273" s="3">
        <v>178.9</v>
      </c>
      <c r="BL273" s="3">
        <v>195.8</v>
      </c>
      <c r="BM273" s="3">
        <v>249.2</v>
      </c>
      <c r="BN273" s="3">
        <v>84.7</v>
      </c>
      <c r="BO273" s="3">
        <v>326.89999999999998</v>
      </c>
      <c r="BP273" s="3">
        <v>325.8</v>
      </c>
      <c r="BQ273" s="3">
        <v>88.8</v>
      </c>
      <c r="BR273" s="3">
        <v>53.4</v>
      </c>
      <c r="BS273" s="3">
        <v>86.1</v>
      </c>
      <c r="BT273" s="3">
        <v>149.19999999999999</v>
      </c>
      <c r="BU273" s="3">
        <v>110.2</v>
      </c>
      <c r="BV273" s="3">
        <v>149.4</v>
      </c>
      <c r="BW273" s="3">
        <v>202.1</v>
      </c>
      <c r="BX273" s="3">
        <v>400.7</v>
      </c>
      <c r="BY273" s="3">
        <v>99.9</v>
      </c>
      <c r="BZ273" s="3">
        <v>342.9</v>
      </c>
      <c r="CA273" s="3">
        <v>300.39999999999998</v>
      </c>
      <c r="CB273" s="3">
        <v>335.4</v>
      </c>
      <c r="CC273" s="3">
        <v>290.3</v>
      </c>
      <c r="CD273" s="3">
        <v>310.10000000000002</v>
      </c>
      <c r="CE273" s="3">
        <v>262.5</v>
      </c>
      <c r="CF273" s="3">
        <v>11.2</v>
      </c>
      <c r="CG273" s="3">
        <v>92.9</v>
      </c>
      <c r="CH273" s="3">
        <v>85</v>
      </c>
      <c r="CI273" s="3">
        <v>285.2</v>
      </c>
      <c r="CJ273" s="3">
        <v>152.69999999999999</v>
      </c>
      <c r="CK273" s="3">
        <v>172.5</v>
      </c>
      <c r="CL273" s="3">
        <v>408.4</v>
      </c>
      <c r="CM273" s="3">
        <v>197.6</v>
      </c>
      <c r="CN273" s="3">
        <v>177</v>
      </c>
    </row>
    <row r="274" spans="1:92" x14ac:dyDescent="0.25">
      <c r="A274" s="4">
        <v>40057</v>
      </c>
      <c r="B274" s="3">
        <v>211.7</v>
      </c>
      <c r="C274" s="3">
        <v>179.6</v>
      </c>
      <c r="D274" s="3">
        <v>200.5</v>
      </c>
      <c r="E274" s="3">
        <v>174</v>
      </c>
      <c r="F274" s="3">
        <v>231</v>
      </c>
      <c r="G274" s="3">
        <v>240.4</v>
      </c>
      <c r="H274" s="3">
        <v>193.7</v>
      </c>
      <c r="I274" s="3">
        <v>210</v>
      </c>
      <c r="J274" s="3">
        <v>128.9</v>
      </c>
      <c r="K274" s="3">
        <v>169.4</v>
      </c>
      <c r="L274" s="3">
        <v>197.4</v>
      </c>
      <c r="M274" s="3">
        <v>189.7</v>
      </c>
      <c r="N274" s="3">
        <v>205.5</v>
      </c>
      <c r="O274" s="3">
        <v>226.6</v>
      </c>
      <c r="P274" s="3">
        <v>163.1</v>
      </c>
      <c r="Q274" s="3">
        <v>216.7</v>
      </c>
      <c r="R274" s="3">
        <v>256</v>
      </c>
      <c r="S274" s="3">
        <v>243.9</v>
      </c>
      <c r="T274" s="3">
        <v>166.4</v>
      </c>
      <c r="U274" s="3">
        <v>197.1</v>
      </c>
      <c r="V274" s="3">
        <v>136.5</v>
      </c>
      <c r="W274" s="3">
        <v>209.8</v>
      </c>
      <c r="X274" s="3">
        <v>196.3</v>
      </c>
      <c r="Y274" s="3">
        <v>231.9</v>
      </c>
      <c r="Z274" s="3">
        <v>189</v>
      </c>
      <c r="AA274" s="3">
        <v>186.6</v>
      </c>
      <c r="AB274" s="3">
        <v>181.7</v>
      </c>
      <c r="AC274" s="3">
        <v>164.7</v>
      </c>
      <c r="AD274" s="3">
        <v>144.9</v>
      </c>
      <c r="AE274" s="3">
        <v>232.4</v>
      </c>
      <c r="AF274" s="3">
        <v>154.80000000000001</v>
      </c>
      <c r="AG274" s="3">
        <v>149.80000000000001</v>
      </c>
      <c r="AH274" s="3">
        <v>171.6</v>
      </c>
      <c r="AI274" s="3">
        <v>172.5</v>
      </c>
      <c r="AJ274" s="3">
        <v>264.5</v>
      </c>
      <c r="AK274" s="3">
        <v>335.1</v>
      </c>
      <c r="AL274" s="3">
        <v>263.39999999999998</v>
      </c>
      <c r="AM274" s="3">
        <v>258.2</v>
      </c>
      <c r="AN274" s="3">
        <v>283.10000000000002</v>
      </c>
      <c r="AO274" s="3">
        <v>153.6</v>
      </c>
      <c r="AP274" s="3">
        <v>210.7</v>
      </c>
      <c r="AQ274" s="3">
        <v>263.3</v>
      </c>
      <c r="AR274" s="3">
        <v>176.4</v>
      </c>
      <c r="AS274" s="3">
        <v>404.3</v>
      </c>
      <c r="AT274" s="3">
        <v>309.8</v>
      </c>
      <c r="AU274" s="3">
        <v>305.5</v>
      </c>
      <c r="AV274" s="3">
        <v>216.3</v>
      </c>
      <c r="AW274" s="3">
        <v>269.5</v>
      </c>
      <c r="AX274" s="3">
        <v>310.89999999999998</v>
      </c>
      <c r="AY274" s="3">
        <v>420.6</v>
      </c>
      <c r="AZ274" s="3">
        <v>349.8</v>
      </c>
      <c r="BA274" s="3">
        <v>188.3</v>
      </c>
      <c r="BB274" s="3">
        <v>333.6</v>
      </c>
      <c r="BC274" s="3">
        <v>279.10000000000002</v>
      </c>
      <c r="BD274" s="3">
        <v>237</v>
      </c>
      <c r="BE274" s="3">
        <v>301.8</v>
      </c>
      <c r="BF274" s="3">
        <v>297.3</v>
      </c>
      <c r="BG274" s="3">
        <v>198.8</v>
      </c>
      <c r="BH274" s="3">
        <v>173</v>
      </c>
      <c r="BI274" s="3">
        <v>72.400000000000006</v>
      </c>
      <c r="BJ274" s="3">
        <v>157.6</v>
      </c>
      <c r="BK274" s="3">
        <v>179.1</v>
      </c>
      <c r="BL274" s="3">
        <v>197.3</v>
      </c>
      <c r="BM274" s="3">
        <v>249.2</v>
      </c>
      <c r="BN274" s="3">
        <v>84.5</v>
      </c>
      <c r="BO274" s="3">
        <v>327.9</v>
      </c>
      <c r="BP274" s="3">
        <v>328.1</v>
      </c>
      <c r="BQ274" s="3">
        <v>92.4</v>
      </c>
      <c r="BR274" s="3">
        <v>56.1</v>
      </c>
      <c r="BS274" s="3">
        <v>89.9</v>
      </c>
      <c r="BT274" s="3">
        <v>150.9</v>
      </c>
      <c r="BU274" s="3">
        <v>112.8</v>
      </c>
      <c r="BV274" s="3">
        <v>151.1</v>
      </c>
      <c r="BW274" s="3">
        <v>200.5</v>
      </c>
      <c r="BX274" s="3">
        <v>401.1</v>
      </c>
      <c r="BY274" s="3">
        <v>101.9</v>
      </c>
      <c r="BZ274" s="3">
        <v>343.6</v>
      </c>
      <c r="CA274" s="3">
        <v>310.3</v>
      </c>
      <c r="CB274" s="3">
        <v>341.2</v>
      </c>
      <c r="CC274" s="3">
        <v>287.60000000000002</v>
      </c>
      <c r="CD274" s="3">
        <v>309.39999999999998</v>
      </c>
      <c r="CE274" s="3">
        <v>233.9</v>
      </c>
      <c r="CF274" s="3">
        <v>11</v>
      </c>
      <c r="CG274" s="3">
        <v>88.6</v>
      </c>
      <c r="CH274" s="3">
        <v>85.6</v>
      </c>
      <c r="CI274" s="3">
        <v>287.89999999999998</v>
      </c>
      <c r="CJ274" s="3">
        <v>152.6</v>
      </c>
      <c r="CK274" s="3">
        <v>172.5</v>
      </c>
      <c r="CL274" s="3">
        <v>413.9</v>
      </c>
      <c r="CM274" s="3">
        <v>199</v>
      </c>
      <c r="CN274" s="3">
        <v>176.8</v>
      </c>
    </row>
    <row r="275" spans="1:92" x14ac:dyDescent="0.25">
      <c r="A275" s="4">
        <v>40087</v>
      </c>
      <c r="B275" s="3">
        <v>210.3</v>
      </c>
      <c r="C275" s="3">
        <v>181.2</v>
      </c>
      <c r="D275" s="3">
        <v>201.2</v>
      </c>
      <c r="E275" s="3">
        <v>174.3</v>
      </c>
      <c r="F275" s="3">
        <v>233.1</v>
      </c>
      <c r="G275" s="3">
        <v>244.1</v>
      </c>
      <c r="H275" s="3">
        <v>198.1</v>
      </c>
      <c r="I275" s="3">
        <v>212.9</v>
      </c>
      <c r="J275" s="3">
        <v>130.1</v>
      </c>
      <c r="K275" s="3">
        <v>169.3</v>
      </c>
      <c r="L275" s="3">
        <v>198.6</v>
      </c>
      <c r="M275" s="3">
        <v>192.3</v>
      </c>
      <c r="N275" s="3">
        <v>203.9</v>
      </c>
      <c r="O275" s="3">
        <v>224.7</v>
      </c>
      <c r="P275" s="3">
        <v>166</v>
      </c>
      <c r="Q275" s="3">
        <v>217.4</v>
      </c>
      <c r="R275" s="3">
        <v>256.2</v>
      </c>
      <c r="S275" s="3">
        <v>244.1</v>
      </c>
      <c r="T275" s="3">
        <v>170.1</v>
      </c>
      <c r="U275" s="3">
        <v>194.5</v>
      </c>
      <c r="V275" s="3">
        <v>142.9</v>
      </c>
      <c r="W275" s="3">
        <v>211.8</v>
      </c>
      <c r="X275" s="3">
        <v>196.3</v>
      </c>
      <c r="Y275" s="3">
        <v>231.8</v>
      </c>
      <c r="Z275" s="3">
        <v>188.5</v>
      </c>
      <c r="AA275" s="3">
        <v>185.6</v>
      </c>
      <c r="AB275" s="3">
        <v>181.5</v>
      </c>
      <c r="AC275" s="3">
        <v>167.8</v>
      </c>
      <c r="AD275" s="3">
        <v>147.19999999999999</v>
      </c>
      <c r="AE275" s="3">
        <v>239.5</v>
      </c>
      <c r="AF275" s="3">
        <v>163.30000000000001</v>
      </c>
      <c r="AG275" s="3">
        <v>159.30000000000001</v>
      </c>
      <c r="AH275" s="3">
        <v>172.9</v>
      </c>
      <c r="AI275" s="3">
        <v>174.7</v>
      </c>
      <c r="AJ275" s="3">
        <v>265</v>
      </c>
      <c r="AK275" s="3">
        <v>335.4</v>
      </c>
      <c r="AL275" s="3">
        <v>263.89999999999998</v>
      </c>
      <c r="AM275" s="3">
        <v>258.7</v>
      </c>
      <c r="AN275" s="3">
        <v>283.89999999999998</v>
      </c>
      <c r="AO275" s="3">
        <v>153</v>
      </c>
      <c r="AP275" s="3">
        <v>210.5</v>
      </c>
      <c r="AQ275" s="3">
        <v>263.60000000000002</v>
      </c>
      <c r="AR275" s="3">
        <v>176</v>
      </c>
      <c r="AS275" s="3">
        <v>404.1</v>
      </c>
      <c r="AT275" s="3">
        <v>310</v>
      </c>
      <c r="AU275" s="3">
        <v>306.10000000000002</v>
      </c>
      <c r="AV275" s="3">
        <v>217.3</v>
      </c>
      <c r="AW275" s="3">
        <v>274.5</v>
      </c>
      <c r="AX275" s="3">
        <v>310.89999999999998</v>
      </c>
      <c r="AY275" s="3">
        <v>420.6</v>
      </c>
      <c r="AZ275" s="3">
        <v>349.9</v>
      </c>
      <c r="BA275" s="3">
        <v>188.9</v>
      </c>
      <c r="BB275" s="3">
        <v>338.8</v>
      </c>
      <c r="BC275" s="3">
        <v>284.60000000000002</v>
      </c>
      <c r="BD275" s="3">
        <v>236.2</v>
      </c>
      <c r="BE275" s="3">
        <v>301.3</v>
      </c>
      <c r="BF275" s="3">
        <v>314</v>
      </c>
      <c r="BG275" s="3">
        <v>190.6</v>
      </c>
      <c r="BH275" s="3">
        <v>175.2</v>
      </c>
      <c r="BI275" s="3">
        <v>73.099999999999994</v>
      </c>
      <c r="BJ275" s="3">
        <v>158.4</v>
      </c>
      <c r="BK275" s="3">
        <v>179.4</v>
      </c>
      <c r="BL275" s="3">
        <v>197.5</v>
      </c>
      <c r="BM275" s="3">
        <v>249.2</v>
      </c>
      <c r="BN275" s="3">
        <v>85.6</v>
      </c>
      <c r="BO275" s="3">
        <v>328.7</v>
      </c>
      <c r="BP275" s="3">
        <v>336.6</v>
      </c>
      <c r="BQ275" s="3">
        <v>92.3</v>
      </c>
      <c r="BR275" s="3">
        <v>55.3</v>
      </c>
      <c r="BS275" s="3">
        <v>90.5</v>
      </c>
      <c r="BT275" s="3">
        <v>150.5</v>
      </c>
      <c r="BU275" s="3">
        <v>113.4</v>
      </c>
      <c r="BV275" s="3">
        <v>151</v>
      </c>
      <c r="BW275" s="3">
        <v>203.8</v>
      </c>
      <c r="BX275" s="3">
        <v>401.9</v>
      </c>
      <c r="BY275" s="3">
        <v>103</v>
      </c>
      <c r="BZ275" s="3">
        <v>343.9</v>
      </c>
      <c r="CA275" s="3">
        <v>305.60000000000002</v>
      </c>
      <c r="CB275" s="3">
        <v>344</v>
      </c>
      <c r="CC275" s="3">
        <v>287.60000000000002</v>
      </c>
      <c r="CD275" s="3">
        <v>309.7</v>
      </c>
      <c r="CE275" s="3">
        <v>235.3</v>
      </c>
      <c r="CF275" s="3">
        <v>10.8</v>
      </c>
      <c r="CG275" s="3">
        <v>90.8</v>
      </c>
      <c r="CH275" s="3">
        <v>85.6</v>
      </c>
      <c r="CI275" s="3">
        <v>283.7</v>
      </c>
      <c r="CJ275" s="3">
        <v>153.80000000000001</v>
      </c>
      <c r="CK275" s="3">
        <v>174.8</v>
      </c>
      <c r="CL275" s="3">
        <v>415.1</v>
      </c>
      <c r="CM275" s="3">
        <v>199.7</v>
      </c>
      <c r="CN275" s="3">
        <v>177.1</v>
      </c>
    </row>
    <row r="276" spans="1:92" x14ac:dyDescent="0.25">
      <c r="A276" s="4">
        <v>40118</v>
      </c>
      <c r="B276" s="3">
        <v>208.7</v>
      </c>
      <c r="C276" s="3">
        <v>182.1</v>
      </c>
      <c r="D276" s="3">
        <v>202.5</v>
      </c>
      <c r="E276" s="3">
        <v>174.6</v>
      </c>
      <c r="F276" s="3">
        <v>227.3</v>
      </c>
      <c r="G276" s="3">
        <v>234.3</v>
      </c>
      <c r="H276" s="3">
        <v>189.4</v>
      </c>
      <c r="I276" s="3">
        <v>216.5</v>
      </c>
      <c r="J276" s="3">
        <v>128.30000000000001</v>
      </c>
      <c r="K276" s="3">
        <v>169.5</v>
      </c>
      <c r="L276" s="3">
        <v>195.6</v>
      </c>
      <c r="M276" s="3">
        <v>187.9</v>
      </c>
      <c r="N276" s="3">
        <v>203.8</v>
      </c>
      <c r="O276" s="3">
        <v>224.4</v>
      </c>
      <c r="P276" s="3">
        <v>163.19999999999999</v>
      </c>
      <c r="Q276" s="3">
        <v>215.5</v>
      </c>
      <c r="R276" s="3">
        <v>256.2</v>
      </c>
      <c r="S276" s="3">
        <v>244.1</v>
      </c>
      <c r="T276" s="3">
        <v>170.7</v>
      </c>
      <c r="U276" s="3">
        <v>186.4</v>
      </c>
      <c r="V276" s="3">
        <v>137.30000000000001</v>
      </c>
      <c r="W276" s="3">
        <v>208.9</v>
      </c>
      <c r="X276" s="3">
        <v>192.6</v>
      </c>
      <c r="Y276" s="3">
        <v>233.6</v>
      </c>
      <c r="Z276" s="3">
        <v>186.6</v>
      </c>
      <c r="AA276" s="3">
        <v>183.3</v>
      </c>
      <c r="AB276" s="3">
        <v>180.1</v>
      </c>
      <c r="AC276" s="3">
        <v>167.2</v>
      </c>
      <c r="AD276" s="3">
        <v>147.30000000000001</v>
      </c>
      <c r="AE276" s="3">
        <v>234.9</v>
      </c>
      <c r="AF276" s="3">
        <v>181.5</v>
      </c>
      <c r="AG276" s="3">
        <v>179.9</v>
      </c>
      <c r="AH276" s="3">
        <v>172.1</v>
      </c>
      <c r="AI276" s="3">
        <v>172.1</v>
      </c>
      <c r="AJ276" s="3">
        <v>266.10000000000002</v>
      </c>
      <c r="AK276" s="3">
        <v>336.2</v>
      </c>
      <c r="AL276" s="3">
        <v>264.39999999999998</v>
      </c>
      <c r="AM276" s="3">
        <v>258</v>
      </c>
      <c r="AN276" s="3">
        <v>284.2</v>
      </c>
      <c r="AO276" s="3">
        <v>150.4</v>
      </c>
      <c r="AP276" s="3">
        <v>209.6</v>
      </c>
      <c r="AQ276" s="3">
        <v>263.8</v>
      </c>
      <c r="AR276" s="3">
        <v>174.1</v>
      </c>
      <c r="AS276" s="3">
        <v>404.4</v>
      </c>
      <c r="AT276" s="3">
        <v>310.5</v>
      </c>
      <c r="AU276" s="3">
        <v>306</v>
      </c>
      <c r="AV276" s="3">
        <v>218.1</v>
      </c>
      <c r="AW276" s="3">
        <v>275.3</v>
      </c>
      <c r="AX276" s="3">
        <v>310.89999999999998</v>
      </c>
      <c r="AY276" s="3">
        <v>420.6</v>
      </c>
      <c r="AZ276" s="3">
        <v>350.3</v>
      </c>
      <c r="BA276" s="3">
        <v>189.6</v>
      </c>
      <c r="BB276" s="3">
        <v>335.4</v>
      </c>
      <c r="BC276" s="3">
        <v>287</v>
      </c>
      <c r="BD276" s="3">
        <v>236.2</v>
      </c>
      <c r="BE276" s="3">
        <v>301.3</v>
      </c>
      <c r="BF276" s="3">
        <v>321.5</v>
      </c>
      <c r="BG276" s="3">
        <v>196.6</v>
      </c>
      <c r="BH276" s="3">
        <v>176.1</v>
      </c>
      <c r="BI276" s="3">
        <v>72.2</v>
      </c>
      <c r="BJ276" s="3">
        <v>158.6</v>
      </c>
      <c r="BK276" s="3">
        <v>178.6</v>
      </c>
      <c r="BL276" s="3">
        <v>198.3</v>
      </c>
      <c r="BM276" s="3">
        <v>249.2</v>
      </c>
      <c r="BN276" s="3">
        <v>85.4</v>
      </c>
      <c r="BO276" s="3">
        <v>329.6</v>
      </c>
      <c r="BP276" s="3">
        <v>334.7</v>
      </c>
      <c r="BQ276" s="3">
        <v>92.4</v>
      </c>
      <c r="BR276" s="3">
        <v>55.6</v>
      </c>
      <c r="BS276" s="3">
        <v>91</v>
      </c>
      <c r="BT276" s="3">
        <v>151.5</v>
      </c>
      <c r="BU276" s="3">
        <v>112.3</v>
      </c>
      <c r="BV276" s="3">
        <v>152.9</v>
      </c>
      <c r="BW276" s="3">
        <v>203.4</v>
      </c>
      <c r="BX276" s="3">
        <v>402.6</v>
      </c>
      <c r="BY276" s="3">
        <v>103.1</v>
      </c>
      <c r="BZ276" s="3">
        <v>343.9</v>
      </c>
      <c r="CA276" s="3">
        <v>316.7</v>
      </c>
      <c r="CB276" s="3">
        <v>347.4</v>
      </c>
      <c r="CC276" s="3">
        <v>287.8</v>
      </c>
      <c r="CD276" s="3">
        <v>310.3</v>
      </c>
      <c r="CE276" s="3">
        <v>232</v>
      </c>
      <c r="CF276" s="3">
        <v>10.8</v>
      </c>
      <c r="CG276" s="3">
        <v>92.2</v>
      </c>
      <c r="CH276" s="3">
        <v>85.7</v>
      </c>
      <c r="CI276" s="3">
        <v>278.39999999999998</v>
      </c>
      <c r="CJ276" s="3">
        <v>155.69999999999999</v>
      </c>
      <c r="CK276" s="3">
        <v>174.8</v>
      </c>
      <c r="CL276" s="3">
        <v>414.4</v>
      </c>
      <c r="CM276" s="3">
        <v>200.8</v>
      </c>
      <c r="CN276" s="3">
        <v>176.7</v>
      </c>
    </row>
    <row r="277" spans="1:92" x14ac:dyDescent="0.25">
      <c r="A277" s="4">
        <v>40148</v>
      </c>
      <c r="B277" s="3">
        <v>210</v>
      </c>
      <c r="C277" s="3">
        <v>180.7</v>
      </c>
      <c r="D277" s="3">
        <v>201.3</v>
      </c>
      <c r="E277" s="3">
        <v>174.4</v>
      </c>
      <c r="F277" s="3">
        <v>228.1</v>
      </c>
      <c r="G277" s="3">
        <v>234.4</v>
      </c>
      <c r="H277" s="3">
        <v>195.4</v>
      </c>
      <c r="I277" s="3">
        <v>216.4</v>
      </c>
      <c r="J277" s="3">
        <v>131.4</v>
      </c>
      <c r="K277" s="3">
        <v>170.3</v>
      </c>
      <c r="L277" s="3">
        <v>199</v>
      </c>
      <c r="M277" s="3">
        <v>187.6</v>
      </c>
      <c r="N277" s="3">
        <v>214.9</v>
      </c>
      <c r="O277" s="3">
        <v>228.4</v>
      </c>
      <c r="P277" s="3">
        <v>166.5</v>
      </c>
      <c r="Q277" s="3">
        <v>216.3</v>
      </c>
      <c r="R277" s="3">
        <v>259.60000000000002</v>
      </c>
      <c r="S277" s="3">
        <v>244.1</v>
      </c>
      <c r="T277" s="3">
        <v>173.1</v>
      </c>
      <c r="U277" s="3">
        <v>194</v>
      </c>
      <c r="V277" s="3">
        <v>141.30000000000001</v>
      </c>
      <c r="W277" s="3">
        <v>211.3</v>
      </c>
      <c r="X277" s="3">
        <v>197.9</v>
      </c>
      <c r="Y277" s="3">
        <v>234.3</v>
      </c>
      <c r="Z277" s="3">
        <v>188.6</v>
      </c>
      <c r="AA277" s="3">
        <v>184.6</v>
      </c>
      <c r="AB277" s="3">
        <v>182.3</v>
      </c>
      <c r="AC277" s="3">
        <v>169.3</v>
      </c>
      <c r="AD277" s="3">
        <v>150.5</v>
      </c>
      <c r="AE277" s="3">
        <v>230.6</v>
      </c>
      <c r="AF277" s="3">
        <v>186.2</v>
      </c>
      <c r="AG277" s="3">
        <v>184.7</v>
      </c>
      <c r="AH277" s="3">
        <v>175.5</v>
      </c>
      <c r="AI277" s="3">
        <v>172.3</v>
      </c>
      <c r="AJ277" s="3">
        <v>266.7</v>
      </c>
      <c r="AK277" s="3">
        <v>337.2</v>
      </c>
      <c r="AL277" s="3">
        <v>264.89999999999998</v>
      </c>
      <c r="AM277" s="3">
        <v>257.60000000000002</v>
      </c>
      <c r="AN277" s="3">
        <v>284.2</v>
      </c>
      <c r="AO277" s="3">
        <v>149</v>
      </c>
      <c r="AP277" s="3">
        <v>208.5</v>
      </c>
      <c r="AQ277" s="3">
        <v>264.5</v>
      </c>
      <c r="AR277" s="3">
        <v>171.6</v>
      </c>
      <c r="AS277" s="3">
        <v>408</v>
      </c>
      <c r="AT277" s="3">
        <v>313.7</v>
      </c>
      <c r="AU277" s="3">
        <v>305.89999999999998</v>
      </c>
      <c r="AV277" s="3">
        <v>219</v>
      </c>
      <c r="AW277" s="3">
        <v>277.5</v>
      </c>
      <c r="AX277" s="3">
        <v>310.89999999999998</v>
      </c>
      <c r="AY277" s="3">
        <v>420.6</v>
      </c>
      <c r="AZ277" s="3">
        <v>350.2</v>
      </c>
      <c r="BA277" s="3">
        <v>191</v>
      </c>
      <c r="BB277" s="3">
        <v>338.3</v>
      </c>
      <c r="BC277" s="3">
        <v>287.39999999999998</v>
      </c>
      <c r="BD277" s="3">
        <v>236.2</v>
      </c>
      <c r="BE277" s="3">
        <v>301.3</v>
      </c>
      <c r="BF277" s="3">
        <v>327.5</v>
      </c>
      <c r="BG277" s="3">
        <v>207.6</v>
      </c>
      <c r="BH277" s="3">
        <v>181.8</v>
      </c>
      <c r="BI277" s="3">
        <v>72.599999999999994</v>
      </c>
      <c r="BJ277" s="3">
        <v>160.9</v>
      </c>
      <c r="BK277" s="3">
        <v>178.8</v>
      </c>
      <c r="BL277" s="3">
        <v>199</v>
      </c>
      <c r="BM277" s="3">
        <v>249.2</v>
      </c>
      <c r="BN277" s="3">
        <v>85.4</v>
      </c>
      <c r="BO277" s="3">
        <v>330.1</v>
      </c>
      <c r="BP277" s="3">
        <v>336</v>
      </c>
      <c r="BQ277" s="3">
        <v>92.5</v>
      </c>
      <c r="BR277" s="3">
        <v>54.3</v>
      </c>
      <c r="BS277" s="3">
        <v>89.4</v>
      </c>
      <c r="BT277" s="3">
        <v>151.1</v>
      </c>
      <c r="BU277" s="3">
        <v>111</v>
      </c>
      <c r="BV277" s="3">
        <v>152.80000000000001</v>
      </c>
      <c r="BW277" s="3">
        <v>203.2</v>
      </c>
      <c r="BX277" s="3">
        <v>403</v>
      </c>
      <c r="BY277" s="3">
        <v>101.2</v>
      </c>
      <c r="BZ277" s="3">
        <v>344.1</v>
      </c>
      <c r="CA277" s="3">
        <v>316.7</v>
      </c>
      <c r="CB277" s="3">
        <v>369.6</v>
      </c>
      <c r="CC277" s="3">
        <v>289.60000000000002</v>
      </c>
      <c r="CD277" s="3">
        <v>316</v>
      </c>
      <c r="CE277" s="3">
        <v>268.3</v>
      </c>
      <c r="CF277" s="3">
        <v>10.8</v>
      </c>
      <c r="CG277" s="3">
        <v>95</v>
      </c>
      <c r="CH277" s="3">
        <v>85.4</v>
      </c>
      <c r="CI277" s="3">
        <v>277.8</v>
      </c>
      <c r="CJ277" s="3">
        <v>156.5</v>
      </c>
      <c r="CK277" s="3">
        <v>174.8</v>
      </c>
      <c r="CL277" s="3">
        <v>413.4</v>
      </c>
      <c r="CM277" s="3">
        <v>201.6</v>
      </c>
      <c r="CN277" s="3">
        <v>176.2</v>
      </c>
    </row>
    <row r="278" spans="1:92" x14ac:dyDescent="0.25">
      <c r="A278" s="4">
        <v>40179</v>
      </c>
      <c r="B278" s="3">
        <v>211.4</v>
      </c>
      <c r="C278" s="3">
        <v>178.2</v>
      </c>
      <c r="D278" s="3">
        <v>202.4</v>
      </c>
      <c r="E278" s="3">
        <v>176</v>
      </c>
      <c r="F278" s="3">
        <v>236.4</v>
      </c>
      <c r="G278" s="3">
        <v>251</v>
      </c>
      <c r="H278" s="3">
        <v>184.2</v>
      </c>
      <c r="I278" s="3">
        <v>211.4</v>
      </c>
      <c r="J278" s="3">
        <v>130.80000000000001</v>
      </c>
      <c r="K278" s="3">
        <v>169.6</v>
      </c>
      <c r="L278" s="3">
        <v>203.2</v>
      </c>
      <c r="M278" s="3">
        <v>196.5</v>
      </c>
      <c r="N278" s="3">
        <v>209.1</v>
      </c>
      <c r="O278" s="3">
        <v>236.4</v>
      </c>
      <c r="P278" s="3">
        <v>166.1</v>
      </c>
      <c r="Q278" s="3">
        <v>215.6</v>
      </c>
      <c r="R278" s="3">
        <v>263.7</v>
      </c>
      <c r="S278" s="3">
        <v>243.7</v>
      </c>
      <c r="T278" s="3">
        <v>166.9</v>
      </c>
      <c r="U278" s="3">
        <v>198</v>
      </c>
      <c r="V278" s="3">
        <v>141.80000000000001</v>
      </c>
      <c r="W278" s="3">
        <v>212.3</v>
      </c>
      <c r="X278" s="3">
        <v>199.5</v>
      </c>
      <c r="Y278" s="3">
        <v>237.3</v>
      </c>
      <c r="Z278" s="3">
        <v>188.7</v>
      </c>
      <c r="AA278" s="3">
        <v>192.9</v>
      </c>
      <c r="AB278" s="3">
        <v>177.3</v>
      </c>
      <c r="AC278" s="3">
        <v>179</v>
      </c>
      <c r="AD278" s="3">
        <v>161</v>
      </c>
      <c r="AE278" s="3">
        <v>232.5</v>
      </c>
      <c r="AF278" s="3">
        <v>171.9</v>
      </c>
      <c r="AG278" s="3">
        <v>168.6</v>
      </c>
      <c r="AH278" s="3">
        <v>175.2</v>
      </c>
      <c r="AI278" s="3">
        <v>172.5</v>
      </c>
      <c r="AJ278" s="3">
        <v>269.39999999999998</v>
      </c>
      <c r="AK278" s="3">
        <v>336.8</v>
      </c>
      <c r="AL278" s="3">
        <v>266.10000000000002</v>
      </c>
      <c r="AM278" s="3">
        <v>259.89999999999998</v>
      </c>
      <c r="AN278" s="3">
        <v>285.10000000000002</v>
      </c>
      <c r="AO278" s="3">
        <v>154</v>
      </c>
      <c r="AP278" s="3">
        <v>213.3</v>
      </c>
      <c r="AQ278" s="3">
        <v>266.39999999999998</v>
      </c>
      <c r="AR278" s="3">
        <v>178.8</v>
      </c>
      <c r="AS278" s="3">
        <v>422.3</v>
      </c>
      <c r="AT278" s="3">
        <v>322.2</v>
      </c>
      <c r="AU278" s="3">
        <v>306.2</v>
      </c>
      <c r="AV278" s="3">
        <v>219.9</v>
      </c>
      <c r="AW278" s="3">
        <v>278.39999999999998</v>
      </c>
      <c r="AX278" s="3">
        <v>310.89999999999998</v>
      </c>
      <c r="AY278" s="3">
        <v>420.6</v>
      </c>
      <c r="AZ278" s="3">
        <v>352.9</v>
      </c>
      <c r="BA278" s="3">
        <v>193.1</v>
      </c>
      <c r="BB278" s="3">
        <v>339.9</v>
      </c>
      <c r="BC278" s="3">
        <v>286.89999999999998</v>
      </c>
      <c r="BD278" s="3">
        <v>236.2</v>
      </c>
      <c r="BE278" s="3">
        <v>301.3</v>
      </c>
      <c r="BF278" s="3">
        <v>387.5</v>
      </c>
      <c r="BG278" s="3">
        <v>188.9</v>
      </c>
      <c r="BH278" s="3">
        <v>177.4</v>
      </c>
      <c r="BI278" s="3">
        <v>72.3</v>
      </c>
      <c r="BJ278" s="3">
        <v>157.30000000000001</v>
      </c>
      <c r="BK278" s="3">
        <v>180.6</v>
      </c>
      <c r="BL278" s="3">
        <v>200.8</v>
      </c>
      <c r="BM278" s="3">
        <v>249.2</v>
      </c>
      <c r="BN278" s="3">
        <v>86.7</v>
      </c>
      <c r="BO278" s="3">
        <v>332.5</v>
      </c>
      <c r="BP278" s="3">
        <v>339.4</v>
      </c>
      <c r="BQ278" s="3">
        <v>88.4</v>
      </c>
      <c r="BR278" s="3">
        <v>49.8</v>
      </c>
      <c r="BS278" s="3">
        <v>88</v>
      </c>
      <c r="BT278" s="3">
        <v>148.19999999999999</v>
      </c>
      <c r="BU278" s="3">
        <v>107.4</v>
      </c>
      <c r="BV278" s="3">
        <v>149.30000000000001</v>
      </c>
      <c r="BW278" s="3">
        <v>203.7</v>
      </c>
      <c r="BX278" s="3">
        <v>408.1</v>
      </c>
      <c r="BY278" s="3">
        <v>101.9</v>
      </c>
      <c r="BZ278" s="3">
        <v>352.5</v>
      </c>
      <c r="CA278" s="3">
        <v>323.5</v>
      </c>
      <c r="CB278" s="3">
        <v>371.1</v>
      </c>
      <c r="CC278" s="3">
        <v>307.10000000000002</v>
      </c>
      <c r="CD278" s="3">
        <v>317.7</v>
      </c>
      <c r="CE278" s="3">
        <v>232.9</v>
      </c>
      <c r="CF278" s="3">
        <v>10.7</v>
      </c>
      <c r="CG278" s="3">
        <v>90.6</v>
      </c>
      <c r="CH278" s="3">
        <v>85.3</v>
      </c>
      <c r="CI278" s="3">
        <v>284.2</v>
      </c>
      <c r="CJ278" s="3">
        <v>159.19999999999999</v>
      </c>
      <c r="CK278" s="3">
        <v>178.4</v>
      </c>
      <c r="CL278" s="3">
        <v>412.1</v>
      </c>
      <c r="CM278" s="3">
        <v>202.3</v>
      </c>
      <c r="CN278" s="3">
        <v>176.3</v>
      </c>
    </row>
    <row r="279" spans="1:92" x14ac:dyDescent="0.25">
      <c r="A279" s="4">
        <v>40210</v>
      </c>
      <c r="B279" s="3">
        <v>211.3</v>
      </c>
      <c r="C279" s="3">
        <v>179.5</v>
      </c>
      <c r="D279" s="3">
        <v>205.5</v>
      </c>
      <c r="E279" s="3">
        <v>175.6</v>
      </c>
      <c r="F279" s="3">
        <v>240.2</v>
      </c>
      <c r="G279" s="3">
        <v>258.2</v>
      </c>
      <c r="H279" s="3">
        <v>210.1</v>
      </c>
      <c r="I279" s="3">
        <v>213.7</v>
      </c>
      <c r="J279" s="3">
        <v>131.1</v>
      </c>
      <c r="K279" s="3">
        <v>168.8</v>
      </c>
      <c r="L279" s="3">
        <v>200.9</v>
      </c>
      <c r="M279" s="3">
        <v>194.6</v>
      </c>
      <c r="N279" s="3">
        <v>206.2</v>
      </c>
      <c r="O279" s="3">
        <v>247.1</v>
      </c>
      <c r="P279" s="3">
        <v>169.1</v>
      </c>
      <c r="Q279" s="3">
        <v>216.7</v>
      </c>
      <c r="R279" s="3">
        <v>265.7</v>
      </c>
      <c r="S279" s="3">
        <v>243.8</v>
      </c>
      <c r="T279" s="3">
        <v>168.7</v>
      </c>
      <c r="U279" s="3">
        <v>195.7</v>
      </c>
      <c r="V279" s="3">
        <v>137.69999999999999</v>
      </c>
      <c r="W279" s="3">
        <v>219.5</v>
      </c>
      <c r="X279" s="3">
        <v>197.8</v>
      </c>
      <c r="Y279" s="3">
        <v>237.2</v>
      </c>
      <c r="Z279" s="3">
        <v>190.3</v>
      </c>
      <c r="AA279" s="3">
        <v>187.4</v>
      </c>
      <c r="AB279" s="3">
        <v>183.2</v>
      </c>
      <c r="AC279" s="3">
        <v>182.6</v>
      </c>
      <c r="AD279" s="3">
        <v>164.6</v>
      </c>
      <c r="AE279" s="3">
        <v>235.1</v>
      </c>
      <c r="AF279" s="3">
        <v>176.7</v>
      </c>
      <c r="AG279" s="3">
        <v>173.1</v>
      </c>
      <c r="AH279" s="3">
        <v>181.1</v>
      </c>
      <c r="AI279" s="3">
        <v>171.3</v>
      </c>
      <c r="AJ279" s="3">
        <v>270.60000000000002</v>
      </c>
      <c r="AK279" s="3">
        <v>337.6</v>
      </c>
      <c r="AL279" s="3">
        <v>266.5</v>
      </c>
      <c r="AM279" s="3">
        <v>261.7</v>
      </c>
      <c r="AN279" s="3">
        <v>286.8</v>
      </c>
      <c r="AO279" s="3">
        <v>156.1</v>
      </c>
      <c r="AP279" s="3">
        <v>211.4</v>
      </c>
      <c r="AQ279" s="3">
        <v>267.60000000000002</v>
      </c>
      <c r="AR279" s="3">
        <v>174.3</v>
      </c>
      <c r="AS279" s="3">
        <v>423.9</v>
      </c>
      <c r="AT279" s="3">
        <v>322.89999999999998</v>
      </c>
      <c r="AU279" s="3">
        <v>306.39999999999998</v>
      </c>
      <c r="AV279" s="3">
        <v>219.5</v>
      </c>
      <c r="AW279" s="3">
        <v>281.89999999999998</v>
      </c>
      <c r="AX279" s="3">
        <v>310.89999999999998</v>
      </c>
      <c r="AY279" s="3">
        <v>420.6</v>
      </c>
      <c r="AZ279" s="3">
        <v>353.4</v>
      </c>
      <c r="BA279" s="3">
        <v>193.3</v>
      </c>
      <c r="BB279" s="3">
        <v>342.4</v>
      </c>
      <c r="BC279" s="3">
        <v>287.2</v>
      </c>
      <c r="BD279" s="3">
        <v>236.2</v>
      </c>
      <c r="BE279" s="3">
        <v>292.60000000000002</v>
      </c>
      <c r="BF279" s="3">
        <v>346.2</v>
      </c>
      <c r="BG279" s="3">
        <v>194.1</v>
      </c>
      <c r="BH279" s="3">
        <v>181.3</v>
      </c>
      <c r="BI279" s="3">
        <v>73.8</v>
      </c>
      <c r="BJ279" s="3">
        <v>159.6</v>
      </c>
      <c r="BK279" s="3">
        <v>180.4</v>
      </c>
      <c r="BL279" s="3">
        <v>202.5</v>
      </c>
      <c r="BM279" s="3">
        <v>249.2</v>
      </c>
      <c r="BN279" s="3">
        <v>86.8</v>
      </c>
      <c r="BO279" s="3">
        <v>332.6</v>
      </c>
      <c r="BP279" s="3">
        <v>334.9</v>
      </c>
      <c r="BQ279" s="3">
        <v>91.6</v>
      </c>
      <c r="BR279" s="3">
        <v>54.2</v>
      </c>
      <c r="BS279" s="3">
        <v>90.2</v>
      </c>
      <c r="BT279" s="3">
        <v>151.6</v>
      </c>
      <c r="BU279" s="3">
        <v>111.4</v>
      </c>
      <c r="BV279" s="3">
        <v>153</v>
      </c>
      <c r="BW279" s="3">
        <v>204.6</v>
      </c>
      <c r="BX279" s="3">
        <v>408.7</v>
      </c>
      <c r="BY279" s="3">
        <v>102.2</v>
      </c>
      <c r="BZ279" s="3">
        <v>352.2</v>
      </c>
      <c r="CA279" s="3">
        <v>326.8</v>
      </c>
      <c r="CB279" s="3">
        <v>375.6</v>
      </c>
      <c r="CC279" s="3">
        <v>312</v>
      </c>
      <c r="CD279" s="3">
        <v>319.10000000000002</v>
      </c>
      <c r="CE279" s="3">
        <v>236.3</v>
      </c>
      <c r="CF279" s="3">
        <v>10.7</v>
      </c>
      <c r="CG279" s="3">
        <v>91.4</v>
      </c>
      <c r="CH279" s="3">
        <v>84.9</v>
      </c>
      <c r="CI279" s="3">
        <v>290.10000000000002</v>
      </c>
      <c r="CJ279" s="3">
        <v>160.1</v>
      </c>
      <c r="CK279" s="3">
        <v>178.4</v>
      </c>
      <c r="CL279" s="3">
        <v>413.2</v>
      </c>
      <c r="CM279" s="3">
        <v>203</v>
      </c>
      <c r="CN279" s="3">
        <v>177</v>
      </c>
    </row>
    <row r="280" spans="1:92" x14ac:dyDescent="0.25">
      <c r="A280" s="4">
        <v>40238</v>
      </c>
      <c r="B280" s="3">
        <v>211.4</v>
      </c>
      <c r="C280" s="3">
        <v>179</v>
      </c>
      <c r="D280" s="3">
        <v>206.5</v>
      </c>
      <c r="E280" s="3">
        <v>175.6</v>
      </c>
      <c r="F280" s="3">
        <v>234.6</v>
      </c>
      <c r="G280" s="3">
        <v>247.4</v>
      </c>
      <c r="H280" s="3">
        <v>194</v>
      </c>
      <c r="I280" s="3">
        <v>213.3</v>
      </c>
      <c r="J280" s="3">
        <v>130.30000000000001</v>
      </c>
      <c r="K280" s="3">
        <v>172.1</v>
      </c>
      <c r="L280" s="3">
        <v>202.4</v>
      </c>
      <c r="M280" s="3">
        <v>197</v>
      </c>
      <c r="N280" s="3">
        <v>206.8</v>
      </c>
      <c r="O280" s="3">
        <v>245.4</v>
      </c>
      <c r="P280" s="3">
        <v>168.2</v>
      </c>
      <c r="Q280" s="3">
        <v>220.3</v>
      </c>
      <c r="R280" s="3">
        <v>264.5</v>
      </c>
      <c r="S280" s="3">
        <v>244.6</v>
      </c>
      <c r="T280" s="3">
        <v>167.9</v>
      </c>
      <c r="U280" s="3">
        <v>214.4</v>
      </c>
      <c r="V280" s="3">
        <v>142.5</v>
      </c>
      <c r="W280" s="3">
        <v>218</v>
      </c>
      <c r="X280" s="3">
        <v>198.8</v>
      </c>
      <c r="Y280" s="3">
        <v>241.4</v>
      </c>
      <c r="Z280" s="3">
        <v>188.6</v>
      </c>
      <c r="AA280" s="3">
        <v>183.1</v>
      </c>
      <c r="AB280" s="3">
        <v>183.3</v>
      </c>
      <c r="AC280" s="3">
        <v>185.1</v>
      </c>
      <c r="AD280" s="3">
        <v>167.7</v>
      </c>
      <c r="AE280" s="3">
        <v>233.9</v>
      </c>
      <c r="AF280" s="3">
        <v>177.9</v>
      </c>
      <c r="AG280" s="3">
        <v>173.9</v>
      </c>
      <c r="AH280" s="3">
        <v>184.9</v>
      </c>
      <c r="AI280" s="3">
        <v>169.6</v>
      </c>
      <c r="AJ280" s="3">
        <v>271.2</v>
      </c>
      <c r="AK280" s="3">
        <v>338.3</v>
      </c>
      <c r="AL280" s="3">
        <v>267</v>
      </c>
      <c r="AM280" s="3">
        <v>263.2</v>
      </c>
      <c r="AN280" s="3">
        <v>288.7</v>
      </c>
      <c r="AO280" s="3">
        <v>156</v>
      </c>
      <c r="AP280" s="3">
        <v>214.2</v>
      </c>
      <c r="AQ280" s="3">
        <v>268.7</v>
      </c>
      <c r="AR280" s="3">
        <v>178.6</v>
      </c>
      <c r="AS280" s="3">
        <v>424.5</v>
      </c>
      <c r="AT280" s="3">
        <v>323</v>
      </c>
      <c r="AU280" s="3">
        <v>306.39999999999998</v>
      </c>
      <c r="AV280" s="3">
        <v>221.1</v>
      </c>
      <c r="AW280" s="3">
        <v>282.7</v>
      </c>
      <c r="AX280" s="3">
        <v>310.89999999999998</v>
      </c>
      <c r="AY280" s="3">
        <v>420.6</v>
      </c>
      <c r="AZ280" s="3">
        <v>353.4</v>
      </c>
      <c r="BA280" s="3">
        <v>193.6</v>
      </c>
      <c r="BB280" s="3">
        <v>333.8</v>
      </c>
      <c r="BC280" s="3">
        <v>287.2</v>
      </c>
      <c r="BD280" s="3">
        <v>236.2</v>
      </c>
      <c r="BE280" s="3">
        <v>292.60000000000002</v>
      </c>
      <c r="BF280" s="3">
        <v>366.8</v>
      </c>
      <c r="BG280" s="3">
        <v>203.2</v>
      </c>
      <c r="BH280" s="3">
        <v>181.2</v>
      </c>
      <c r="BI280" s="3">
        <v>74.099999999999994</v>
      </c>
      <c r="BJ280" s="3">
        <v>160.69999999999999</v>
      </c>
      <c r="BK280" s="3">
        <v>182.7</v>
      </c>
      <c r="BL280" s="3">
        <v>202.3</v>
      </c>
      <c r="BM280" s="3">
        <v>249.2</v>
      </c>
      <c r="BN280" s="3">
        <v>87</v>
      </c>
      <c r="BO280" s="3">
        <v>333.1</v>
      </c>
      <c r="BP280" s="3">
        <v>334.7</v>
      </c>
      <c r="BQ280" s="3">
        <v>92.5</v>
      </c>
      <c r="BR280" s="3">
        <v>57.5</v>
      </c>
      <c r="BS280" s="3">
        <v>91.5</v>
      </c>
      <c r="BT280" s="3">
        <v>153</v>
      </c>
      <c r="BU280" s="3">
        <v>113.2</v>
      </c>
      <c r="BV280" s="3">
        <v>153.6</v>
      </c>
      <c r="BW280" s="3">
        <v>207.9</v>
      </c>
      <c r="BX280" s="3">
        <v>409.3</v>
      </c>
      <c r="BY280" s="3">
        <v>101.8</v>
      </c>
      <c r="BZ280" s="3">
        <v>353</v>
      </c>
      <c r="CA280" s="3">
        <v>336.4</v>
      </c>
      <c r="CB280" s="3">
        <v>382.2</v>
      </c>
      <c r="CC280" s="3">
        <v>311.5</v>
      </c>
      <c r="CD280" s="3">
        <v>319.10000000000002</v>
      </c>
      <c r="CE280" s="3">
        <v>242.2</v>
      </c>
      <c r="CF280" s="3">
        <v>10.7</v>
      </c>
      <c r="CG280" s="3">
        <v>94.5</v>
      </c>
      <c r="CH280" s="3">
        <v>85.3</v>
      </c>
      <c r="CI280" s="3">
        <v>289.10000000000002</v>
      </c>
      <c r="CJ280" s="3">
        <v>161.9</v>
      </c>
      <c r="CK280" s="3">
        <v>178.4</v>
      </c>
      <c r="CL280" s="3">
        <v>411.1</v>
      </c>
      <c r="CM280" s="3">
        <v>203.9</v>
      </c>
      <c r="CN280" s="3">
        <v>177.8</v>
      </c>
    </row>
    <row r="281" spans="1:92" x14ac:dyDescent="0.25">
      <c r="A281" s="4">
        <v>40269</v>
      </c>
      <c r="B281" s="3">
        <v>210.6</v>
      </c>
      <c r="C281" s="3">
        <v>176.6</v>
      </c>
      <c r="D281" s="3">
        <v>210.1</v>
      </c>
      <c r="E281" s="3">
        <v>172.9</v>
      </c>
      <c r="F281" s="3">
        <v>238.7</v>
      </c>
      <c r="G281" s="3">
        <v>258.39999999999998</v>
      </c>
      <c r="H281" s="3">
        <v>209.5</v>
      </c>
      <c r="I281" s="3">
        <v>211.7</v>
      </c>
      <c r="J281" s="3">
        <v>132</v>
      </c>
      <c r="K281" s="3">
        <v>171.9</v>
      </c>
      <c r="L281" s="3">
        <v>207.2</v>
      </c>
      <c r="M281" s="3">
        <v>201.1</v>
      </c>
      <c r="N281" s="3">
        <v>212.3</v>
      </c>
      <c r="O281" s="3">
        <v>252.1</v>
      </c>
      <c r="P281" s="3">
        <v>168.9</v>
      </c>
      <c r="Q281" s="3">
        <v>219.6</v>
      </c>
      <c r="R281" s="3">
        <v>263.2</v>
      </c>
      <c r="S281" s="3">
        <v>244.4</v>
      </c>
      <c r="T281" s="3">
        <v>166</v>
      </c>
      <c r="U281" s="3">
        <v>217.3</v>
      </c>
      <c r="V281" s="3">
        <v>139.5</v>
      </c>
      <c r="W281" s="3">
        <v>219.5</v>
      </c>
      <c r="X281" s="3">
        <v>198.4</v>
      </c>
      <c r="Y281" s="3">
        <v>242.2</v>
      </c>
      <c r="Z281" s="3">
        <v>191.1</v>
      </c>
      <c r="AA281" s="3">
        <v>185.3</v>
      </c>
      <c r="AB281" s="3">
        <v>185.8</v>
      </c>
      <c r="AC281" s="3">
        <v>182.6</v>
      </c>
      <c r="AD281" s="3">
        <v>164.6</v>
      </c>
      <c r="AE281" s="3">
        <v>235.4</v>
      </c>
      <c r="AF281" s="3">
        <v>179.4</v>
      </c>
      <c r="AG281" s="3">
        <v>175.5</v>
      </c>
      <c r="AH281" s="3">
        <v>185.4</v>
      </c>
      <c r="AI281" s="3">
        <v>173.3</v>
      </c>
      <c r="AJ281" s="3">
        <v>272</v>
      </c>
      <c r="AK281" s="3">
        <v>339.3</v>
      </c>
      <c r="AL281" s="3">
        <v>267.60000000000002</v>
      </c>
      <c r="AM281" s="3">
        <v>266.5</v>
      </c>
      <c r="AN281" s="3">
        <v>291.60000000000002</v>
      </c>
      <c r="AO281" s="3">
        <v>160.1</v>
      </c>
      <c r="AP281" s="3">
        <v>216.4</v>
      </c>
      <c r="AQ281" s="3">
        <v>270.89999999999998</v>
      </c>
      <c r="AR281" s="3">
        <v>180.8</v>
      </c>
      <c r="AS281" s="3">
        <v>435.3</v>
      </c>
      <c r="AT281" s="3">
        <v>330</v>
      </c>
      <c r="AU281" s="3">
        <v>308.3</v>
      </c>
      <c r="AV281" s="3">
        <v>222.5</v>
      </c>
      <c r="AW281" s="3">
        <v>283.7</v>
      </c>
      <c r="AX281" s="3">
        <v>316.2</v>
      </c>
      <c r="AY281" s="3">
        <v>420.6</v>
      </c>
      <c r="AZ281" s="3">
        <v>353.7</v>
      </c>
      <c r="BA281" s="3">
        <v>196.4</v>
      </c>
      <c r="BB281" s="3">
        <v>337.8</v>
      </c>
      <c r="BC281" s="3">
        <v>287.2</v>
      </c>
      <c r="BD281" s="3">
        <v>235.8</v>
      </c>
      <c r="BE281" s="3">
        <v>283.2</v>
      </c>
      <c r="BF281" s="3">
        <v>379.9</v>
      </c>
      <c r="BG281" s="3">
        <v>194.5</v>
      </c>
      <c r="BH281" s="3">
        <v>181.1</v>
      </c>
      <c r="BI281" s="3">
        <v>72.8</v>
      </c>
      <c r="BJ281" s="3">
        <v>159.30000000000001</v>
      </c>
      <c r="BK281" s="3">
        <v>178.9</v>
      </c>
      <c r="BL281" s="3">
        <v>202.3</v>
      </c>
      <c r="BM281" s="3">
        <v>261.10000000000002</v>
      </c>
      <c r="BN281" s="3">
        <v>89.8</v>
      </c>
      <c r="BO281" s="3">
        <v>334.3</v>
      </c>
      <c r="BP281" s="3">
        <v>336.5</v>
      </c>
      <c r="BQ281" s="3">
        <v>97.3</v>
      </c>
      <c r="BR281" s="3">
        <v>60.2</v>
      </c>
      <c r="BS281" s="3">
        <v>92.8</v>
      </c>
      <c r="BT281" s="3">
        <v>156.6</v>
      </c>
      <c r="BU281" s="3">
        <v>115</v>
      </c>
      <c r="BV281" s="3">
        <v>153.80000000000001</v>
      </c>
      <c r="BW281" s="3">
        <v>208.5</v>
      </c>
      <c r="BX281" s="3">
        <v>410.9</v>
      </c>
      <c r="BY281" s="3">
        <v>102.3</v>
      </c>
      <c r="BZ281" s="3">
        <v>354.8</v>
      </c>
      <c r="CA281" s="3">
        <v>351.4</v>
      </c>
      <c r="CB281" s="3">
        <v>411</v>
      </c>
      <c r="CC281" s="3">
        <v>311.3</v>
      </c>
      <c r="CD281" s="3">
        <v>320.3</v>
      </c>
      <c r="CE281" s="3">
        <v>242.6</v>
      </c>
      <c r="CF281" s="3">
        <v>10.7</v>
      </c>
      <c r="CG281" s="3">
        <v>92</v>
      </c>
      <c r="CH281" s="3">
        <v>84.5</v>
      </c>
      <c r="CI281" s="3">
        <v>289.5</v>
      </c>
      <c r="CJ281" s="3">
        <v>161.19999999999999</v>
      </c>
      <c r="CK281" s="3">
        <v>181.2</v>
      </c>
      <c r="CL281" s="3">
        <v>418.2</v>
      </c>
      <c r="CM281" s="3">
        <v>205.1</v>
      </c>
      <c r="CN281" s="3">
        <v>180.7</v>
      </c>
    </row>
    <row r="282" spans="1:92" x14ac:dyDescent="0.25">
      <c r="A282" s="4">
        <v>40299</v>
      </c>
      <c r="B282" s="3">
        <v>207.7</v>
      </c>
      <c r="C282" s="3">
        <v>181.3</v>
      </c>
      <c r="D282" s="3">
        <v>209.5</v>
      </c>
      <c r="E282" s="3">
        <v>174.3</v>
      </c>
      <c r="F282" s="3">
        <v>240.4</v>
      </c>
      <c r="G282" s="3">
        <v>262.8</v>
      </c>
      <c r="H282" s="3">
        <v>210</v>
      </c>
      <c r="I282" s="3">
        <v>210.9</v>
      </c>
      <c r="J282" s="3">
        <v>128.5</v>
      </c>
      <c r="K282" s="3">
        <v>170.4</v>
      </c>
      <c r="L282" s="3">
        <v>207</v>
      </c>
      <c r="M282" s="3">
        <v>201.3</v>
      </c>
      <c r="N282" s="3">
        <v>211.8</v>
      </c>
      <c r="O282" s="3">
        <v>246.4</v>
      </c>
      <c r="P282" s="3">
        <v>158.9</v>
      </c>
      <c r="Q282" s="3">
        <v>217.8</v>
      </c>
      <c r="R282" s="3">
        <v>263.60000000000002</v>
      </c>
      <c r="S282" s="3">
        <v>245</v>
      </c>
      <c r="T282" s="3">
        <v>168.8</v>
      </c>
      <c r="U282" s="3">
        <v>217.8</v>
      </c>
      <c r="V282" s="3">
        <v>141.30000000000001</v>
      </c>
      <c r="W282" s="3">
        <v>220.6</v>
      </c>
      <c r="X282" s="3">
        <v>197.1</v>
      </c>
      <c r="Y282" s="3">
        <v>242.7</v>
      </c>
      <c r="Z282" s="3">
        <v>194.8</v>
      </c>
      <c r="AA282" s="3">
        <v>193.7</v>
      </c>
      <c r="AB282" s="3">
        <v>186.5</v>
      </c>
      <c r="AC282" s="3">
        <v>178.3</v>
      </c>
      <c r="AD282" s="3">
        <v>160.1</v>
      </c>
      <c r="AE282" s="3">
        <v>233.2</v>
      </c>
      <c r="AF282" s="3">
        <v>180</v>
      </c>
      <c r="AG282" s="3">
        <v>176.5</v>
      </c>
      <c r="AH282" s="3">
        <v>183.5</v>
      </c>
      <c r="AI282" s="3">
        <v>171.5</v>
      </c>
      <c r="AJ282" s="3">
        <v>272.7</v>
      </c>
      <c r="AK282" s="3">
        <v>340.5</v>
      </c>
      <c r="AL282" s="3">
        <v>268.10000000000002</v>
      </c>
      <c r="AM282" s="3">
        <v>265.89999999999998</v>
      </c>
      <c r="AN282" s="3">
        <v>292.7</v>
      </c>
      <c r="AO282" s="3">
        <v>154.9</v>
      </c>
      <c r="AP282" s="3">
        <v>217.1</v>
      </c>
      <c r="AQ282" s="3">
        <v>271.60000000000002</v>
      </c>
      <c r="AR282" s="3">
        <v>181.5</v>
      </c>
      <c r="AS282" s="3">
        <v>436</v>
      </c>
      <c r="AT282" s="3">
        <v>329.5</v>
      </c>
      <c r="AU282" s="3">
        <v>308.7</v>
      </c>
      <c r="AV282" s="3">
        <v>223.3</v>
      </c>
      <c r="AW282" s="3">
        <v>284.89999999999998</v>
      </c>
      <c r="AX282" s="3">
        <v>316.2</v>
      </c>
      <c r="AY282" s="3">
        <v>420.6</v>
      </c>
      <c r="AZ282" s="3">
        <v>354.5</v>
      </c>
      <c r="BA282" s="3">
        <v>197.3</v>
      </c>
      <c r="BB282" s="3">
        <v>343.1</v>
      </c>
      <c r="BC282" s="3">
        <v>280.5</v>
      </c>
      <c r="BD282" s="3">
        <v>235.8</v>
      </c>
      <c r="BE282" s="3">
        <v>283.2</v>
      </c>
      <c r="BF282" s="3">
        <v>380</v>
      </c>
      <c r="BG282" s="3">
        <v>199</v>
      </c>
      <c r="BH282" s="3">
        <v>184.4</v>
      </c>
      <c r="BI282" s="3">
        <v>72.5</v>
      </c>
      <c r="BJ282" s="3">
        <v>160.69999999999999</v>
      </c>
      <c r="BK282" s="3">
        <v>181.5</v>
      </c>
      <c r="BL282" s="3">
        <v>203.6</v>
      </c>
      <c r="BM282" s="3">
        <v>261.10000000000002</v>
      </c>
      <c r="BN282" s="3">
        <v>89.6</v>
      </c>
      <c r="BO282" s="3">
        <v>335.2</v>
      </c>
      <c r="BP282" s="3">
        <v>337.6</v>
      </c>
      <c r="BQ282" s="3">
        <v>97.8</v>
      </c>
      <c r="BR282" s="3">
        <v>60.6</v>
      </c>
      <c r="BS282" s="3">
        <v>93</v>
      </c>
      <c r="BT282" s="3">
        <v>156.19999999999999</v>
      </c>
      <c r="BU282" s="3">
        <v>115.5</v>
      </c>
      <c r="BV282" s="3">
        <v>154.5</v>
      </c>
      <c r="BW282" s="3">
        <v>207.3</v>
      </c>
      <c r="BX282" s="3">
        <v>412.1</v>
      </c>
      <c r="BY282" s="3">
        <v>104</v>
      </c>
      <c r="BZ282" s="3">
        <v>355.5</v>
      </c>
      <c r="CA282" s="3">
        <v>353.8</v>
      </c>
      <c r="CB282" s="3">
        <v>415.8</v>
      </c>
      <c r="CC282" s="3">
        <v>313.7</v>
      </c>
      <c r="CD282" s="3">
        <v>317.5</v>
      </c>
      <c r="CE282" s="3">
        <v>248.4</v>
      </c>
      <c r="CF282" s="3">
        <v>10.7</v>
      </c>
      <c r="CG282" s="3">
        <v>90.9</v>
      </c>
      <c r="CH282" s="3">
        <v>84</v>
      </c>
      <c r="CI282" s="3">
        <v>294.10000000000002</v>
      </c>
      <c r="CJ282" s="3">
        <v>162.6</v>
      </c>
      <c r="CK282" s="3">
        <v>181.2</v>
      </c>
      <c r="CL282" s="3">
        <v>419.7</v>
      </c>
      <c r="CM282" s="3">
        <v>204.8</v>
      </c>
      <c r="CN282" s="3">
        <v>181.2</v>
      </c>
    </row>
    <row r="283" spans="1:92" x14ac:dyDescent="0.25">
      <c r="A283" s="4">
        <v>40330</v>
      </c>
      <c r="B283" s="3">
        <v>209.6</v>
      </c>
      <c r="C283" s="3">
        <v>181</v>
      </c>
      <c r="D283" s="3">
        <v>208.9</v>
      </c>
      <c r="E283" s="3">
        <v>175.2</v>
      </c>
      <c r="F283" s="3">
        <v>240.4</v>
      </c>
      <c r="G283" s="3">
        <v>262.2</v>
      </c>
      <c r="H283" s="3">
        <v>198.1</v>
      </c>
      <c r="I283" s="3">
        <v>210.5</v>
      </c>
      <c r="J283" s="3">
        <v>129.30000000000001</v>
      </c>
      <c r="K283" s="3">
        <v>169.5</v>
      </c>
      <c r="L283" s="3">
        <v>206.9</v>
      </c>
      <c r="M283" s="3">
        <v>202.4</v>
      </c>
      <c r="N283" s="3">
        <v>210.4</v>
      </c>
      <c r="O283" s="3">
        <v>259.89999999999998</v>
      </c>
      <c r="P283" s="3">
        <v>165.9</v>
      </c>
      <c r="Q283" s="3">
        <v>215.7</v>
      </c>
      <c r="R283" s="3">
        <v>264.60000000000002</v>
      </c>
      <c r="S283" s="3">
        <v>244.6</v>
      </c>
      <c r="T283" s="3">
        <v>168.3</v>
      </c>
      <c r="U283" s="3">
        <v>214.3</v>
      </c>
      <c r="V283" s="3">
        <v>137.6</v>
      </c>
      <c r="W283" s="3">
        <v>216.7</v>
      </c>
      <c r="X283" s="3">
        <v>202</v>
      </c>
      <c r="Y283" s="3">
        <v>241.4</v>
      </c>
      <c r="Z283" s="3">
        <v>198.4</v>
      </c>
      <c r="AA283" s="3">
        <v>206</v>
      </c>
      <c r="AB283" s="3">
        <v>184.6</v>
      </c>
      <c r="AC283" s="3">
        <v>176.4</v>
      </c>
      <c r="AD283" s="3">
        <v>157.80000000000001</v>
      </c>
      <c r="AE283" s="3">
        <v>233.6</v>
      </c>
      <c r="AF283" s="3">
        <v>184.1</v>
      </c>
      <c r="AG283" s="3">
        <v>181.2</v>
      </c>
      <c r="AH283" s="3">
        <v>183.8</v>
      </c>
      <c r="AI283" s="3">
        <v>171.9</v>
      </c>
      <c r="AJ283" s="3">
        <v>272.5</v>
      </c>
      <c r="AK283" s="3">
        <v>340.9</v>
      </c>
      <c r="AL283" s="3">
        <v>268.7</v>
      </c>
      <c r="AM283" s="3">
        <v>265.60000000000002</v>
      </c>
      <c r="AN283" s="3">
        <v>292.7</v>
      </c>
      <c r="AO283" s="3">
        <v>153.9</v>
      </c>
      <c r="AP283" s="3">
        <v>217</v>
      </c>
      <c r="AQ283" s="3">
        <v>271.8</v>
      </c>
      <c r="AR283" s="3">
        <v>181.3</v>
      </c>
      <c r="AS283" s="3">
        <v>434.3</v>
      </c>
      <c r="AT283" s="3">
        <v>330</v>
      </c>
      <c r="AU283" s="3">
        <v>308.7</v>
      </c>
      <c r="AV283" s="3">
        <v>224.1</v>
      </c>
      <c r="AW283" s="3">
        <v>287</v>
      </c>
      <c r="AX283" s="3">
        <v>316.2</v>
      </c>
      <c r="AY283" s="3">
        <v>420.6</v>
      </c>
      <c r="AZ283" s="3">
        <v>355.2</v>
      </c>
      <c r="BA283" s="3">
        <v>198.1</v>
      </c>
      <c r="BB283" s="3">
        <v>345.1</v>
      </c>
      <c r="BC283" s="3">
        <v>277.2</v>
      </c>
      <c r="BD283" s="3">
        <v>235.8</v>
      </c>
      <c r="BE283" s="3">
        <v>283.2</v>
      </c>
      <c r="BF283" s="3">
        <v>369.2</v>
      </c>
      <c r="BG283" s="3">
        <v>207</v>
      </c>
      <c r="BH283" s="3">
        <v>182.5</v>
      </c>
      <c r="BI283" s="3">
        <v>72.8</v>
      </c>
      <c r="BJ283" s="3">
        <v>161.30000000000001</v>
      </c>
      <c r="BK283" s="3">
        <v>183.3</v>
      </c>
      <c r="BL283" s="3">
        <v>205.3</v>
      </c>
      <c r="BM283" s="3">
        <v>261.10000000000002</v>
      </c>
      <c r="BN283" s="3">
        <v>90.5</v>
      </c>
      <c r="BO283" s="3">
        <v>335.5</v>
      </c>
      <c r="BP283" s="3">
        <v>337.8</v>
      </c>
      <c r="BQ283" s="3">
        <v>97.2</v>
      </c>
      <c r="BR283" s="3">
        <v>58.5</v>
      </c>
      <c r="BS283" s="3">
        <v>91.8</v>
      </c>
      <c r="BT283" s="3">
        <v>155.30000000000001</v>
      </c>
      <c r="BU283" s="3">
        <v>114.7</v>
      </c>
      <c r="BV283" s="3">
        <v>155.1</v>
      </c>
      <c r="BW283" s="3">
        <v>208.7</v>
      </c>
      <c r="BX283" s="3">
        <v>412.9</v>
      </c>
      <c r="BY283" s="3">
        <v>104.3</v>
      </c>
      <c r="BZ283" s="3">
        <v>356</v>
      </c>
      <c r="CA283" s="3">
        <v>344.6</v>
      </c>
      <c r="CB283" s="3">
        <v>434.9</v>
      </c>
      <c r="CC283" s="3">
        <v>312.89999999999998</v>
      </c>
      <c r="CD283" s="3">
        <v>320.60000000000002</v>
      </c>
      <c r="CE283" s="3">
        <v>258.89999999999998</v>
      </c>
      <c r="CF283" s="3">
        <v>10.7</v>
      </c>
      <c r="CG283" s="3">
        <v>93.7</v>
      </c>
      <c r="CH283" s="3">
        <v>84.6</v>
      </c>
      <c r="CI283" s="3">
        <v>296</v>
      </c>
      <c r="CJ283" s="3">
        <v>161.5</v>
      </c>
      <c r="CK283" s="3">
        <v>181.2</v>
      </c>
      <c r="CL283" s="3">
        <v>417.5</v>
      </c>
      <c r="CM283" s="3">
        <v>206.2</v>
      </c>
      <c r="CN283" s="3">
        <v>184.1</v>
      </c>
    </row>
    <row r="284" spans="1:92" x14ac:dyDescent="0.25">
      <c r="A284" s="4">
        <v>40360</v>
      </c>
      <c r="B284" s="3">
        <v>212.2</v>
      </c>
      <c r="C284" s="3">
        <v>180.3</v>
      </c>
      <c r="D284" s="3">
        <v>207.8</v>
      </c>
      <c r="E284" s="3">
        <v>174.6</v>
      </c>
      <c r="F284" s="3">
        <v>241.4</v>
      </c>
      <c r="G284" s="3">
        <v>263.10000000000002</v>
      </c>
      <c r="H284" s="3">
        <v>208.8</v>
      </c>
      <c r="I284" s="3">
        <v>206</v>
      </c>
      <c r="J284" s="3">
        <v>129.9</v>
      </c>
      <c r="K284" s="3">
        <v>172.2</v>
      </c>
      <c r="L284" s="3">
        <v>213.3</v>
      </c>
      <c r="M284" s="3">
        <v>210.3</v>
      </c>
      <c r="N284" s="3">
        <v>215.1</v>
      </c>
      <c r="O284" s="3">
        <v>245.2</v>
      </c>
      <c r="P284" s="3">
        <v>174.9</v>
      </c>
      <c r="Q284" s="3">
        <v>223.5</v>
      </c>
      <c r="R284" s="3">
        <v>264.39999999999998</v>
      </c>
      <c r="S284" s="3">
        <v>243.8</v>
      </c>
      <c r="T284" s="3">
        <v>169.6</v>
      </c>
      <c r="U284" s="3">
        <v>212.5</v>
      </c>
      <c r="V284" s="3">
        <v>143</v>
      </c>
      <c r="W284" s="3">
        <v>224.3</v>
      </c>
      <c r="X284" s="3">
        <v>202.5</v>
      </c>
      <c r="Y284" s="3">
        <v>241.5</v>
      </c>
      <c r="Z284" s="3">
        <v>201</v>
      </c>
      <c r="AA284" s="3">
        <v>205</v>
      </c>
      <c r="AB284" s="3">
        <v>189.2</v>
      </c>
      <c r="AC284" s="3">
        <v>180.2</v>
      </c>
      <c r="AD284" s="3">
        <v>161.19999999999999</v>
      </c>
      <c r="AE284" s="3">
        <v>238.5</v>
      </c>
      <c r="AF284" s="3">
        <v>179.7</v>
      </c>
      <c r="AG284" s="3">
        <v>176.2</v>
      </c>
      <c r="AH284" s="3">
        <v>183.5</v>
      </c>
      <c r="AI284" s="3">
        <v>177.2</v>
      </c>
      <c r="AJ284" s="3">
        <v>273.39999999999998</v>
      </c>
      <c r="AK284" s="3">
        <v>341.6</v>
      </c>
      <c r="AL284" s="3">
        <v>269</v>
      </c>
      <c r="AM284" s="3">
        <v>265.89999999999998</v>
      </c>
      <c r="AN284" s="3">
        <v>292.89999999999998</v>
      </c>
      <c r="AO284" s="3">
        <v>154.19999999999999</v>
      </c>
      <c r="AP284" s="3">
        <v>217</v>
      </c>
      <c r="AQ284" s="3">
        <v>272.10000000000002</v>
      </c>
      <c r="AR284" s="3">
        <v>181.1</v>
      </c>
      <c r="AS284" s="3">
        <v>433.8</v>
      </c>
      <c r="AT284" s="3">
        <v>330.2</v>
      </c>
      <c r="AU284" s="3">
        <v>308.60000000000002</v>
      </c>
      <c r="AV284" s="3">
        <v>225.8</v>
      </c>
      <c r="AW284" s="3">
        <v>288.39999999999998</v>
      </c>
      <c r="AX284" s="3">
        <v>316.2</v>
      </c>
      <c r="AY284" s="3">
        <v>420.6</v>
      </c>
      <c r="AZ284" s="3">
        <v>355.7</v>
      </c>
      <c r="BA284" s="3">
        <v>199.6</v>
      </c>
      <c r="BB284" s="3">
        <v>347.5</v>
      </c>
      <c r="BC284" s="3">
        <v>274.5</v>
      </c>
      <c r="BD284" s="3">
        <v>235.8</v>
      </c>
      <c r="BE284" s="3">
        <v>283.2</v>
      </c>
      <c r="BF284" s="3">
        <v>364.1</v>
      </c>
      <c r="BG284" s="3">
        <v>194.9</v>
      </c>
      <c r="BH284" s="3">
        <v>180.4</v>
      </c>
      <c r="BI284" s="3">
        <v>72.2</v>
      </c>
      <c r="BJ284" s="3">
        <v>159.69999999999999</v>
      </c>
      <c r="BK284" s="3">
        <v>184.9</v>
      </c>
      <c r="BL284" s="3">
        <v>205.3</v>
      </c>
      <c r="BM284" s="3">
        <v>261.10000000000002</v>
      </c>
      <c r="BN284" s="3">
        <v>90.8</v>
      </c>
      <c r="BO284" s="3">
        <v>336</v>
      </c>
      <c r="BP284" s="3">
        <v>338</v>
      </c>
      <c r="BQ284" s="3">
        <v>94.2</v>
      </c>
      <c r="BR284" s="3">
        <v>54.5</v>
      </c>
      <c r="BS284" s="3">
        <v>89.1</v>
      </c>
      <c r="BT284" s="3">
        <v>151.69999999999999</v>
      </c>
      <c r="BU284" s="3">
        <v>111</v>
      </c>
      <c r="BV284" s="3">
        <v>153.30000000000001</v>
      </c>
      <c r="BW284" s="3">
        <v>207.8</v>
      </c>
      <c r="BX284" s="3">
        <v>417.1</v>
      </c>
      <c r="BY284" s="3">
        <v>102.8</v>
      </c>
      <c r="BZ284" s="3">
        <v>357.1</v>
      </c>
      <c r="CA284" s="3">
        <v>343.2</v>
      </c>
      <c r="CB284" s="3">
        <v>429.6</v>
      </c>
      <c r="CC284" s="3">
        <v>312.60000000000002</v>
      </c>
      <c r="CD284" s="3">
        <v>322.39999999999998</v>
      </c>
      <c r="CE284" s="3">
        <v>270.5</v>
      </c>
      <c r="CF284" s="3">
        <v>10.6</v>
      </c>
      <c r="CG284" s="3">
        <v>90.7</v>
      </c>
      <c r="CH284" s="3">
        <v>84.8</v>
      </c>
      <c r="CI284" s="3">
        <v>296.3</v>
      </c>
      <c r="CJ284" s="3">
        <v>160.5</v>
      </c>
      <c r="CK284" s="3">
        <v>181.1</v>
      </c>
      <c r="CL284" s="3">
        <v>418.1</v>
      </c>
      <c r="CM284" s="3">
        <v>207.2</v>
      </c>
      <c r="CN284" s="3">
        <v>185</v>
      </c>
    </row>
    <row r="285" spans="1:92" x14ac:dyDescent="0.25">
      <c r="A285" s="4">
        <v>40391</v>
      </c>
      <c r="B285" s="3">
        <v>209.5</v>
      </c>
      <c r="C285" s="3">
        <v>183.6</v>
      </c>
      <c r="D285" s="3">
        <v>213.4</v>
      </c>
      <c r="E285" s="3">
        <v>173.1</v>
      </c>
      <c r="F285" s="3">
        <v>243.8</v>
      </c>
      <c r="G285" s="3">
        <v>266.39999999999998</v>
      </c>
      <c r="H285" s="3">
        <v>204.6</v>
      </c>
      <c r="I285" s="3">
        <v>211.5</v>
      </c>
      <c r="J285" s="3">
        <v>130.4</v>
      </c>
      <c r="K285" s="3">
        <v>171.7</v>
      </c>
      <c r="L285" s="3">
        <v>214.8</v>
      </c>
      <c r="M285" s="3">
        <v>213.6</v>
      </c>
      <c r="N285" s="3">
        <v>214.7</v>
      </c>
      <c r="O285" s="3">
        <v>260.60000000000002</v>
      </c>
      <c r="P285" s="3">
        <v>177.4</v>
      </c>
      <c r="Q285" s="3">
        <v>220.5</v>
      </c>
      <c r="R285" s="3">
        <v>265.2</v>
      </c>
      <c r="S285" s="3">
        <v>242.5</v>
      </c>
      <c r="T285" s="3">
        <v>168.5</v>
      </c>
      <c r="U285" s="3">
        <v>219.4</v>
      </c>
      <c r="V285" s="3">
        <v>141.1</v>
      </c>
      <c r="W285" s="3">
        <v>223.2</v>
      </c>
      <c r="X285" s="3">
        <v>195.1</v>
      </c>
      <c r="Y285" s="3">
        <v>243.1</v>
      </c>
      <c r="Z285" s="3">
        <v>199</v>
      </c>
      <c r="AA285" s="3">
        <v>202</v>
      </c>
      <c r="AB285" s="3">
        <v>188</v>
      </c>
      <c r="AC285" s="3">
        <v>178.1</v>
      </c>
      <c r="AD285" s="3">
        <v>159.1</v>
      </c>
      <c r="AE285" s="3">
        <v>236.5</v>
      </c>
      <c r="AF285" s="3">
        <v>177.9</v>
      </c>
      <c r="AG285" s="3">
        <v>173.6</v>
      </c>
      <c r="AH285" s="3">
        <v>187</v>
      </c>
      <c r="AI285" s="3">
        <v>177.9</v>
      </c>
      <c r="AJ285" s="3">
        <v>274.10000000000002</v>
      </c>
      <c r="AK285" s="3">
        <v>341.7</v>
      </c>
      <c r="AL285" s="3">
        <v>269.7</v>
      </c>
      <c r="AM285" s="3">
        <v>266.3</v>
      </c>
      <c r="AN285" s="3">
        <v>293.3</v>
      </c>
      <c r="AO285" s="3">
        <v>154.4</v>
      </c>
      <c r="AP285" s="3">
        <v>216.9</v>
      </c>
      <c r="AQ285" s="3">
        <v>272.39999999999998</v>
      </c>
      <c r="AR285" s="3">
        <v>180.6</v>
      </c>
      <c r="AS285" s="3">
        <v>433.5</v>
      </c>
      <c r="AT285" s="3">
        <v>329.8</v>
      </c>
      <c r="AU285" s="3">
        <v>308.8</v>
      </c>
      <c r="AV285" s="3">
        <v>226.9</v>
      </c>
      <c r="AW285" s="3">
        <v>290.39999999999998</v>
      </c>
      <c r="AX285" s="3">
        <v>316.2</v>
      </c>
      <c r="AY285" s="3">
        <v>420.6</v>
      </c>
      <c r="AZ285" s="3">
        <v>356.1</v>
      </c>
      <c r="BA285" s="3">
        <v>200.7</v>
      </c>
      <c r="BB285" s="3">
        <v>352.9</v>
      </c>
      <c r="BC285" s="3">
        <v>276.5</v>
      </c>
      <c r="BD285" s="3">
        <v>235.8</v>
      </c>
      <c r="BE285" s="3">
        <v>283.2</v>
      </c>
      <c r="BF285" s="3">
        <v>363.3</v>
      </c>
      <c r="BG285" s="3">
        <v>197.6</v>
      </c>
      <c r="BH285" s="3">
        <v>182.6</v>
      </c>
      <c r="BI285" s="3">
        <v>72.400000000000006</v>
      </c>
      <c r="BJ285" s="3">
        <v>160.1</v>
      </c>
      <c r="BK285" s="3">
        <v>186.4</v>
      </c>
      <c r="BL285" s="3">
        <v>205.4</v>
      </c>
      <c r="BM285" s="3">
        <v>261.10000000000002</v>
      </c>
      <c r="BN285" s="3">
        <v>89.9</v>
      </c>
      <c r="BO285" s="3">
        <v>336.1</v>
      </c>
      <c r="BP285" s="3">
        <v>338.8</v>
      </c>
      <c r="BQ285" s="3">
        <v>95.2</v>
      </c>
      <c r="BR285" s="3">
        <v>57.6</v>
      </c>
      <c r="BS285" s="3">
        <v>91.9</v>
      </c>
      <c r="BT285" s="3">
        <v>154.30000000000001</v>
      </c>
      <c r="BU285" s="3">
        <v>113.6</v>
      </c>
      <c r="BV285" s="3">
        <v>156.1</v>
      </c>
      <c r="BW285" s="3">
        <v>208.1</v>
      </c>
      <c r="BX285" s="3">
        <v>417.5</v>
      </c>
      <c r="BY285" s="3">
        <v>100.7</v>
      </c>
      <c r="BZ285" s="3">
        <v>358.8</v>
      </c>
      <c r="CA285" s="3">
        <v>340.4</v>
      </c>
      <c r="CB285" s="3">
        <v>446.9</v>
      </c>
      <c r="CC285" s="3">
        <v>314.2</v>
      </c>
      <c r="CD285" s="3">
        <v>324.3</v>
      </c>
      <c r="CE285" s="3">
        <v>291.60000000000002</v>
      </c>
      <c r="CF285" s="3">
        <v>10.6</v>
      </c>
      <c r="CG285" s="3">
        <v>91.8</v>
      </c>
      <c r="CH285" s="3">
        <v>84.5</v>
      </c>
      <c r="CI285" s="3">
        <v>295.5</v>
      </c>
      <c r="CJ285" s="3">
        <v>161.6</v>
      </c>
      <c r="CK285" s="3">
        <v>181.1</v>
      </c>
      <c r="CL285" s="3">
        <v>419.3</v>
      </c>
      <c r="CM285" s="3">
        <v>208.6</v>
      </c>
      <c r="CN285" s="3">
        <v>185.4</v>
      </c>
    </row>
    <row r="286" spans="1:92" x14ac:dyDescent="0.25">
      <c r="A286" s="4">
        <v>40422</v>
      </c>
      <c r="B286" s="3">
        <v>207</v>
      </c>
      <c r="C286" s="3">
        <v>187.1</v>
      </c>
      <c r="D286" s="3">
        <v>208.9</v>
      </c>
      <c r="E286" s="3">
        <v>173.7</v>
      </c>
      <c r="F286" s="3">
        <v>237.6</v>
      </c>
      <c r="G286" s="3">
        <v>256.3</v>
      </c>
      <c r="H286" s="3">
        <v>203.4</v>
      </c>
      <c r="I286" s="3">
        <v>212.4</v>
      </c>
      <c r="J286" s="3">
        <v>129.1</v>
      </c>
      <c r="K286" s="3">
        <v>173.6</v>
      </c>
      <c r="L286" s="3">
        <v>213.8</v>
      </c>
      <c r="M286" s="3">
        <v>212</v>
      </c>
      <c r="N286" s="3">
        <v>214.3</v>
      </c>
      <c r="O286" s="3">
        <v>274.2</v>
      </c>
      <c r="P286" s="3">
        <v>180.3</v>
      </c>
      <c r="Q286" s="3">
        <v>216.7</v>
      </c>
      <c r="R286" s="3">
        <v>264.2</v>
      </c>
      <c r="S286" s="3">
        <v>241</v>
      </c>
      <c r="T286" s="3">
        <v>170.2</v>
      </c>
      <c r="U286" s="3">
        <v>211.8</v>
      </c>
      <c r="V286" s="3">
        <v>139.5</v>
      </c>
      <c r="W286" s="3">
        <v>226.4</v>
      </c>
      <c r="X286" s="3">
        <v>199.7</v>
      </c>
      <c r="Y286" s="3">
        <v>244.5</v>
      </c>
      <c r="Z286" s="3">
        <v>198.3</v>
      </c>
      <c r="AA286" s="3">
        <v>197</v>
      </c>
      <c r="AB286" s="3">
        <v>190</v>
      </c>
      <c r="AC286" s="3">
        <v>177.3</v>
      </c>
      <c r="AD286" s="3">
        <v>158.30000000000001</v>
      </c>
      <c r="AE286" s="3">
        <v>235.7</v>
      </c>
      <c r="AF286" s="3">
        <v>175.4</v>
      </c>
      <c r="AG286" s="3">
        <v>170.6</v>
      </c>
      <c r="AH286" s="3">
        <v>187.2</v>
      </c>
      <c r="AI286" s="3">
        <v>180.4</v>
      </c>
      <c r="AJ286" s="3">
        <v>274.39999999999998</v>
      </c>
      <c r="AK286" s="3">
        <v>343.9</v>
      </c>
      <c r="AL286" s="3">
        <v>270.60000000000002</v>
      </c>
      <c r="AM286" s="3">
        <v>266.39999999999998</v>
      </c>
      <c r="AN286" s="3">
        <v>293.3</v>
      </c>
      <c r="AO286" s="3">
        <v>155</v>
      </c>
      <c r="AP286" s="3">
        <v>219</v>
      </c>
      <c r="AQ286" s="3">
        <v>272.8</v>
      </c>
      <c r="AR286" s="3">
        <v>184.1</v>
      </c>
      <c r="AS286" s="3">
        <v>433.6</v>
      </c>
      <c r="AT286" s="3">
        <v>329.7</v>
      </c>
      <c r="AU286" s="3">
        <v>309.5</v>
      </c>
      <c r="AV286" s="3">
        <v>227.7</v>
      </c>
      <c r="AW286" s="3">
        <v>291.5</v>
      </c>
      <c r="AX286" s="3">
        <v>316.2</v>
      </c>
      <c r="AY286" s="3">
        <v>420.6</v>
      </c>
      <c r="AZ286" s="3">
        <v>356.5</v>
      </c>
      <c r="BA286" s="3">
        <v>201.1</v>
      </c>
      <c r="BB286" s="3">
        <v>354.6</v>
      </c>
      <c r="BC286" s="3">
        <v>277.89999999999998</v>
      </c>
      <c r="BD286" s="3">
        <v>235.8</v>
      </c>
      <c r="BE286" s="3">
        <v>283.2</v>
      </c>
      <c r="BF286" s="3">
        <v>362.5</v>
      </c>
      <c r="BG286" s="3">
        <v>207.7</v>
      </c>
      <c r="BH286" s="3">
        <v>183.1</v>
      </c>
      <c r="BI286" s="3">
        <v>72.599999999999994</v>
      </c>
      <c r="BJ286" s="3">
        <v>163.1</v>
      </c>
      <c r="BK286" s="3">
        <v>186.7</v>
      </c>
      <c r="BL286" s="3">
        <v>205.5</v>
      </c>
      <c r="BM286" s="3">
        <v>261.10000000000002</v>
      </c>
      <c r="BN286" s="3">
        <v>88.6</v>
      </c>
      <c r="BO286" s="3">
        <v>337.3</v>
      </c>
      <c r="BP286" s="3">
        <v>342.5</v>
      </c>
      <c r="BQ286" s="3">
        <v>100.8</v>
      </c>
      <c r="BR286" s="3">
        <v>63.4</v>
      </c>
      <c r="BS286" s="3">
        <v>98.2</v>
      </c>
      <c r="BT286" s="3">
        <v>159.69999999999999</v>
      </c>
      <c r="BU286" s="3">
        <v>116.4</v>
      </c>
      <c r="BV286" s="3">
        <v>157.69999999999999</v>
      </c>
      <c r="BW286" s="3">
        <v>210.3</v>
      </c>
      <c r="BX286" s="3">
        <v>417.5</v>
      </c>
      <c r="BY286" s="3">
        <v>99.6</v>
      </c>
      <c r="BZ286" s="3">
        <v>359.4</v>
      </c>
      <c r="CA286" s="3">
        <v>335.5</v>
      </c>
      <c r="CB286" s="3">
        <v>451.6</v>
      </c>
      <c r="CC286" s="3">
        <v>312.89999999999998</v>
      </c>
      <c r="CD286" s="3">
        <v>326</v>
      </c>
      <c r="CE286" s="3">
        <v>251.5</v>
      </c>
      <c r="CF286" s="3">
        <v>10.5</v>
      </c>
      <c r="CG286" s="3">
        <v>90.3</v>
      </c>
      <c r="CH286" s="3">
        <v>83.6</v>
      </c>
      <c r="CI286" s="3">
        <v>296.39999999999998</v>
      </c>
      <c r="CJ286" s="3">
        <v>161.1</v>
      </c>
      <c r="CK286" s="3">
        <v>181.1</v>
      </c>
      <c r="CL286" s="3">
        <v>430.6</v>
      </c>
      <c r="CM286" s="3">
        <v>209.8</v>
      </c>
      <c r="CN286" s="3">
        <v>187.1</v>
      </c>
    </row>
    <row r="287" spans="1:92" x14ac:dyDescent="0.25">
      <c r="A287" s="4">
        <v>40452</v>
      </c>
      <c r="B287" s="3">
        <v>215.9</v>
      </c>
      <c r="C287" s="3">
        <v>185.6</v>
      </c>
      <c r="D287" s="3">
        <v>212.7</v>
      </c>
      <c r="E287" s="3">
        <v>174.2</v>
      </c>
      <c r="F287" s="3">
        <v>243</v>
      </c>
      <c r="G287" s="3">
        <v>263.2</v>
      </c>
      <c r="H287" s="3">
        <v>205.5</v>
      </c>
      <c r="I287" s="3">
        <v>207.9</v>
      </c>
      <c r="J287" s="3">
        <v>130.19999999999999</v>
      </c>
      <c r="K287" s="3">
        <v>172.9</v>
      </c>
      <c r="L287" s="3">
        <v>211</v>
      </c>
      <c r="M287" s="3">
        <v>205.8</v>
      </c>
      <c r="N287" s="3">
        <v>215.1</v>
      </c>
      <c r="O287" s="3">
        <v>279.10000000000002</v>
      </c>
      <c r="P287" s="3">
        <v>174.3</v>
      </c>
      <c r="Q287" s="3">
        <v>224.4</v>
      </c>
      <c r="R287" s="3">
        <v>259.8</v>
      </c>
      <c r="S287" s="3">
        <v>237.9</v>
      </c>
      <c r="T287" s="3">
        <v>174.8</v>
      </c>
      <c r="U287" s="3">
        <v>214.1</v>
      </c>
      <c r="V287" s="3">
        <v>139.30000000000001</v>
      </c>
      <c r="W287" s="3">
        <v>228</v>
      </c>
      <c r="X287" s="3">
        <v>192.3</v>
      </c>
      <c r="Y287" s="3">
        <v>246</v>
      </c>
      <c r="Z287" s="3">
        <v>195.6</v>
      </c>
      <c r="AA287" s="3">
        <v>195.1</v>
      </c>
      <c r="AB287" s="3">
        <v>186.8</v>
      </c>
      <c r="AC287" s="3">
        <v>175.6</v>
      </c>
      <c r="AD287" s="3">
        <v>156.1</v>
      </c>
      <c r="AE287" s="3">
        <v>237</v>
      </c>
      <c r="AF287" s="3">
        <v>180.9</v>
      </c>
      <c r="AG287" s="3">
        <v>177.8</v>
      </c>
      <c r="AH287" s="3">
        <v>181.8</v>
      </c>
      <c r="AI287" s="3">
        <v>179</v>
      </c>
      <c r="AJ287" s="3">
        <v>275.10000000000002</v>
      </c>
      <c r="AK287" s="3">
        <v>343.3</v>
      </c>
      <c r="AL287" s="3">
        <v>271</v>
      </c>
      <c r="AM287" s="3">
        <v>267.2</v>
      </c>
      <c r="AN287" s="3">
        <v>293.5</v>
      </c>
      <c r="AO287" s="3">
        <v>157.4</v>
      </c>
      <c r="AP287" s="3">
        <v>220.2</v>
      </c>
      <c r="AQ287" s="3">
        <v>273.39999999999998</v>
      </c>
      <c r="AR287" s="3">
        <v>185.9</v>
      </c>
      <c r="AS287" s="3">
        <v>435.9</v>
      </c>
      <c r="AT287" s="3">
        <v>332.6</v>
      </c>
      <c r="AU287" s="3">
        <v>309.89999999999998</v>
      </c>
      <c r="AV287" s="3">
        <v>227.7</v>
      </c>
      <c r="AW287" s="3">
        <v>290.89999999999998</v>
      </c>
      <c r="AX287" s="3">
        <v>316.2</v>
      </c>
      <c r="AY287" s="3">
        <v>420.6</v>
      </c>
      <c r="AZ287" s="3">
        <v>356.6</v>
      </c>
      <c r="BA287" s="3">
        <v>202.1</v>
      </c>
      <c r="BB287" s="3">
        <v>353.6</v>
      </c>
      <c r="BC287" s="3">
        <v>286.2</v>
      </c>
      <c r="BD287" s="3">
        <v>235.2</v>
      </c>
      <c r="BE287" s="3">
        <v>283.2</v>
      </c>
      <c r="BF287" s="3">
        <v>374.2</v>
      </c>
      <c r="BG287" s="3">
        <v>199.2</v>
      </c>
      <c r="BH287" s="3">
        <v>184.2</v>
      </c>
      <c r="BI287" s="3">
        <v>72.2</v>
      </c>
      <c r="BJ287" s="3">
        <v>163.80000000000001</v>
      </c>
      <c r="BK287" s="3">
        <v>189.1</v>
      </c>
      <c r="BL287" s="3">
        <v>205.9</v>
      </c>
      <c r="BM287" s="3">
        <v>261.10000000000002</v>
      </c>
      <c r="BN287" s="3">
        <v>89.3</v>
      </c>
      <c r="BO287" s="3">
        <v>337.7</v>
      </c>
      <c r="BP287" s="3">
        <v>342.9</v>
      </c>
      <c r="BQ287" s="3">
        <v>100.3</v>
      </c>
      <c r="BR287" s="3">
        <v>63</v>
      </c>
      <c r="BS287" s="3">
        <v>98.3</v>
      </c>
      <c r="BT287" s="3">
        <v>160</v>
      </c>
      <c r="BU287" s="3">
        <v>115.2</v>
      </c>
      <c r="BV287" s="3">
        <v>156.80000000000001</v>
      </c>
      <c r="BW287" s="3">
        <v>210.1</v>
      </c>
      <c r="BX287" s="3">
        <v>421.1</v>
      </c>
      <c r="BY287" s="3">
        <v>99.4</v>
      </c>
      <c r="BZ287" s="3">
        <v>359.7</v>
      </c>
      <c r="CA287" s="3">
        <v>341.9</v>
      </c>
      <c r="CB287" s="3">
        <v>459.1</v>
      </c>
      <c r="CC287" s="3">
        <v>310.89999999999998</v>
      </c>
      <c r="CD287" s="3">
        <v>326.3</v>
      </c>
      <c r="CE287" s="3">
        <v>253.2</v>
      </c>
      <c r="CF287" s="3">
        <v>10.3</v>
      </c>
      <c r="CG287" s="3">
        <v>90.8</v>
      </c>
      <c r="CH287" s="3">
        <v>84.8</v>
      </c>
      <c r="CI287" s="3">
        <v>295.60000000000002</v>
      </c>
      <c r="CJ287" s="3">
        <v>161.19999999999999</v>
      </c>
      <c r="CK287" s="3">
        <v>184.6</v>
      </c>
      <c r="CL287" s="3">
        <v>432.8</v>
      </c>
      <c r="CM287" s="3">
        <v>210.9</v>
      </c>
      <c r="CN287" s="3">
        <v>187.7</v>
      </c>
    </row>
    <row r="288" spans="1:92" x14ac:dyDescent="0.25">
      <c r="A288" s="4">
        <v>40483</v>
      </c>
      <c r="B288" s="3">
        <v>217.3</v>
      </c>
      <c r="C288" s="3">
        <v>191</v>
      </c>
      <c r="D288" s="3">
        <v>214.7</v>
      </c>
      <c r="E288" s="3">
        <v>175.6</v>
      </c>
      <c r="F288" s="3">
        <v>243.8</v>
      </c>
      <c r="G288" s="3">
        <v>261.8</v>
      </c>
      <c r="H288" s="3">
        <v>199</v>
      </c>
      <c r="I288" s="3">
        <v>207.7</v>
      </c>
      <c r="J288" s="3">
        <v>133.6</v>
      </c>
      <c r="K288" s="3">
        <v>175.3</v>
      </c>
      <c r="L288" s="3">
        <v>212.5</v>
      </c>
      <c r="M288" s="3">
        <v>209.6</v>
      </c>
      <c r="N288" s="3">
        <v>214.1</v>
      </c>
      <c r="O288" s="3">
        <v>283.60000000000002</v>
      </c>
      <c r="P288" s="3">
        <v>177.9</v>
      </c>
      <c r="Q288" s="3">
        <v>223.4</v>
      </c>
      <c r="R288" s="3">
        <v>264</v>
      </c>
      <c r="S288" s="3">
        <v>238.2</v>
      </c>
      <c r="T288" s="3">
        <v>173.9</v>
      </c>
      <c r="U288" s="3">
        <v>213.6</v>
      </c>
      <c r="V288" s="3">
        <v>144.5</v>
      </c>
      <c r="W288" s="3">
        <v>230.1</v>
      </c>
      <c r="X288" s="3">
        <v>195.7</v>
      </c>
      <c r="Y288" s="3">
        <v>250.4</v>
      </c>
      <c r="Z288" s="3">
        <v>200</v>
      </c>
      <c r="AA288" s="3">
        <v>193.6</v>
      </c>
      <c r="AB288" s="3">
        <v>194.7</v>
      </c>
      <c r="AC288" s="3">
        <v>175</v>
      </c>
      <c r="AD288" s="3">
        <v>155.4</v>
      </c>
      <c r="AE288" s="3">
        <v>237.5</v>
      </c>
      <c r="AF288" s="3">
        <v>193.6</v>
      </c>
      <c r="AG288" s="3">
        <v>191.2</v>
      </c>
      <c r="AH288" s="3">
        <v>188.8</v>
      </c>
      <c r="AI288" s="3">
        <v>179.1</v>
      </c>
      <c r="AJ288" s="3">
        <v>276.2</v>
      </c>
      <c r="AK288" s="3">
        <v>342.8</v>
      </c>
      <c r="AL288" s="3">
        <v>272.3</v>
      </c>
      <c r="AM288" s="3">
        <v>267.8</v>
      </c>
      <c r="AN288" s="3">
        <v>294.7</v>
      </c>
      <c r="AO288" s="3">
        <v>156.19999999999999</v>
      </c>
      <c r="AP288" s="3">
        <v>218.4</v>
      </c>
      <c r="AQ288" s="3">
        <v>274.8</v>
      </c>
      <c r="AR288" s="3">
        <v>181.5</v>
      </c>
      <c r="AS288" s="3">
        <v>440.1</v>
      </c>
      <c r="AT288" s="3">
        <v>333.5</v>
      </c>
      <c r="AU288" s="3">
        <v>310.2</v>
      </c>
      <c r="AV288" s="3">
        <v>228.9</v>
      </c>
      <c r="AW288" s="3">
        <v>289.39999999999998</v>
      </c>
      <c r="AX288" s="3">
        <v>316.2</v>
      </c>
      <c r="AY288" s="3">
        <v>420.6</v>
      </c>
      <c r="AZ288" s="3">
        <v>356.3</v>
      </c>
      <c r="BA288" s="3">
        <v>205.9</v>
      </c>
      <c r="BB288" s="3">
        <v>355.7</v>
      </c>
      <c r="BC288" s="3">
        <v>287.7</v>
      </c>
      <c r="BD288" s="3">
        <v>235.2</v>
      </c>
      <c r="BE288" s="3">
        <v>283.2</v>
      </c>
      <c r="BF288" s="3">
        <v>384.8</v>
      </c>
      <c r="BG288" s="3">
        <v>207.5</v>
      </c>
      <c r="BH288" s="3">
        <v>183.2</v>
      </c>
      <c r="BI288" s="3">
        <v>72.900000000000006</v>
      </c>
      <c r="BJ288" s="3">
        <v>163.80000000000001</v>
      </c>
      <c r="BK288" s="3">
        <v>188.2</v>
      </c>
      <c r="BL288" s="3">
        <v>207.2</v>
      </c>
      <c r="BM288" s="3">
        <v>261.10000000000002</v>
      </c>
      <c r="BN288" s="3">
        <v>89.2</v>
      </c>
      <c r="BO288" s="3">
        <v>338.6</v>
      </c>
      <c r="BP288" s="3">
        <v>343.7</v>
      </c>
      <c r="BQ288" s="3">
        <v>103.6</v>
      </c>
      <c r="BR288" s="3">
        <v>64.5</v>
      </c>
      <c r="BS288" s="3">
        <v>100.9</v>
      </c>
      <c r="BT288" s="3">
        <v>162.69999999999999</v>
      </c>
      <c r="BU288" s="3">
        <v>116.5</v>
      </c>
      <c r="BV288" s="3">
        <v>157.69999999999999</v>
      </c>
      <c r="BW288" s="3">
        <v>209.9</v>
      </c>
      <c r="BX288" s="3">
        <v>421.5</v>
      </c>
      <c r="BY288" s="3">
        <v>99.1</v>
      </c>
      <c r="BZ288" s="3">
        <v>360.1</v>
      </c>
      <c r="CA288" s="3">
        <v>348.2</v>
      </c>
      <c r="CB288" s="3">
        <v>463.5</v>
      </c>
      <c r="CC288" s="3">
        <v>310</v>
      </c>
      <c r="CD288" s="3">
        <v>328.4</v>
      </c>
      <c r="CE288" s="3">
        <v>246.6</v>
      </c>
      <c r="CF288" s="3">
        <v>10.199999999999999</v>
      </c>
      <c r="CG288" s="3">
        <v>92.5</v>
      </c>
      <c r="CH288" s="3">
        <v>84.2</v>
      </c>
      <c r="CI288" s="3">
        <v>290.60000000000002</v>
      </c>
      <c r="CJ288" s="3">
        <v>161.5</v>
      </c>
      <c r="CK288" s="3">
        <v>184.6</v>
      </c>
      <c r="CL288" s="3">
        <v>431.8</v>
      </c>
      <c r="CM288" s="3">
        <v>210.8</v>
      </c>
      <c r="CN288" s="3">
        <v>186.8</v>
      </c>
    </row>
    <row r="289" spans="1:92" x14ac:dyDescent="0.25">
      <c r="A289" s="4">
        <v>40513</v>
      </c>
      <c r="B289" s="3">
        <v>221.6</v>
      </c>
      <c r="C289" s="3">
        <v>191.9</v>
      </c>
      <c r="D289" s="3">
        <v>219.7</v>
      </c>
      <c r="E289" s="3">
        <v>174.8</v>
      </c>
      <c r="F289" s="3">
        <v>255</v>
      </c>
      <c r="G289" s="3">
        <v>261.3</v>
      </c>
      <c r="H289" s="3">
        <v>211.8</v>
      </c>
      <c r="I289" s="3">
        <v>212.6</v>
      </c>
      <c r="J289" s="3">
        <v>136</v>
      </c>
      <c r="K289" s="3">
        <v>176.2</v>
      </c>
      <c r="L289" s="3">
        <v>212.1</v>
      </c>
      <c r="M289" s="3">
        <v>211.5</v>
      </c>
      <c r="N289" s="3">
        <v>211.4</v>
      </c>
      <c r="O289" s="3">
        <v>283.2</v>
      </c>
      <c r="P289" s="3">
        <v>172.4</v>
      </c>
      <c r="Q289" s="3">
        <v>227.3</v>
      </c>
      <c r="R289" s="3">
        <v>266.39999999999998</v>
      </c>
      <c r="S289" s="3">
        <v>244</v>
      </c>
      <c r="T289" s="3">
        <v>177</v>
      </c>
      <c r="U289" s="3">
        <v>215.9</v>
      </c>
      <c r="V289" s="3">
        <v>149.4</v>
      </c>
      <c r="W289" s="3">
        <v>231.2</v>
      </c>
      <c r="X289" s="3">
        <v>200.4</v>
      </c>
      <c r="Y289" s="3">
        <v>252.3</v>
      </c>
      <c r="Z289" s="3">
        <v>201</v>
      </c>
      <c r="AA289" s="3">
        <v>199.7</v>
      </c>
      <c r="AB289" s="3">
        <v>192.5</v>
      </c>
      <c r="AC289" s="3">
        <v>183.2</v>
      </c>
      <c r="AD289" s="3">
        <v>164.5</v>
      </c>
      <c r="AE289" s="3">
        <v>239.1</v>
      </c>
      <c r="AF289" s="3">
        <v>201.4</v>
      </c>
      <c r="AG289" s="3">
        <v>199.5</v>
      </c>
      <c r="AH289" s="3">
        <v>192.7</v>
      </c>
      <c r="AI289" s="3">
        <v>177.3</v>
      </c>
      <c r="AJ289" s="3">
        <v>277.10000000000002</v>
      </c>
      <c r="AK289" s="3">
        <v>343</v>
      </c>
      <c r="AL289" s="3">
        <v>272.7</v>
      </c>
      <c r="AM289" s="3">
        <v>267.7</v>
      </c>
      <c r="AN289" s="3">
        <v>295.8</v>
      </c>
      <c r="AO289" s="3">
        <v>152.80000000000001</v>
      </c>
      <c r="AP289" s="3">
        <v>215.9</v>
      </c>
      <c r="AQ289" s="3">
        <v>275.89999999999998</v>
      </c>
      <c r="AR289" s="3">
        <v>176</v>
      </c>
      <c r="AS289" s="3">
        <v>443.1</v>
      </c>
      <c r="AT289" s="3">
        <v>335.8</v>
      </c>
      <c r="AU289" s="3">
        <v>310.3</v>
      </c>
      <c r="AV289" s="3">
        <v>229</v>
      </c>
      <c r="AW289" s="3">
        <v>287.89999999999998</v>
      </c>
      <c r="AX289" s="3">
        <v>316.2</v>
      </c>
      <c r="AY289" s="3">
        <v>420.6</v>
      </c>
      <c r="AZ289" s="3">
        <v>356.1</v>
      </c>
      <c r="BA289" s="3">
        <v>206.6</v>
      </c>
      <c r="BB289" s="3">
        <v>361.9</v>
      </c>
      <c r="BC289" s="3">
        <v>289.3</v>
      </c>
      <c r="BD289" s="3">
        <v>238.1</v>
      </c>
      <c r="BE289" s="3">
        <v>296.8</v>
      </c>
      <c r="BF289" s="3">
        <v>471.5</v>
      </c>
      <c r="BG289" s="3">
        <v>209.7</v>
      </c>
      <c r="BH289" s="3">
        <v>191.9</v>
      </c>
      <c r="BI289" s="3">
        <v>74.099999999999994</v>
      </c>
      <c r="BJ289" s="3">
        <v>167.6</v>
      </c>
      <c r="BK289" s="3">
        <v>189</v>
      </c>
      <c r="BL289" s="3">
        <v>208.5</v>
      </c>
      <c r="BM289" s="3">
        <v>261.10000000000002</v>
      </c>
      <c r="BN289" s="3">
        <v>89</v>
      </c>
      <c r="BO289" s="3">
        <v>338.8</v>
      </c>
      <c r="BP289" s="3">
        <v>344.4</v>
      </c>
      <c r="BQ289" s="3">
        <v>102.8</v>
      </c>
      <c r="BR289" s="3">
        <v>61.8</v>
      </c>
      <c r="BS289" s="3">
        <v>99.9</v>
      </c>
      <c r="BT289" s="3">
        <v>162.1</v>
      </c>
      <c r="BU289" s="3">
        <v>114.5</v>
      </c>
      <c r="BV289" s="3">
        <v>157</v>
      </c>
      <c r="BW289" s="3">
        <v>211.4</v>
      </c>
      <c r="BX289" s="3">
        <v>422.3</v>
      </c>
      <c r="BY289" s="3">
        <v>97.9</v>
      </c>
      <c r="BZ289" s="3">
        <v>360.2</v>
      </c>
      <c r="CA289" s="3">
        <v>356.7</v>
      </c>
      <c r="CB289" s="3">
        <v>477.3</v>
      </c>
      <c r="CC289" s="3">
        <v>310.7</v>
      </c>
      <c r="CD289" s="3">
        <v>333.2</v>
      </c>
      <c r="CE289" s="3">
        <v>287.7</v>
      </c>
      <c r="CF289" s="3">
        <v>10.199999999999999</v>
      </c>
      <c r="CG289" s="3">
        <v>100.2</v>
      </c>
      <c r="CH289" s="3">
        <v>83.7</v>
      </c>
      <c r="CI289" s="3">
        <v>291.8</v>
      </c>
      <c r="CJ289" s="3">
        <v>165.3</v>
      </c>
      <c r="CK289" s="3">
        <v>184.6</v>
      </c>
      <c r="CL289" s="3">
        <v>431.3</v>
      </c>
      <c r="CM289" s="3">
        <v>210.6</v>
      </c>
      <c r="CN289" s="3">
        <v>187.1</v>
      </c>
    </row>
    <row r="290" spans="1:92" x14ac:dyDescent="0.25">
      <c r="A290" s="4">
        <v>40544</v>
      </c>
      <c r="B290" s="3">
        <v>221.7</v>
      </c>
      <c r="C290" s="3">
        <v>188</v>
      </c>
      <c r="D290" s="3">
        <v>219.1</v>
      </c>
      <c r="E290" s="3">
        <v>175.4</v>
      </c>
      <c r="F290" s="3">
        <v>261.2</v>
      </c>
      <c r="G290" s="3">
        <v>259.7</v>
      </c>
      <c r="H290" s="3">
        <v>201.9</v>
      </c>
      <c r="I290" s="3">
        <v>214.3</v>
      </c>
      <c r="J290" s="3">
        <v>135.6</v>
      </c>
      <c r="K290" s="3">
        <v>175.6</v>
      </c>
      <c r="L290" s="3">
        <v>219.1</v>
      </c>
      <c r="M290" s="3">
        <v>226.3</v>
      </c>
      <c r="N290" s="3">
        <v>209.9</v>
      </c>
      <c r="O290" s="3">
        <v>285.39999999999998</v>
      </c>
      <c r="P290" s="3">
        <v>175.2</v>
      </c>
      <c r="Q290" s="3">
        <v>223.8</v>
      </c>
      <c r="R290" s="3">
        <v>270.10000000000002</v>
      </c>
      <c r="S290" s="3">
        <v>245.7</v>
      </c>
      <c r="T290" s="3">
        <v>174.1</v>
      </c>
      <c r="U290" s="3">
        <v>221.6</v>
      </c>
      <c r="V290" s="3">
        <v>149.1</v>
      </c>
      <c r="W290" s="3">
        <v>238.1</v>
      </c>
      <c r="X290" s="3">
        <v>199.4</v>
      </c>
      <c r="Y290" s="3">
        <v>259.39999999999998</v>
      </c>
      <c r="Z290" s="3">
        <v>203.2</v>
      </c>
      <c r="AA290" s="3">
        <v>200.3</v>
      </c>
      <c r="AB290" s="3">
        <v>195.6</v>
      </c>
      <c r="AC290" s="3">
        <v>183.8</v>
      </c>
      <c r="AD290" s="3">
        <v>165.5</v>
      </c>
      <c r="AE290" s="3">
        <v>238</v>
      </c>
      <c r="AF290" s="3">
        <v>192.9</v>
      </c>
      <c r="AG290" s="3">
        <v>188.9</v>
      </c>
      <c r="AH290" s="3">
        <v>198.7</v>
      </c>
      <c r="AI290" s="3">
        <v>177.4</v>
      </c>
      <c r="AJ290" s="3">
        <v>280.39999999999998</v>
      </c>
      <c r="AK290" s="3">
        <v>344.6</v>
      </c>
      <c r="AL290" s="3">
        <v>275.3</v>
      </c>
      <c r="AM290" s="3">
        <v>273.3</v>
      </c>
      <c r="AN290" s="3">
        <v>301.2</v>
      </c>
      <c r="AO290" s="3">
        <v>158.1</v>
      </c>
      <c r="AP290" s="3">
        <v>225.6</v>
      </c>
      <c r="AQ290" s="3">
        <v>280.8</v>
      </c>
      <c r="AR290" s="3">
        <v>189.9</v>
      </c>
      <c r="AS290" s="3">
        <v>455.8</v>
      </c>
      <c r="AT290" s="3">
        <v>344.6</v>
      </c>
      <c r="AU290" s="3">
        <v>311.2</v>
      </c>
      <c r="AV290" s="3">
        <v>229.9</v>
      </c>
      <c r="AW290" s="3">
        <v>286.39999999999998</v>
      </c>
      <c r="AX290" s="3">
        <v>316.2</v>
      </c>
      <c r="AY290" s="3">
        <v>420.6</v>
      </c>
      <c r="AZ290" s="3">
        <v>362</v>
      </c>
      <c r="BA290" s="3">
        <v>209.7</v>
      </c>
      <c r="BB290" s="3">
        <v>358</v>
      </c>
      <c r="BC290" s="3">
        <v>291.89999999999998</v>
      </c>
      <c r="BD290" s="3">
        <v>240</v>
      </c>
      <c r="BE290" s="3">
        <v>298.2</v>
      </c>
      <c r="BF290" s="3">
        <v>469.7</v>
      </c>
      <c r="BG290" s="3">
        <v>197.8</v>
      </c>
      <c r="BH290" s="3">
        <v>186.4</v>
      </c>
      <c r="BI290" s="3">
        <v>73.2</v>
      </c>
      <c r="BJ290" s="3">
        <v>166.5</v>
      </c>
      <c r="BK290" s="3">
        <v>193.1</v>
      </c>
      <c r="BL290" s="3">
        <v>211.2</v>
      </c>
      <c r="BM290" s="3">
        <v>261.10000000000002</v>
      </c>
      <c r="BN290" s="3">
        <v>90.4</v>
      </c>
      <c r="BO290" s="3">
        <v>341.9</v>
      </c>
      <c r="BP290" s="3">
        <v>345.1</v>
      </c>
      <c r="BQ290" s="3">
        <v>98</v>
      </c>
      <c r="BR290" s="3">
        <v>57.3</v>
      </c>
      <c r="BS290" s="3">
        <v>94.9</v>
      </c>
      <c r="BT290" s="3">
        <v>159.6</v>
      </c>
      <c r="BU290" s="3">
        <v>109.4</v>
      </c>
      <c r="BV290" s="3">
        <v>155.69999999999999</v>
      </c>
      <c r="BW290" s="3">
        <v>213.8</v>
      </c>
      <c r="BX290" s="3">
        <v>425.1</v>
      </c>
      <c r="BY290" s="3">
        <v>99.9</v>
      </c>
      <c r="BZ290" s="3">
        <v>370.5</v>
      </c>
      <c r="CA290" s="3">
        <v>373.3</v>
      </c>
      <c r="CB290" s="3">
        <v>468</v>
      </c>
      <c r="CC290" s="3">
        <v>328.7</v>
      </c>
      <c r="CD290" s="3">
        <v>328.1</v>
      </c>
      <c r="CE290" s="3">
        <v>248.9</v>
      </c>
      <c r="CF290" s="3">
        <v>10.1</v>
      </c>
      <c r="CG290" s="3">
        <v>92</v>
      </c>
      <c r="CH290" s="3">
        <v>83.8</v>
      </c>
      <c r="CI290" s="3">
        <v>289.39999999999998</v>
      </c>
      <c r="CJ290" s="3">
        <v>165.1</v>
      </c>
      <c r="CK290" s="3">
        <v>186.3</v>
      </c>
      <c r="CL290" s="3">
        <v>432.6</v>
      </c>
      <c r="CM290" s="3">
        <v>211.6</v>
      </c>
      <c r="CN290" s="3">
        <v>188</v>
      </c>
    </row>
    <row r="291" spans="1:92" x14ac:dyDescent="0.25">
      <c r="A291" s="4">
        <v>40575</v>
      </c>
      <c r="B291" s="3">
        <v>223.9</v>
      </c>
      <c r="C291" s="3">
        <v>193.4</v>
      </c>
      <c r="D291" s="3">
        <v>227.3</v>
      </c>
      <c r="E291" s="3">
        <v>177.3</v>
      </c>
      <c r="F291" s="3">
        <v>271.8</v>
      </c>
      <c r="G291" s="3">
        <v>271.7</v>
      </c>
      <c r="H291" s="3">
        <v>209.3</v>
      </c>
      <c r="I291" s="3">
        <v>213.4</v>
      </c>
      <c r="J291" s="3">
        <v>136.19999999999999</v>
      </c>
      <c r="K291" s="3">
        <v>178.3</v>
      </c>
      <c r="L291" s="3">
        <v>222.8</v>
      </c>
      <c r="M291" s="3">
        <v>225.4</v>
      </c>
      <c r="N291" s="3">
        <v>217.9</v>
      </c>
      <c r="O291" s="3">
        <v>281.2</v>
      </c>
      <c r="P291" s="3">
        <v>166.6</v>
      </c>
      <c r="Q291" s="3">
        <v>228.7</v>
      </c>
      <c r="R291" s="3">
        <v>270</v>
      </c>
      <c r="S291" s="3">
        <v>240.6</v>
      </c>
      <c r="T291" s="3">
        <v>176.9</v>
      </c>
      <c r="U291" s="3">
        <v>215</v>
      </c>
      <c r="V291" s="3">
        <v>150.6</v>
      </c>
      <c r="W291" s="3">
        <v>242</v>
      </c>
      <c r="X291" s="3">
        <v>209.9</v>
      </c>
      <c r="Y291" s="3">
        <v>259.89999999999998</v>
      </c>
      <c r="Z291" s="3">
        <v>204</v>
      </c>
      <c r="AA291" s="3">
        <v>201.6</v>
      </c>
      <c r="AB291" s="3">
        <v>196</v>
      </c>
      <c r="AC291" s="3">
        <v>183.4</v>
      </c>
      <c r="AD291" s="3">
        <v>165</v>
      </c>
      <c r="AE291" s="3">
        <v>237.5</v>
      </c>
      <c r="AF291" s="3">
        <v>194.3</v>
      </c>
      <c r="AG291" s="3">
        <v>189.7</v>
      </c>
      <c r="AH291" s="3">
        <v>203.5</v>
      </c>
      <c r="AI291" s="3">
        <v>181.6</v>
      </c>
      <c r="AJ291" s="3">
        <v>281.2</v>
      </c>
      <c r="AK291" s="3">
        <v>346.6</v>
      </c>
      <c r="AL291" s="3">
        <v>276.8</v>
      </c>
      <c r="AM291" s="3">
        <v>273.60000000000002</v>
      </c>
      <c r="AN291" s="3">
        <v>302.5</v>
      </c>
      <c r="AO291" s="3">
        <v>156.30000000000001</v>
      </c>
      <c r="AP291" s="3">
        <v>223.5</v>
      </c>
      <c r="AQ291" s="3">
        <v>282</v>
      </c>
      <c r="AR291" s="3">
        <v>185</v>
      </c>
      <c r="AS291" s="3">
        <v>455.8</v>
      </c>
      <c r="AT291" s="3">
        <v>344.4</v>
      </c>
      <c r="AU291" s="3">
        <v>311.2</v>
      </c>
      <c r="AV291" s="3">
        <v>230.2</v>
      </c>
      <c r="AW291" s="3">
        <v>285.60000000000002</v>
      </c>
      <c r="AX291" s="3">
        <v>316.2</v>
      </c>
      <c r="AY291" s="3">
        <v>420.6</v>
      </c>
      <c r="AZ291" s="3">
        <v>362.2</v>
      </c>
      <c r="BA291" s="3">
        <v>211.3</v>
      </c>
      <c r="BB291" s="3">
        <v>359.1</v>
      </c>
      <c r="BC291" s="3">
        <v>294.39999999999998</v>
      </c>
      <c r="BD291" s="3">
        <v>243.6</v>
      </c>
      <c r="BE291" s="3">
        <v>299.3</v>
      </c>
      <c r="BF291" s="3">
        <v>452</v>
      </c>
      <c r="BG291" s="3">
        <v>204.6</v>
      </c>
      <c r="BH291" s="3">
        <v>192.5</v>
      </c>
      <c r="BI291" s="3">
        <v>74.5</v>
      </c>
      <c r="BJ291" s="3">
        <v>171.2</v>
      </c>
      <c r="BK291" s="3">
        <v>192.7</v>
      </c>
      <c r="BL291" s="3">
        <v>213.1</v>
      </c>
      <c r="BM291" s="3">
        <v>261.10000000000002</v>
      </c>
      <c r="BN291" s="3">
        <v>91.5</v>
      </c>
      <c r="BO291" s="3">
        <v>342</v>
      </c>
      <c r="BP291" s="3">
        <v>345.6</v>
      </c>
      <c r="BQ291" s="3">
        <v>103.6</v>
      </c>
      <c r="BR291" s="3">
        <v>64.400000000000006</v>
      </c>
      <c r="BS291" s="3">
        <v>101.8</v>
      </c>
      <c r="BT291" s="3">
        <v>165.8</v>
      </c>
      <c r="BU291" s="3">
        <v>114</v>
      </c>
      <c r="BV291" s="3">
        <v>160.5</v>
      </c>
      <c r="BW291" s="3">
        <v>215.2</v>
      </c>
      <c r="BX291" s="3">
        <v>425.8</v>
      </c>
      <c r="BY291" s="3">
        <v>101</v>
      </c>
      <c r="BZ291" s="3">
        <v>371.1</v>
      </c>
      <c r="CA291" s="3">
        <v>377.7</v>
      </c>
      <c r="CB291" s="3">
        <v>477.2</v>
      </c>
      <c r="CC291" s="3">
        <v>330.6</v>
      </c>
      <c r="CD291" s="3">
        <v>337.8</v>
      </c>
      <c r="CE291" s="3">
        <v>252.2</v>
      </c>
      <c r="CF291" s="3">
        <v>10.1</v>
      </c>
      <c r="CG291" s="3">
        <v>93.3</v>
      </c>
      <c r="CH291" s="3">
        <v>84.1</v>
      </c>
      <c r="CI291" s="3">
        <v>303.10000000000002</v>
      </c>
      <c r="CJ291" s="3">
        <v>170.7</v>
      </c>
      <c r="CK291" s="3">
        <v>186.3</v>
      </c>
      <c r="CL291" s="3">
        <v>434</v>
      </c>
      <c r="CM291" s="3">
        <v>212.3</v>
      </c>
      <c r="CN291" s="3">
        <v>188.7</v>
      </c>
    </row>
    <row r="292" spans="1:92" x14ac:dyDescent="0.25">
      <c r="A292" s="4">
        <v>40603</v>
      </c>
      <c r="B292" s="3">
        <v>223.4</v>
      </c>
      <c r="C292" s="3">
        <v>188.8</v>
      </c>
      <c r="D292" s="3">
        <v>224.2</v>
      </c>
      <c r="E292" s="3">
        <v>176.6</v>
      </c>
      <c r="F292" s="3">
        <v>281.10000000000002</v>
      </c>
      <c r="G292" s="3">
        <v>278.39999999999998</v>
      </c>
      <c r="H292" s="3">
        <v>212.4</v>
      </c>
      <c r="I292" s="3">
        <v>210.6</v>
      </c>
      <c r="J292" s="3">
        <v>136.30000000000001</v>
      </c>
      <c r="K292" s="3">
        <v>176.4</v>
      </c>
      <c r="L292" s="3">
        <v>223.1</v>
      </c>
      <c r="M292" s="3">
        <v>227.2</v>
      </c>
      <c r="N292" s="3">
        <v>216.9</v>
      </c>
      <c r="O292" s="3">
        <v>278.8</v>
      </c>
      <c r="P292" s="3">
        <v>178.2</v>
      </c>
      <c r="Q292" s="3">
        <v>227.7</v>
      </c>
      <c r="R292" s="3">
        <v>271.89999999999998</v>
      </c>
      <c r="S292" s="3">
        <v>238.1</v>
      </c>
      <c r="T292" s="3">
        <v>174.2</v>
      </c>
      <c r="U292" s="3">
        <v>217.5</v>
      </c>
      <c r="V292" s="3">
        <v>151</v>
      </c>
      <c r="W292" s="3">
        <v>239.9</v>
      </c>
      <c r="X292" s="3">
        <v>190.8</v>
      </c>
      <c r="Y292" s="3">
        <v>260.60000000000002</v>
      </c>
      <c r="Z292" s="3">
        <v>204.8</v>
      </c>
      <c r="AA292" s="3">
        <v>197</v>
      </c>
      <c r="AB292" s="3">
        <v>200.4</v>
      </c>
      <c r="AC292" s="3">
        <v>181.7</v>
      </c>
      <c r="AD292" s="3">
        <v>164.1</v>
      </c>
      <c r="AE292" s="3">
        <v>232.6</v>
      </c>
      <c r="AF292" s="3">
        <v>186</v>
      </c>
      <c r="AG292" s="3">
        <v>180.1</v>
      </c>
      <c r="AH292" s="3">
        <v>206.2</v>
      </c>
      <c r="AI292" s="3">
        <v>175.8</v>
      </c>
      <c r="AJ292" s="3">
        <v>281.60000000000002</v>
      </c>
      <c r="AK292" s="3">
        <v>347</v>
      </c>
      <c r="AL292" s="3">
        <v>277.5</v>
      </c>
      <c r="AM292" s="3">
        <v>274.60000000000002</v>
      </c>
      <c r="AN292" s="3">
        <v>303.10000000000002</v>
      </c>
      <c r="AO292" s="3">
        <v>158</v>
      </c>
      <c r="AP292" s="3">
        <v>225.1</v>
      </c>
      <c r="AQ292" s="3">
        <v>282.5</v>
      </c>
      <c r="AR292" s="3">
        <v>187.5</v>
      </c>
      <c r="AS292" s="3">
        <v>456</v>
      </c>
      <c r="AT292" s="3">
        <v>344.1</v>
      </c>
      <c r="AU292" s="3">
        <v>311.60000000000002</v>
      </c>
      <c r="AV292" s="3">
        <v>230.8</v>
      </c>
      <c r="AW292" s="3">
        <v>283.60000000000002</v>
      </c>
      <c r="AX292" s="3">
        <v>316.2</v>
      </c>
      <c r="AY292" s="3">
        <v>420.6</v>
      </c>
      <c r="AZ292" s="3">
        <v>362</v>
      </c>
      <c r="BA292" s="3">
        <v>212.3</v>
      </c>
      <c r="BB292" s="3">
        <v>361.6</v>
      </c>
      <c r="BC292" s="3">
        <v>293.89999999999998</v>
      </c>
      <c r="BD292" s="3">
        <v>245.3</v>
      </c>
      <c r="BE292" s="3">
        <v>300.7</v>
      </c>
      <c r="BF292" s="3">
        <v>485.9</v>
      </c>
      <c r="BG292" s="3">
        <v>214.6</v>
      </c>
      <c r="BH292" s="3">
        <v>192.8</v>
      </c>
      <c r="BI292" s="3">
        <v>74.7</v>
      </c>
      <c r="BJ292" s="3">
        <v>173.3</v>
      </c>
      <c r="BK292" s="3">
        <v>194.6</v>
      </c>
      <c r="BL292" s="3">
        <v>211.8</v>
      </c>
      <c r="BM292" s="3">
        <v>261.10000000000002</v>
      </c>
      <c r="BN292" s="3">
        <v>91.4</v>
      </c>
      <c r="BO292" s="3">
        <v>342.6</v>
      </c>
      <c r="BP292" s="3">
        <v>346.6</v>
      </c>
      <c r="BQ292" s="3">
        <v>103.3</v>
      </c>
      <c r="BR292" s="3">
        <v>68.099999999999994</v>
      </c>
      <c r="BS292" s="3">
        <v>102.5</v>
      </c>
      <c r="BT292" s="3">
        <v>166.8</v>
      </c>
      <c r="BU292" s="3">
        <v>115.3</v>
      </c>
      <c r="BV292" s="3">
        <v>162.30000000000001</v>
      </c>
      <c r="BW292" s="3">
        <v>215.3</v>
      </c>
      <c r="BX292" s="3">
        <v>426.3</v>
      </c>
      <c r="BY292" s="3">
        <v>102.5</v>
      </c>
      <c r="BZ292" s="3">
        <v>371.5</v>
      </c>
      <c r="CA292" s="3">
        <v>388.4</v>
      </c>
      <c r="CB292" s="3">
        <v>490.9</v>
      </c>
      <c r="CC292" s="3">
        <v>332.6</v>
      </c>
      <c r="CD292" s="3">
        <v>338.3</v>
      </c>
      <c r="CE292" s="3">
        <v>255</v>
      </c>
      <c r="CF292" s="3">
        <v>9.9</v>
      </c>
      <c r="CG292" s="3">
        <v>91.2</v>
      </c>
      <c r="CH292" s="3">
        <v>84</v>
      </c>
      <c r="CI292" s="3">
        <v>304.3</v>
      </c>
      <c r="CJ292" s="3">
        <v>169.6</v>
      </c>
      <c r="CK292" s="3">
        <v>186.3</v>
      </c>
      <c r="CL292" s="3">
        <v>435.8</v>
      </c>
      <c r="CM292" s="3">
        <v>212.4</v>
      </c>
      <c r="CN292" s="3">
        <v>189.3</v>
      </c>
    </row>
    <row r="293" spans="1:92" x14ac:dyDescent="0.25">
      <c r="A293" s="4">
        <v>40634</v>
      </c>
      <c r="B293" s="3">
        <v>222</v>
      </c>
      <c r="C293" s="3">
        <v>188.7</v>
      </c>
      <c r="D293" s="3">
        <v>229.6</v>
      </c>
      <c r="E293" s="3">
        <v>176.3</v>
      </c>
      <c r="F293" s="3">
        <v>286.3</v>
      </c>
      <c r="G293" s="3">
        <v>277.60000000000002</v>
      </c>
      <c r="H293" s="3">
        <v>209.3</v>
      </c>
      <c r="I293" s="3">
        <v>213.2</v>
      </c>
      <c r="J293" s="3">
        <v>137.19999999999999</v>
      </c>
      <c r="K293" s="3">
        <v>176.6</v>
      </c>
      <c r="L293" s="3">
        <v>220.6</v>
      </c>
      <c r="M293" s="3">
        <v>219</v>
      </c>
      <c r="N293" s="3">
        <v>219.5</v>
      </c>
      <c r="O293" s="3">
        <v>281.89999999999998</v>
      </c>
      <c r="P293" s="3">
        <v>180</v>
      </c>
      <c r="Q293" s="3">
        <v>225.2</v>
      </c>
      <c r="R293" s="3">
        <v>271</v>
      </c>
      <c r="S293" s="3">
        <v>238.6</v>
      </c>
      <c r="T293" s="3">
        <v>175</v>
      </c>
      <c r="U293" s="3">
        <v>222.4</v>
      </c>
      <c r="V293" s="3">
        <v>156.9</v>
      </c>
      <c r="W293" s="3">
        <v>239.3</v>
      </c>
      <c r="X293" s="3">
        <v>200.8</v>
      </c>
      <c r="Y293" s="3">
        <v>261.7</v>
      </c>
      <c r="Z293" s="3">
        <v>206</v>
      </c>
      <c r="AA293" s="3">
        <v>196.8</v>
      </c>
      <c r="AB293" s="3">
        <v>202.3</v>
      </c>
      <c r="AC293" s="3">
        <v>182.4</v>
      </c>
      <c r="AD293" s="3">
        <v>164.3</v>
      </c>
      <c r="AE293" s="3">
        <v>235.8</v>
      </c>
      <c r="AF293" s="3">
        <v>181.6</v>
      </c>
      <c r="AG293" s="3">
        <v>174.7</v>
      </c>
      <c r="AH293" s="3">
        <v>209.4</v>
      </c>
      <c r="AI293" s="3">
        <v>175.7</v>
      </c>
      <c r="AJ293" s="3">
        <v>282.89999999999998</v>
      </c>
      <c r="AK293" s="3">
        <v>347.6</v>
      </c>
      <c r="AL293" s="3">
        <v>277.89999999999998</v>
      </c>
      <c r="AM293" s="3">
        <v>279.3</v>
      </c>
      <c r="AN293" s="3">
        <v>307.39999999999998</v>
      </c>
      <c r="AO293" s="3">
        <v>162.6</v>
      </c>
      <c r="AP293" s="3">
        <v>230.8</v>
      </c>
      <c r="AQ293" s="3">
        <v>285.89999999999998</v>
      </c>
      <c r="AR293" s="3">
        <v>195.3</v>
      </c>
      <c r="AS293" s="3">
        <v>483.7</v>
      </c>
      <c r="AT293" s="3">
        <v>366.7</v>
      </c>
      <c r="AU293" s="3">
        <v>315.39999999999998</v>
      </c>
      <c r="AV293" s="3">
        <v>231.7</v>
      </c>
      <c r="AW293" s="3">
        <v>282</v>
      </c>
      <c r="AX293" s="3">
        <v>316.8</v>
      </c>
      <c r="AY293" s="3">
        <v>439.7</v>
      </c>
      <c r="AZ293" s="3">
        <v>362.3</v>
      </c>
      <c r="BA293" s="3">
        <v>212.8</v>
      </c>
      <c r="BB293" s="3">
        <v>355.1</v>
      </c>
      <c r="BC293" s="3">
        <v>294.89999999999998</v>
      </c>
      <c r="BD293" s="3">
        <v>245.3</v>
      </c>
      <c r="BE293" s="3">
        <v>300.7</v>
      </c>
      <c r="BF293" s="3">
        <v>502.9</v>
      </c>
      <c r="BG293" s="3">
        <v>207.5</v>
      </c>
      <c r="BH293" s="3">
        <v>191.8</v>
      </c>
      <c r="BI293" s="3">
        <v>74.3</v>
      </c>
      <c r="BJ293" s="3">
        <v>171.7</v>
      </c>
      <c r="BK293" s="3">
        <v>192.8</v>
      </c>
      <c r="BL293" s="3">
        <v>212.3</v>
      </c>
      <c r="BM293" s="3">
        <v>288.39999999999998</v>
      </c>
      <c r="BN293" s="3">
        <v>91.7</v>
      </c>
      <c r="BO293" s="3">
        <v>343.2</v>
      </c>
      <c r="BP293" s="3">
        <v>345.4</v>
      </c>
      <c r="BQ293" s="3">
        <v>105.8</v>
      </c>
      <c r="BR293" s="3">
        <v>70.400000000000006</v>
      </c>
      <c r="BS293" s="3">
        <v>102.9</v>
      </c>
      <c r="BT293" s="3">
        <v>169.3</v>
      </c>
      <c r="BU293" s="3">
        <v>116.6</v>
      </c>
      <c r="BV293" s="3">
        <v>162.1</v>
      </c>
      <c r="BW293" s="3">
        <v>214.7</v>
      </c>
      <c r="BX293" s="3">
        <v>432.8</v>
      </c>
      <c r="BY293" s="3">
        <v>104.1</v>
      </c>
      <c r="BZ293" s="3">
        <v>372</v>
      </c>
      <c r="CA293" s="3">
        <v>393.1</v>
      </c>
      <c r="CB293" s="3">
        <v>503</v>
      </c>
      <c r="CC293" s="3">
        <v>336.4</v>
      </c>
      <c r="CD293" s="3">
        <v>342.3</v>
      </c>
      <c r="CE293" s="3">
        <v>284.39999999999998</v>
      </c>
      <c r="CF293" s="3">
        <v>9.8000000000000007</v>
      </c>
      <c r="CG293" s="3">
        <v>96</v>
      </c>
      <c r="CH293" s="3">
        <v>83.2</v>
      </c>
      <c r="CI293" s="3">
        <v>307.39999999999998</v>
      </c>
      <c r="CJ293" s="3">
        <v>169.5</v>
      </c>
      <c r="CK293" s="3">
        <v>187.4</v>
      </c>
      <c r="CL293" s="3">
        <v>439.2</v>
      </c>
      <c r="CM293" s="3">
        <v>212.6</v>
      </c>
      <c r="CN293" s="3">
        <v>188.5</v>
      </c>
    </row>
    <row r="294" spans="1:92" x14ac:dyDescent="0.25">
      <c r="A294" s="4">
        <v>40664</v>
      </c>
      <c r="B294" s="3">
        <v>220.9</v>
      </c>
      <c r="C294" s="3">
        <v>189.4</v>
      </c>
      <c r="D294" s="3">
        <v>232</v>
      </c>
      <c r="E294" s="3">
        <v>174.9</v>
      </c>
      <c r="F294" s="3">
        <v>298.7</v>
      </c>
      <c r="G294" s="3">
        <v>300.2</v>
      </c>
      <c r="H294" s="3">
        <v>211.4</v>
      </c>
      <c r="I294" s="3">
        <v>214.4</v>
      </c>
      <c r="J294" s="3">
        <v>138.6</v>
      </c>
      <c r="K294" s="3">
        <v>177.8</v>
      </c>
      <c r="L294" s="3">
        <v>228</v>
      </c>
      <c r="M294" s="3">
        <v>229.8</v>
      </c>
      <c r="N294" s="3">
        <v>223.8</v>
      </c>
      <c r="O294" s="3">
        <v>296</v>
      </c>
      <c r="P294" s="3">
        <v>188.8</v>
      </c>
      <c r="Q294" s="3">
        <v>221.5</v>
      </c>
      <c r="R294" s="3">
        <v>272.60000000000002</v>
      </c>
      <c r="S294" s="3">
        <v>244</v>
      </c>
      <c r="T294" s="3">
        <v>174.2</v>
      </c>
      <c r="U294" s="3">
        <v>215.3</v>
      </c>
      <c r="V294" s="3">
        <v>158.9</v>
      </c>
      <c r="W294" s="3">
        <v>242</v>
      </c>
      <c r="X294" s="3">
        <v>205.1</v>
      </c>
      <c r="Y294" s="3">
        <v>262.5</v>
      </c>
      <c r="Z294" s="3">
        <v>211.3</v>
      </c>
      <c r="AA294" s="3">
        <v>201</v>
      </c>
      <c r="AB294" s="3">
        <v>208.1</v>
      </c>
      <c r="AC294" s="3">
        <v>184.2</v>
      </c>
      <c r="AD294" s="3">
        <v>166.5</v>
      </c>
      <c r="AE294" s="3">
        <v>235.5</v>
      </c>
      <c r="AF294" s="3">
        <v>189.1</v>
      </c>
      <c r="AG294" s="3">
        <v>182</v>
      </c>
      <c r="AH294" s="3">
        <v>217.6</v>
      </c>
      <c r="AI294" s="3">
        <v>178.7</v>
      </c>
      <c r="AJ294" s="3">
        <v>284.10000000000002</v>
      </c>
      <c r="AK294" s="3">
        <v>350</v>
      </c>
      <c r="AL294" s="3">
        <v>279</v>
      </c>
      <c r="AM294" s="3">
        <v>282.5</v>
      </c>
      <c r="AN294" s="3">
        <v>308.39999999999998</v>
      </c>
      <c r="AO294" s="3">
        <v>169.6</v>
      </c>
      <c r="AP294" s="3">
        <v>231.4</v>
      </c>
      <c r="AQ294" s="3">
        <v>286.89999999999998</v>
      </c>
      <c r="AR294" s="3">
        <v>195.6</v>
      </c>
      <c r="AS294" s="3">
        <v>484.4</v>
      </c>
      <c r="AT294" s="3">
        <v>366.9</v>
      </c>
      <c r="AU294" s="3">
        <v>315.60000000000002</v>
      </c>
      <c r="AV294" s="3">
        <v>231.8</v>
      </c>
      <c r="AW294" s="3">
        <v>281.60000000000002</v>
      </c>
      <c r="AX294" s="3">
        <v>316.8</v>
      </c>
      <c r="AY294" s="3">
        <v>439.7</v>
      </c>
      <c r="AZ294" s="3">
        <v>361.8</v>
      </c>
      <c r="BA294" s="3">
        <v>214.2</v>
      </c>
      <c r="BB294" s="3">
        <v>352</v>
      </c>
      <c r="BC294" s="3">
        <v>291.10000000000002</v>
      </c>
      <c r="BD294" s="3">
        <v>245.3</v>
      </c>
      <c r="BE294" s="3">
        <v>300.7</v>
      </c>
      <c r="BF294" s="3">
        <v>470.2</v>
      </c>
      <c r="BG294" s="3">
        <v>208.6</v>
      </c>
      <c r="BH294" s="3">
        <v>196.1</v>
      </c>
      <c r="BI294" s="3">
        <v>74.7</v>
      </c>
      <c r="BJ294" s="3">
        <v>172.3</v>
      </c>
      <c r="BK294" s="3">
        <v>190.6</v>
      </c>
      <c r="BL294" s="3">
        <v>215</v>
      </c>
      <c r="BM294" s="3">
        <v>288.39999999999998</v>
      </c>
      <c r="BN294" s="3">
        <v>92.7</v>
      </c>
      <c r="BO294" s="3">
        <v>344.1</v>
      </c>
      <c r="BP294" s="3">
        <v>346.4</v>
      </c>
      <c r="BQ294" s="3">
        <v>106.9</v>
      </c>
      <c r="BR294" s="3">
        <v>70.599999999999994</v>
      </c>
      <c r="BS294" s="3">
        <v>101.5</v>
      </c>
      <c r="BT294" s="3">
        <v>170.6</v>
      </c>
      <c r="BU294" s="3">
        <v>117.8</v>
      </c>
      <c r="BV294" s="3">
        <v>162.80000000000001</v>
      </c>
      <c r="BW294" s="3">
        <v>215.3</v>
      </c>
      <c r="BX294" s="3">
        <v>433.3</v>
      </c>
      <c r="BY294" s="3">
        <v>104.1</v>
      </c>
      <c r="BZ294" s="3">
        <v>372.9</v>
      </c>
      <c r="CA294" s="3">
        <v>400</v>
      </c>
      <c r="CB294" s="3">
        <v>511</v>
      </c>
      <c r="CC294" s="3">
        <v>334.6</v>
      </c>
      <c r="CD294" s="3">
        <v>344.1</v>
      </c>
      <c r="CE294" s="3">
        <v>270</v>
      </c>
      <c r="CF294" s="3">
        <v>9.8000000000000007</v>
      </c>
      <c r="CG294" s="3">
        <v>90.7</v>
      </c>
      <c r="CH294" s="3">
        <v>83.8</v>
      </c>
      <c r="CI294" s="3">
        <v>305</v>
      </c>
      <c r="CJ294" s="3">
        <v>168.3</v>
      </c>
      <c r="CK294" s="3">
        <v>187.4</v>
      </c>
      <c r="CL294" s="3">
        <v>438.4</v>
      </c>
      <c r="CM294" s="3">
        <v>213</v>
      </c>
      <c r="CN294" s="3">
        <v>189.9</v>
      </c>
    </row>
    <row r="295" spans="1:92" x14ac:dyDescent="0.25">
      <c r="A295" s="4">
        <v>40695</v>
      </c>
      <c r="B295" s="3">
        <v>225.8</v>
      </c>
      <c r="C295" s="3">
        <v>194.1</v>
      </c>
      <c r="D295" s="3">
        <v>234.8</v>
      </c>
      <c r="E295" s="3">
        <v>181.1</v>
      </c>
      <c r="F295" s="3">
        <v>303.3</v>
      </c>
      <c r="G295" s="3">
        <v>310</v>
      </c>
      <c r="H295" s="3">
        <v>211.8</v>
      </c>
      <c r="I295" s="3">
        <v>215.3</v>
      </c>
      <c r="J295" s="3">
        <v>139.9</v>
      </c>
      <c r="K295" s="3">
        <v>179.2</v>
      </c>
      <c r="L295" s="3">
        <v>230.8</v>
      </c>
      <c r="M295" s="3">
        <v>231.9</v>
      </c>
      <c r="N295" s="3">
        <v>227.2</v>
      </c>
      <c r="O295" s="3">
        <v>305.2</v>
      </c>
      <c r="P295" s="3">
        <v>190.2</v>
      </c>
      <c r="Q295" s="3">
        <v>226.2</v>
      </c>
      <c r="R295" s="3">
        <v>270.8</v>
      </c>
      <c r="S295" s="3">
        <v>250.3</v>
      </c>
      <c r="T295" s="3">
        <v>175.1</v>
      </c>
      <c r="U295" s="3">
        <v>223.5</v>
      </c>
      <c r="V295" s="3">
        <v>156.19999999999999</v>
      </c>
      <c r="W295" s="3">
        <v>237.8</v>
      </c>
      <c r="X295" s="3">
        <v>205.4</v>
      </c>
      <c r="Y295" s="3">
        <v>262.7</v>
      </c>
      <c r="Z295" s="3">
        <v>213</v>
      </c>
      <c r="AA295" s="3">
        <v>207.6</v>
      </c>
      <c r="AB295" s="3">
        <v>206.6</v>
      </c>
      <c r="AC295" s="3">
        <v>184.1</v>
      </c>
      <c r="AD295" s="3">
        <v>166.1</v>
      </c>
      <c r="AE295" s="3">
        <v>236.7</v>
      </c>
      <c r="AF295" s="3">
        <v>189.8</v>
      </c>
      <c r="AG295" s="3">
        <v>182.2</v>
      </c>
      <c r="AH295" s="3">
        <v>222.4</v>
      </c>
      <c r="AI295" s="3">
        <v>183.4</v>
      </c>
      <c r="AJ295" s="3">
        <v>284.89999999999998</v>
      </c>
      <c r="AK295" s="3">
        <v>350.7</v>
      </c>
      <c r="AL295" s="3">
        <v>279.7</v>
      </c>
      <c r="AM295" s="3">
        <v>281.89999999999998</v>
      </c>
      <c r="AN295" s="3">
        <v>308.10000000000002</v>
      </c>
      <c r="AO295" s="3">
        <v>168.3</v>
      </c>
      <c r="AP295" s="3">
        <v>230.4</v>
      </c>
      <c r="AQ295" s="3">
        <v>287.5</v>
      </c>
      <c r="AR295" s="3">
        <v>193.3</v>
      </c>
      <c r="AS295" s="3">
        <v>485</v>
      </c>
      <c r="AT295" s="3">
        <v>367.3</v>
      </c>
      <c r="AU295" s="3">
        <v>315.7</v>
      </c>
      <c r="AV295" s="3">
        <v>232.7</v>
      </c>
      <c r="AW295" s="3">
        <v>281.5</v>
      </c>
      <c r="AX295" s="3">
        <v>316.8</v>
      </c>
      <c r="AY295" s="3">
        <v>439.7</v>
      </c>
      <c r="AZ295" s="3">
        <v>361.8</v>
      </c>
      <c r="BA295" s="3">
        <v>213.6</v>
      </c>
      <c r="BB295" s="3">
        <v>353.5</v>
      </c>
      <c r="BC295" s="3">
        <v>290.5</v>
      </c>
      <c r="BD295" s="3">
        <v>245.3</v>
      </c>
      <c r="BE295" s="3">
        <v>300.7</v>
      </c>
      <c r="BF295" s="3">
        <v>480.8</v>
      </c>
      <c r="BG295" s="3">
        <v>214</v>
      </c>
      <c r="BH295" s="3">
        <v>192.5</v>
      </c>
      <c r="BI295" s="3">
        <v>74.099999999999994</v>
      </c>
      <c r="BJ295" s="3">
        <v>170.2</v>
      </c>
      <c r="BK295" s="3">
        <v>194.4</v>
      </c>
      <c r="BL295" s="3">
        <v>217.9</v>
      </c>
      <c r="BM295" s="3">
        <v>288.39999999999998</v>
      </c>
      <c r="BN295" s="3">
        <v>91.6</v>
      </c>
      <c r="BO295" s="3">
        <v>344.7</v>
      </c>
      <c r="BP295" s="3">
        <v>346.1</v>
      </c>
      <c r="BQ295" s="3">
        <v>106.5</v>
      </c>
      <c r="BR295" s="3">
        <v>68</v>
      </c>
      <c r="BS295" s="3">
        <v>102.7</v>
      </c>
      <c r="BT295" s="3">
        <v>170.2</v>
      </c>
      <c r="BU295" s="3">
        <v>115.4</v>
      </c>
      <c r="BV295" s="3">
        <v>162</v>
      </c>
      <c r="BW295" s="3">
        <v>216.5</v>
      </c>
      <c r="BX295" s="3">
        <v>434.4</v>
      </c>
      <c r="BY295" s="3">
        <v>101.4</v>
      </c>
      <c r="BZ295" s="3">
        <v>374.2</v>
      </c>
      <c r="CA295" s="3">
        <v>397.6</v>
      </c>
      <c r="CB295" s="3">
        <v>522.9</v>
      </c>
      <c r="CC295" s="3">
        <v>335.9</v>
      </c>
      <c r="CD295" s="3">
        <v>345.1</v>
      </c>
      <c r="CE295" s="3">
        <v>279.39999999999998</v>
      </c>
      <c r="CF295" s="3">
        <v>9.6</v>
      </c>
      <c r="CG295" s="3">
        <v>88.7</v>
      </c>
      <c r="CH295" s="3">
        <v>82.2</v>
      </c>
      <c r="CI295" s="3">
        <v>300.89999999999998</v>
      </c>
      <c r="CJ295" s="3">
        <v>167.2</v>
      </c>
      <c r="CK295" s="3">
        <v>187.4</v>
      </c>
      <c r="CL295" s="3">
        <v>439.4</v>
      </c>
      <c r="CM295" s="3">
        <v>213.7</v>
      </c>
      <c r="CN295" s="3">
        <v>190.2</v>
      </c>
    </row>
    <row r="296" spans="1:92" x14ac:dyDescent="0.25">
      <c r="A296" s="4">
        <v>40725</v>
      </c>
      <c r="B296" s="3">
        <v>227.4</v>
      </c>
      <c r="C296" s="3">
        <v>197.7</v>
      </c>
      <c r="D296" s="3">
        <v>236.8</v>
      </c>
      <c r="E296" s="3">
        <v>181.4</v>
      </c>
      <c r="F296" s="3">
        <v>304</v>
      </c>
      <c r="G296" s="3">
        <v>309.8</v>
      </c>
      <c r="H296" s="3">
        <v>215.3</v>
      </c>
      <c r="I296" s="3">
        <v>215</v>
      </c>
      <c r="J296" s="3">
        <v>137.30000000000001</v>
      </c>
      <c r="K296" s="3">
        <v>181.8</v>
      </c>
      <c r="L296" s="3">
        <v>227.9</v>
      </c>
      <c r="M296" s="3">
        <v>232.3</v>
      </c>
      <c r="N296" s="3">
        <v>221.3</v>
      </c>
      <c r="O296" s="3">
        <v>305.39999999999998</v>
      </c>
      <c r="P296" s="3">
        <v>193.5</v>
      </c>
      <c r="Q296" s="3">
        <v>236.2</v>
      </c>
      <c r="R296" s="3">
        <v>271.8</v>
      </c>
      <c r="S296" s="3">
        <v>250.1</v>
      </c>
      <c r="T296" s="3">
        <v>175.6</v>
      </c>
      <c r="U296" s="3">
        <v>219.9</v>
      </c>
      <c r="V296" s="3">
        <v>162.9</v>
      </c>
      <c r="W296" s="3">
        <v>239.6</v>
      </c>
      <c r="X296" s="3">
        <v>204.5</v>
      </c>
      <c r="Y296" s="3">
        <v>261.2</v>
      </c>
      <c r="Z296" s="3">
        <v>212</v>
      </c>
      <c r="AA296" s="3">
        <v>200.6</v>
      </c>
      <c r="AB296" s="3">
        <v>209.5</v>
      </c>
      <c r="AC296" s="3">
        <v>186.8</v>
      </c>
      <c r="AD296" s="3">
        <v>168.1</v>
      </c>
      <c r="AE296" s="3">
        <v>241.9</v>
      </c>
      <c r="AF296" s="3">
        <v>182.9</v>
      </c>
      <c r="AG296" s="3">
        <v>174.4</v>
      </c>
      <c r="AH296" s="3">
        <v>223.1</v>
      </c>
      <c r="AI296" s="3">
        <v>184.7</v>
      </c>
      <c r="AJ296" s="3">
        <v>285.3</v>
      </c>
      <c r="AK296" s="3">
        <v>351.1</v>
      </c>
      <c r="AL296" s="3">
        <v>280.10000000000002</v>
      </c>
      <c r="AM296" s="3">
        <v>282.60000000000002</v>
      </c>
      <c r="AN296" s="3">
        <v>309</v>
      </c>
      <c r="AO296" s="3">
        <v>168.5</v>
      </c>
      <c r="AP296" s="3">
        <v>231.5</v>
      </c>
      <c r="AQ296" s="3">
        <v>287.7</v>
      </c>
      <c r="AR296" s="3">
        <v>195.3</v>
      </c>
      <c r="AS296" s="3">
        <v>486.3</v>
      </c>
      <c r="AT296" s="3">
        <v>367.6</v>
      </c>
      <c r="AU296" s="3">
        <v>318</v>
      </c>
      <c r="AV296" s="3">
        <v>232.5</v>
      </c>
      <c r="AW296" s="3">
        <v>282.3</v>
      </c>
      <c r="AX296" s="3">
        <v>316.8</v>
      </c>
      <c r="AY296" s="3">
        <v>439.7</v>
      </c>
      <c r="AZ296" s="3">
        <v>362</v>
      </c>
      <c r="BA296" s="3">
        <v>215.9</v>
      </c>
      <c r="BB296" s="3">
        <v>351.3</v>
      </c>
      <c r="BC296" s="3">
        <v>290.89999999999998</v>
      </c>
      <c r="BD296" s="3">
        <v>245.3</v>
      </c>
      <c r="BE296" s="3">
        <v>300.7</v>
      </c>
      <c r="BF296" s="3">
        <v>468</v>
      </c>
      <c r="BG296" s="3">
        <v>204.1</v>
      </c>
      <c r="BH296" s="3">
        <v>192.8</v>
      </c>
      <c r="BI296" s="3">
        <v>75.5</v>
      </c>
      <c r="BJ296" s="3">
        <v>170.9</v>
      </c>
      <c r="BK296" s="3">
        <v>196.5</v>
      </c>
      <c r="BL296" s="3">
        <v>216.5</v>
      </c>
      <c r="BM296" s="3">
        <v>288.39999999999998</v>
      </c>
      <c r="BN296" s="3">
        <v>92.3</v>
      </c>
      <c r="BO296" s="3">
        <v>345.2</v>
      </c>
      <c r="BP296" s="3">
        <v>345.9</v>
      </c>
      <c r="BQ296" s="3">
        <v>106.2</v>
      </c>
      <c r="BR296" s="3">
        <v>63.3</v>
      </c>
      <c r="BS296" s="3">
        <v>102.5</v>
      </c>
      <c r="BT296" s="3">
        <v>167.5</v>
      </c>
      <c r="BU296" s="3">
        <v>113.6</v>
      </c>
      <c r="BV296" s="3">
        <v>160.69999999999999</v>
      </c>
      <c r="BW296" s="3">
        <v>216</v>
      </c>
      <c r="BX296" s="3">
        <v>435.7</v>
      </c>
      <c r="BY296" s="3">
        <v>98.4</v>
      </c>
      <c r="BZ296" s="3">
        <v>375.3</v>
      </c>
      <c r="CA296" s="3">
        <v>393.1</v>
      </c>
      <c r="CB296" s="3">
        <v>521.70000000000005</v>
      </c>
      <c r="CC296" s="3">
        <v>342.9</v>
      </c>
      <c r="CD296" s="3">
        <v>345.8</v>
      </c>
      <c r="CE296" s="3">
        <v>291.8</v>
      </c>
      <c r="CF296" s="3">
        <v>9.4</v>
      </c>
      <c r="CG296" s="3">
        <v>91.4</v>
      </c>
      <c r="CH296" s="3">
        <v>81.599999999999994</v>
      </c>
      <c r="CI296" s="3">
        <v>304</v>
      </c>
      <c r="CJ296" s="3">
        <v>166.1</v>
      </c>
      <c r="CK296" s="3">
        <v>187.4</v>
      </c>
      <c r="CL296" s="3">
        <v>440.5</v>
      </c>
      <c r="CM296" s="3">
        <v>214.5</v>
      </c>
      <c r="CN296" s="3">
        <v>190.4</v>
      </c>
    </row>
    <row r="297" spans="1:92" x14ac:dyDescent="0.25">
      <c r="A297" s="4">
        <v>40756</v>
      </c>
      <c r="B297" s="3">
        <v>224.2</v>
      </c>
      <c r="C297" s="3">
        <v>193.8</v>
      </c>
      <c r="D297" s="3">
        <v>239.1</v>
      </c>
      <c r="E297" s="3">
        <v>183.8</v>
      </c>
      <c r="F297" s="3">
        <v>302.8</v>
      </c>
      <c r="G297" s="3">
        <v>306.7</v>
      </c>
      <c r="H297" s="3">
        <v>224.5</v>
      </c>
      <c r="I297" s="3">
        <v>216.3</v>
      </c>
      <c r="J297" s="3">
        <v>140.30000000000001</v>
      </c>
      <c r="K297" s="3">
        <v>181.1</v>
      </c>
      <c r="L297" s="3">
        <v>229.1</v>
      </c>
      <c r="M297" s="3">
        <v>232.7</v>
      </c>
      <c r="N297" s="3">
        <v>223.2</v>
      </c>
      <c r="O297" s="3">
        <v>311.5</v>
      </c>
      <c r="P297" s="3">
        <v>191.6</v>
      </c>
      <c r="Q297" s="3">
        <v>244.7</v>
      </c>
      <c r="R297" s="3">
        <v>268.5</v>
      </c>
      <c r="S297" s="3">
        <v>249.9</v>
      </c>
      <c r="T297" s="3">
        <v>178.6</v>
      </c>
      <c r="U297" s="3">
        <v>225.2</v>
      </c>
      <c r="V297" s="3">
        <v>167</v>
      </c>
      <c r="W297" s="3">
        <v>243</v>
      </c>
      <c r="X297" s="3">
        <v>204.5</v>
      </c>
      <c r="Y297" s="3">
        <v>263.7</v>
      </c>
      <c r="Z297" s="3">
        <v>209.5</v>
      </c>
      <c r="AA297" s="3">
        <v>196.7</v>
      </c>
      <c r="AB297" s="3">
        <v>208.1</v>
      </c>
      <c r="AC297" s="3">
        <v>184.1</v>
      </c>
      <c r="AD297" s="3">
        <v>164.9</v>
      </c>
      <c r="AE297" s="3">
        <v>242.5</v>
      </c>
      <c r="AF297" s="3">
        <v>181.6</v>
      </c>
      <c r="AG297" s="3">
        <v>172.8</v>
      </c>
      <c r="AH297" s="3">
        <v>223.7</v>
      </c>
      <c r="AI297" s="3">
        <v>185.2</v>
      </c>
      <c r="AJ297" s="3">
        <v>286.10000000000002</v>
      </c>
      <c r="AK297" s="3">
        <v>351.2</v>
      </c>
      <c r="AL297" s="3">
        <v>281</v>
      </c>
      <c r="AM297" s="3">
        <v>282.7</v>
      </c>
      <c r="AN297" s="3">
        <v>310</v>
      </c>
      <c r="AO297" s="3">
        <v>166.8</v>
      </c>
      <c r="AP297" s="3">
        <v>230.6</v>
      </c>
      <c r="AQ297" s="3">
        <v>289.3</v>
      </c>
      <c r="AR297" s="3">
        <v>192.2</v>
      </c>
      <c r="AS297" s="3">
        <v>486.9</v>
      </c>
      <c r="AT297" s="3">
        <v>369.2</v>
      </c>
      <c r="AU297" s="3">
        <v>318.5</v>
      </c>
      <c r="AV297" s="3">
        <v>231.7</v>
      </c>
      <c r="AW297" s="3">
        <v>284.2</v>
      </c>
      <c r="AX297" s="3">
        <v>316.8</v>
      </c>
      <c r="AY297" s="3">
        <v>439.7</v>
      </c>
      <c r="AZ297" s="3">
        <v>362.2</v>
      </c>
      <c r="BA297" s="3">
        <v>216.9</v>
      </c>
      <c r="BB297" s="3">
        <v>352.8</v>
      </c>
      <c r="BC297" s="3">
        <v>291.2</v>
      </c>
      <c r="BD297" s="3">
        <v>247.7</v>
      </c>
      <c r="BE297" s="3">
        <v>306.10000000000002</v>
      </c>
      <c r="BF297" s="3">
        <v>453.1</v>
      </c>
      <c r="BG297" s="3">
        <v>208.7</v>
      </c>
      <c r="BH297" s="3">
        <v>201.2</v>
      </c>
      <c r="BI297" s="3">
        <v>75.900000000000006</v>
      </c>
      <c r="BJ297" s="3">
        <v>173.2</v>
      </c>
      <c r="BK297" s="3">
        <v>202.4</v>
      </c>
      <c r="BL297" s="3">
        <v>219.5</v>
      </c>
      <c r="BM297" s="3">
        <v>288.39999999999998</v>
      </c>
      <c r="BN297" s="3">
        <v>92.2</v>
      </c>
      <c r="BO297" s="3">
        <v>345.8</v>
      </c>
      <c r="BP297" s="3">
        <v>346.2</v>
      </c>
      <c r="BQ297" s="3">
        <v>108.8</v>
      </c>
      <c r="BR297" s="3">
        <v>67.7</v>
      </c>
      <c r="BS297" s="3">
        <v>106.3</v>
      </c>
      <c r="BT297" s="3">
        <v>172.3</v>
      </c>
      <c r="BU297" s="3">
        <v>116.7</v>
      </c>
      <c r="BV297" s="3">
        <v>164.1</v>
      </c>
      <c r="BW297" s="3">
        <v>216.7</v>
      </c>
      <c r="BX297" s="3">
        <v>436</v>
      </c>
      <c r="BY297" s="3">
        <v>96.5</v>
      </c>
      <c r="BZ297" s="3">
        <v>376.6</v>
      </c>
      <c r="CA297" s="3">
        <v>398.3</v>
      </c>
      <c r="CB297" s="3">
        <v>529.79999999999995</v>
      </c>
      <c r="CC297" s="3">
        <v>334.9</v>
      </c>
      <c r="CD297" s="3">
        <v>347.6</v>
      </c>
      <c r="CE297" s="3">
        <v>307</v>
      </c>
      <c r="CF297" s="3">
        <v>9.1999999999999993</v>
      </c>
      <c r="CG297" s="3">
        <v>90.1</v>
      </c>
      <c r="CH297" s="3">
        <v>80.7</v>
      </c>
      <c r="CI297" s="3">
        <v>305.2</v>
      </c>
      <c r="CJ297" s="3">
        <v>167.8</v>
      </c>
      <c r="CK297" s="3">
        <v>187.4</v>
      </c>
      <c r="CL297" s="3">
        <v>441.7</v>
      </c>
      <c r="CM297" s="3">
        <v>215.9</v>
      </c>
      <c r="CN297" s="3">
        <v>190.6</v>
      </c>
    </row>
    <row r="298" spans="1:92" x14ac:dyDescent="0.25">
      <c r="A298" s="4">
        <v>40787</v>
      </c>
      <c r="B298" s="3">
        <v>225.5</v>
      </c>
      <c r="C298" s="3">
        <v>196.6</v>
      </c>
      <c r="D298" s="3">
        <v>240</v>
      </c>
      <c r="E298" s="3">
        <v>185.1</v>
      </c>
      <c r="F298" s="3">
        <v>293.5</v>
      </c>
      <c r="G298" s="3">
        <v>290.5</v>
      </c>
      <c r="H298" s="3">
        <v>223.2</v>
      </c>
      <c r="I298" s="3">
        <v>218.3</v>
      </c>
      <c r="J298" s="3">
        <v>140.30000000000001</v>
      </c>
      <c r="K298" s="3">
        <v>181</v>
      </c>
      <c r="L298" s="3">
        <v>233.2</v>
      </c>
      <c r="M298" s="3">
        <v>236.1</v>
      </c>
      <c r="N298" s="3">
        <v>228</v>
      </c>
      <c r="O298" s="3">
        <v>312</v>
      </c>
      <c r="P298" s="3">
        <v>196.1</v>
      </c>
      <c r="Q298" s="3">
        <v>241.6</v>
      </c>
      <c r="R298" s="3">
        <v>264.10000000000002</v>
      </c>
      <c r="S298" s="3">
        <v>249.7</v>
      </c>
      <c r="T298" s="3">
        <v>176.7</v>
      </c>
      <c r="U298" s="3">
        <v>220.2</v>
      </c>
      <c r="V298" s="3">
        <v>168</v>
      </c>
      <c r="W298" s="3">
        <v>242.5</v>
      </c>
      <c r="X298" s="3">
        <v>209.6</v>
      </c>
      <c r="Y298" s="3">
        <v>265.7</v>
      </c>
      <c r="Z298" s="3">
        <v>209.8</v>
      </c>
      <c r="AA298" s="3">
        <v>193.4</v>
      </c>
      <c r="AB298" s="3">
        <v>210.7</v>
      </c>
      <c r="AC298" s="3">
        <v>184</v>
      </c>
      <c r="AD298" s="3">
        <v>163.69999999999999</v>
      </c>
      <c r="AE298" s="3">
        <v>247.7</v>
      </c>
      <c r="AF298" s="3">
        <v>185.3</v>
      </c>
      <c r="AG298" s="3">
        <v>176.4</v>
      </c>
      <c r="AH298" s="3">
        <v>227.6</v>
      </c>
      <c r="AI298" s="3">
        <v>184.4</v>
      </c>
      <c r="AJ298" s="3">
        <v>286.60000000000002</v>
      </c>
      <c r="AK298" s="3">
        <v>353.8</v>
      </c>
      <c r="AL298" s="3">
        <v>281.8</v>
      </c>
      <c r="AM298" s="3">
        <v>282.89999999999998</v>
      </c>
      <c r="AN298" s="3">
        <v>310.3</v>
      </c>
      <c r="AO298" s="3">
        <v>166.7</v>
      </c>
      <c r="AP298" s="3">
        <v>232.3</v>
      </c>
      <c r="AQ298" s="3">
        <v>290</v>
      </c>
      <c r="AR298" s="3">
        <v>194.7</v>
      </c>
      <c r="AS298" s="3">
        <v>490.5</v>
      </c>
      <c r="AT298" s="3">
        <v>371.5</v>
      </c>
      <c r="AU298" s="3">
        <v>318.89999999999998</v>
      </c>
      <c r="AV298" s="3">
        <v>232.5</v>
      </c>
      <c r="AW298" s="3">
        <v>285.39999999999998</v>
      </c>
      <c r="AX298" s="3">
        <v>316.8</v>
      </c>
      <c r="AY298" s="3">
        <v>439.7</v>
      </c>
      <c r="AZ298" s="3">
        <v>362.2</v>
      </c>
      <c r="BA298" s="3">
        <v>218.5</v>
      </c>
      <c r="BB298" s="3">
        <v>351.2</v>
      </c>
      <c r="BC298" s="3">
        <v>293</v>
      </c>
      <c r="BD298" s="3">
        <v>266.2</v>
      </c>
      <c r="BE298" s="3">
        <v>346.6</v>
      </c>
      <c r="BF298" s="3">
        <v>464.8</v>
      </c>
      <c r="BG298" s="3">
        <v>216.3</v>
      </c>
      <c r="BH298" s="3">
        <v>195.4</v>
      </c>
      <c r="BI298" s="3">
        <v>75.8</v>
      </c>
      <c r="BJ298" s="3">
        <v>176.3</v>
      </c>
      <c r="BK298" s="3">
        <v>205.3</v>
      </c>
      <c r="BL298" s="3">
        <v>219.7</v>
      </c>
      <c r="BM298" s="3">
        <v>288.39999999999998</v>
      </c>
      <c r="BN298" s="3">
        <v>93</v>
      </c>
      <c r="BO298" s="3">
        <v>346.5</v>
      </c>
      <c r="BP298" s="3">
        <v>348.2</v>
      </c>
      <c r="BQ298" s="3">
        <v>115</v>
      </c>
      <c r="BR298" s="3">
        <v>72.2</v>
      </c>
      <c r="BS298" s="3">
        <v>108</v>
      </c>
      <c r="BT298" s="3">
        <v>177</v>
      </c>
      <c r="BU298" s="3">
        <v>118.7</v>
      </c>
      <c r="BV298" s="3">
        <v>165.5</v>
      </c>
      <c r="BW298" s="3">
        <v>219.3</v>
      </c>
      <c r="BX298" s="3">
        <v>436.1</v>
      </c>
      <c r="BY298" s="3">
        <v>96.8</v>
      </c>
      <c r="BZ298" s="3">
        <v>376.8</v>
      </c>
      <c r="CA298" s="3">
        <v>395.7</v>
      </c>
      <c r="CB298" s="3">
        <v>523.9</v>
      </c>
      <c r="CC298" s="3">
        <v>334.7</v>
      </c>
      <c r="CD298" s="3">
        <v>346.7</v>
      </c>
      <c r="CE298" s="3">
        <v>277</v>
      </c>
      <c r="CF298" s="3">
        <v>9.1999999999999993</v>
      </c>
      <c r="CG298" s="3">
        <v>92</v>
      </c>
      <c r="CH298" s="3">
        <v>80.7</v>
      </c>
      <c r="CI298" s="3">
        <v>305.89999999999998</v>
      </c>
      <c r="CJ298" s="3">
        <v>167.6</v>
      </c>
      <c r="CK298" s="3">
        <v>187.4</v>
      </c>
      <c r="CL298" s="3">
        <v>449.7</v>
      </c>
      <c r="CM298" s="3">
        <v>216.2</v>
      </c>
      <c r="CN298" s="3">
        <v>191.7</v>
      </c>
    </row>
    <row r="299" spans="1:92" x14ac:dyDescent="0.25">
      <c r="A299" s="4">
        <v>40817</v>
      </c>
      <c r="B299" s="3">
        <v>223.5</v>
      </c>
      <c r="C299" s="3">
        <v>196</v>
      </c>
      <c r="D299" s="3">
        <v>239.1</v>
      </c>
      <c r="E299" s="3">
        <v>185.8</v>
      </c>
      <c r="F299" s="3">
        <v>297.7</v>
      </c>
      <c r="G299" s="3">
        <v>294.3</v>
      </c>
      <c r="H299" s="3">
        <v>218.2</v>
      </c>
      <c r="I299" s="3">
        <v>217</v>
      </c>
      <c r="J299" s="3">
        <v>137.5</v>
      </c>
      <c r="K299" s="3">
        <v>180</v>
      </c>
      <c r="L299" s="3">
        <v>234.2</v>
      </c>
      <c r="M299" s="3">
        <v>236</v>
      </c>
      <c r="N299" s="3">
        <v>230</v>
      </c>
      <c r="O299" s="3">
        <v>312.10000000000002</v>
      </c>
      <c r="P299" s="3">
        <v>191.6</v>
      </c>
      <c r="Q299" s="3">
        <v>236.4</v>
      </c>
      <c r="R299" s="3">
        <v>254.8</v>
      </c>
      <c r="S299" s="3">
        <v>244.3</v>
      </c>
      <c r="T299" s="3">
        <v>179.2</v>
      </c>
      <c r="U299" s="3">
        <v>221</v>
      </c>
      <c r="V299" s="3">
        <v>168</v>
      </c>
      <c r="W299" s="3">
        <v>240.4</v>
      </c>
      <c r="X299" s="3">
        <v>209.2</v>
      </c>
      <c r="Y299" s="3">
        <v>266.10000000000002</v>
      </c>
      <c r="Z299" s="3">
        <v>202.2</v>
      </c>
      <c r="AA299" s="3">
        <v>183.3</v>
      </c>
      <c r="AB299" s="3">
        <v>205</v>
      </c>
      <c r="AC299" s="3">
        <v>181</v>
      </c>
      <c r="AD299" s="3">
        <v>159.9</v>
      </c>
      <c r="AE299" s="3">
        <v>249.8</v>
      </c>
      <c r="AF299" s="3">
        <v>182.8</v>
      </c>
      <c r="AG299" s="3">
        <v>173.6</v>
      </c>
      <c r="AH299" s="3">
        <v>227.5</v>
      </c>
      <c r="AI299" s="3">
        <v>186.1</v>
      </c>
      <c r="AJ299" s="3">
        <v>287.60000000000002</v>
      </c>
      <c r="AK299" s="3">
        <v>354.6</v>
      </c>
      <c r="AL299" s="3">
        <v>282.3</v>
      </c>
      <c r="AM299" s="3">
        <v>282.60000000000002</v>
      </c>
      <c r="AN299" s="3">
        <v>310.3</v>
      </c>
      <c r="AO299" s="3">
        <v>166</v>
      </c>
      <c r="AP299" s="3">
        <v>230.8</v>
      </c>
      <c r="AQ299" s="3">
        <v>290.5</v>
      </c>
      <c r="AR299" s="3">
        <v>191.6</v>
      </c>
      <c r="AS299" s="3">
        <v>494.4</v>
      </c>
      <c r="AT299" s="3">
        <v>375.3</v>
      </c>
      <c r="AU299" s="3">
        <v>319.2</v>
      </c>
      <c r="AV299" s="3">
        <v>230.4</v>
      </c>
      <c r="AW299" s="3">
        <v>285.2</v>
      </c>
      <c r="AX299" s="3">
        <v>316.8</v>
      </c>
      <c r="AY299" s="3">
        <v>439.7</v>
      </c>
      <c r="AZ299" s="3">
        <v>362.3</v>
      </c>
      <c r="BA299" s="3">
        <v>218.7</v>
      </c>
      <c r="BB299" s="3">
        <v>347.4</v>
      </c>
      <c r="BC299" s="3">
        <v>309</v>
      </c>
      <c r="BD299" s="3">
        <v>270.2</v>
      </c>
      <c r="BE299" s="3">
        <v>351.6</v>
      </c>
      <c r="BF299" s="3">
        <v>463.1</v>
      </c>
      <c r="BG299" s="3">
        <v>212</v>
      </c>
      <c r="BH299" s="3">
        <v>199.8</v>
      </c>
      <c r="BI299" s="3">
        <v>76.8</v>
      </c>
      <c r="BJ299" s="3">
        <v>177.4</v>
      </c>
      <c r="BK299" s="3">
        <v>202.7</v>
      </c>
      <c r="BL299" s="3">
        <v>220.7</v>
      </c>
      <c r="BM299" s="3">
        <v>288.39999999999998</v>
      </c>
      <c r="BN299" s="3">
        <v>93</v>
      </c>
      <c r="BO299" s="3">
        <v>347</v>
      </c>
      <c r="BP299" s="3">
        <v>352</v>
      </c>
      <c r="BQ299" s="3">
        <v>115.9</v>
      </c>
      <c r="BR299" s="3">
        <v>73.099999999999994</v>
      </c>
      <c r="BS299" s="3">
        <v>109.7</v>
      </c>
      <c r="BT299" s="3">
        <v>177.3</v>
      </c>
      <c r="BU299" s="3">
        <v>118.5</v>
      </c>
      <c r="BV299" s="3">
        <v>165.5</v>
      </c>
      <c r="BW299" s="3">
        <v>218.2</v>
      </c>
      <c r="BX299" s="3">
        <v>438.5</v>
      </c>
      <c r="BY299" s="3">
        <v>96.7</v>
      </c>
      <c r="BZ299" s="3">
        <v>376.6</v>
      </c>
      <c r="CA299" s="3">
        <v>394.6</v>
      </c>
      <c r="CB299" s="3">
        <v>527</v>
      </c>
      <c r="CC299" s="3">
        <v>332.6</v>
      </c>
      <c r="CD299" s="3">
        <v>347.4</v>
      </c>
      <c r="CE299" s="3">
        <v>269.3</v>
      </c>
      <c r="CF299" s="3">
        <v>9.1999999999999993</v>
      </c>
      <c r="CG299" s="3">
        <v>96.3</v>
      </c>
      <c r="CH299" s="3">
        <v>81.8</v>
      </c>
      <c r="CI299" s="3">
        <v>305.8</v>
      </c>
      <c r="CJ299" s="3">
        <v>166.2</v>
      </c>
      <c r="CK299" s="3">
        <v>188.2</v>
      </c>
      <c r="CL299" s="3">
        <v>452.8</v>
      </c>
      <c r="CM299" s="3">
        <v>216.5</v>
      </c>
      <c r="CN299" s="3">
        <v>191</v>
      </c>
    </row>
    <row r="300" spans="1:92" x14ac:dyDescent="0.25">
      <c r="A300" s="4">
        <v>40848</v>
      </c>
      <c r="B300" s="3">
        <v>218.9</v>
      </c>
      <c r="C300" s="3">
        <v>192.9</v>
      </c>
      <c r="D300" s="3">
        <v>239.8</v>
      </c>
      <c r="E300" s="3">
        <v>190.6</v>
      </c>
      <c r="F300" s="3">
        <v>303.10000000000002</v>
      </c>
      <c r="G300" s="3">
        <v>302.5</v>
      </c>
      <c r="H300" s="3">
        <v>213.6</v>
      </c>
      <c r="I300" s="3">
        <v>217.2</v>
      </c>
      <c r="J300" s="3">
        <v>139.5</v>
      </c>
      <c r="K300" s="3">
        <v>183</v>
      </c>
      <c r="L300" s="3">
        <v>235.8</v>
      </c>
      <c r="M300" s="3">
        <v>239.1</v>
      </c>
      <c r="N300" s="3">
        <v>230.2</v>
      </c>
      <c r="O300" s="3">
        <v>309.60000000000002</v>
      </c>
      <c r="P300" s="3">
        <v>195.4</v>
      </c>
      <c r="Q300" s="3">
        <v>240.1</v>
      </c>
      <c r="R300" s="3">
        <v>257.8</v>
      </c>
      <c r="S300" s="3">
        <v>244.4</v>
      </c>
      <c r="T300" s="3">
        <v>179</v>
      </c>
      <c r="U300" s="3">
        <v>219</v>
      </c>
      <c r="V300" s="3">
        <v>166.8</v>
      </c>
      <c r="W300" s="3">
        <v>240.8</v>
      </c>
      <c r="X300" s="3">
        <v>209.4</v>
      </c>
      <c r="Y300" s="3">
        <v>264.89999999999998</v>
      </c>
      <c r="Z300" s="3">
        <v>199.4</v>
      </c>
      <c r="AA300" s="3">
        <v>174.3</v>
      </c>
      <c r="AB300" s="3">
        <v>206.4</v>
      </c>
      <c r="AC300" s="3">
        <v>178.2</v>
      </c>
      <c r="AD300" s="3">
        <v>157.1</v>
      </c>
      <c r="AE300" s="3">
        <v>247.4</v>
      </c>
      <c r="AF300" s="3">
        <v>194.1</v>
      </c>
      <c r="AG300" s="3">
        <v>186.3</v>
      </c>
      <c r="AH300" s="3">
        <v>227.6</v>
      </c>
      <c r="AI300" s="3">
        <v>185.7</v>
      </c>
      <c r="AJ300" s="3">
        <v>288.8</v>
      </c>
      <c r="AK300" s="3">
        <v>355.8</v>
      </c>
      <c r="AL300" s="3">
        <v>283</v>
      </c>
      <c r="AM300" s="3">
        <v>282.2</v>
      </c>
      <c r="AN300" s="3">
        <v>311.10000000000002</v>
      </c>
      <c r="AO300" s="3">
        <v>163.30000000000001</v>
      </c>
      <c r="AP300" s="3">
        <v>232.6</v>
      </c>
      <c r="AQ300" s="3">
        <v>291</v>
      </c>
      <c r="AR300" s="3">
        <v>194.6</v>
      </c>
      <c r="AS300" s="3">
        <v>496.1</v>
      </c>
      <c r="AT300" s="3">
        <v>376.8</v>
      </c>
      <c r="AU300" s="3">
        <v>319.10000000000002</v>
      </c>
      <c r="AV300" s="3">
        <v>232.9</v>
      </c>
      <c r="AW300" s="3">
        <v>284.39999999999998</v>
      </c>
      <c r="AX300" s="3">
        <v>316.8</v>
      </c>
      <c r="AY300" s="3">
        <v>439.7</v>
      </c>
      <c r="AZ300" s="3">
        <v>362.6</v>
      </c>
      <c r="BA300" s="3">
        <v>219.3</v>
      </c>
      <c r="BB300" s="3">
        <v>349.4</v>
      </c>
      <c r="BC300" s="3">
        <v>311.39999999999998</v>
      </c>
      <c r="BD300" s="3">
        <v>271.60000000000002</v>
      </c>
      <c r="BE300" s="3">
        <v>355.1</v>
      </c>
      <c r="BF300" s="3">
        <v>487.6</v>
      </c>
      <c r="BG300" s="3">
        <v>216.8</v>
      </c>
      <c r="BH300" s="3">
        <v>196.9</v>
      </c>
      <c r="BI300" s="3">
        <v>76.8</v>
      </c>
      <c r="BJ300" s="3">
        <v>176.3</v>
      </c>
      <c r="BK300" s="3">
        <v>203.1</v>
      </c>
      <c r="BL300" s="3">
        <v>220.9</v>
      </c>
      <c r="BM300" s="3">
        <v>288.39999999999998</v>
      </c>
      <c r="BN300" s="3">
        <v>92.8</v>
      </c>
      <c r="BO300" s="3">
        <v>347.5</v>
      </c>
      <c r="BP300" s="3">
        <v>352.9</v>
      </c>
      <c r="BQ300" s="3">
        <v>118.2</v>
      </c>
      <c r="BR300" s="3">
        <v>73.599999999999994</v>
      </c>
      <c r="BS300" s="3">
        <v>112.1</v>
      </c>
      <c r="BT300" s="3">
        <v>179.1</v>
      </c>
      <c r="BU300" s="3">
        <v>119.5</v>
      </c>
      <c r="BV300" s="3">
        <v>167.8</v>
      </c>
      <c r="BW300" s="3">
        <v>218.6</v>
      </c>
      <c r="BX300" s="3">
        <v>438</v>
      </c>
      <c r="BY300" s="3">
        <v>96.9</v>
      </c>
      <c r="BZ300" s="3">
        <v>377</v>
      </c>
      <c r="CA300" s="3">
        <v>393.5</v>
      </c>
      <c r="CB300" s="3">
        <v>534.70000000000005</v>
      </c>
      <c r="CC300" s="3">
        <v>329</v>
      </c>
      <c r="CD300" s="3">
        <v>350.5</v>
      </c>
      <c r="CE300" s="3">
        <v>261.2</v>
      </c>
      <c r="CF300" s="3">
        <v>8.9</v>
      </c>
      <c r="CG300" s="3">
        <v>98.5</v>
      </c>
      <c r="CH300" s="3">
        <v>82</v>
      </c>
      <c r="CI300" s="3">
        <v>302.39999999999998</v>
      </c>
      <c r="CJ300" s="3">
        <v>160.1</v>
      </c>
      <c r="CK300" s="3">
        <v>188.2</v>
      </c>
      <c r="CL300" s="3">
        <v>452.3</v>
      </c>
      <c r="CM300" s="3">
        <v>216.7</v>
      </c>
      <c r="CN300" s="3">
        <v>190.9</v>
      </c>
    </row>
    <row r="301" spans="1:92" x14ac:dyDescent="0.25">
      <c r="A301" s="4">
        <v>40878</v>
      </c>
      <c r="B301" s="3">
        <v>219.2</v>
      </c>
      <c r="C301" s="3">
        <v>198.5</v>
      </c>
      <c r="D301" s="3">
        <v>240.2</v>
      </c>
      <c r="E301" s="3">
        <v>193.3</v>
      </c>
      <c r="F301" s="3">
        <v>299.7</v>
      </c>
      <c r="G301" s="3">
        <v>294.7</v>
      </c>
      <c r="H301" s="3">
        <v>214.3</v>
      </c>
      <c r="I301" s="3">
        <v>218.7</v>
      </c>
      <c r="J301" s="3">
        <v>142</v>
      </c>
      <c r="K301" s="3">
        <v>182.1</v>
      </c>
      <c r="L301" s="3">
        <v>231.8</v>
      </c>
      <c r="M301" s="3">
        <v>228.3</v>
      </c>
      <c r="N301" s="3">
        <v>232.6</v>
      </c>
      <c r="O301" s="3">
        <v>310.39999999999998</v>
      </c>
      <c r="P301" s="3">
        <v>197.3</v>
      </c>
      <c r="Q301" s="3">
        <v>240.8</v>
      </c>
      <c r="R301" s="3">
        <v>256.60000000000002</v>
      </c>
      <c r="S301" s="3">
        <v>244.2</v>
      </c>
      <c r="T301" s="3">
        <v>183.5</v>
      </c>
      <c r="U301" s="3">
        <v>224.2</v>
      </c>
      <c r="V301" s="3">
        <v>168.6</v>
      </c>
      <c r="W301" s="3">
        <v>241.6</v>
      </c>
      <c r="X301" s="3">
        <v>212.9</v>
      </c>
      <c r="Y301" s="3">
        <v>264.39999999999998</v>
      </c>
      <c r="Z301" s="3">
        <v>203.3</v>
      </c>
      <c r="AA301" s="3">
        <v>181.7</v>
      </c>
      <c r="AB301" s="3">
        <v>207.8</v>
      </c>
      <c r="AC301" s="3">
        <v>186.2</v>
      </c>
      <c r="AD301" s="3">
        <v>165.6</v>
      </c>
      <c r="AE301" s="3">
        <v>251.5</v>
      </c>
      <c r="AF301" s="3">
        <v>202.7</v>
      </c>
      <c r="AG301" s="3">
        <v>196</v>
      </c>
      <c r="AH301" s="3">
        <v>227</v>
      </c>
      <c r="AI301" s="3">
        <v>188.8</v>
      </c>
      <c r="AJ301" s="3">
        <v>289.8</v>
      </c>
      <c r="AK301" s="3">
        <v>355.9</v>
      </c>
      <c r="AL301" s="3">
        <v>283.5</v>
      </c>
      <c r="AM301" s="3">
        <v>282.2</v>
      </c>
      <c r="AN301" s="3">
        <v>311.60000000000002</v>
      </c>
      <c r="AO301" s="3">
        <v>162</v>
      </c>
      <c r="AP301" s="3">
        <v>228.5</v>
      </c>
      <c r="AQ301" s="3">
        <v>292.10000000000002</v>
      </c>
      <c r="AR301" s="3">
        <v>186.1</v>
      </c>
      <c r="AS301" s="3">
        <v>494.7</v>
      </c>
      <c r="AT301" s="3">
        <v>377.2</v>
      </c>
      <c r="AU301" s="3">
        <v>319.60000000000002</v>
      </c>
      <c r="AV301" s="3">
        <v>231.7</v>
      </c>
      <c r="AW301" s="3">
        <v>283.7</v>
      </c>
      <c r="AX301" s="3">
        <v>316.8</v>
      </c>
      <c r="AY301" s="3">
        <v>439.7</v>
      </c>
      <c r="AZ301" s="3">
        <v>362.5</v>
      </c>
      <c r="BA301" s="3">
        <v>221.7</v>
      </c>
      <c r="BB301" s="3">
        <v>350.4</v>
      </c>
      <c r="BC301" s="3">
        <v>312</v>
      </c>
      <c r="BD301" s="3">
        <v>271.60000000000002</v>
      </c>
      <c r="BE301" s="3">
        <v>355.1</v>
      </c>
      <c r="BF301" s="3">
        <v>489.3</v>
      </c>
      <c r="BG301" s="3">
        <v>220.2</v>
      </c>
      <c r="BH301" s="3">
        <v>208</v>
      </c>
      <c r="BI301" s="3">
        <v>75.400000000000006</v>
      </c>
      <c r="BJ301" s="3">
        <v>175.9</v>
      </c>
      <c r="BK301" s="3">
        <v>204.9</v>
      </c>
      <c r="BL301" s="3">
        <v>219.9</v>
      </c>
      <c r="BM301" s="3">
        <v>288.39999999999998</v>
      </c>
      <c r="BN301" s="3">
        <v>94.5</v>
      </c>
      <c r="BO301" s="3">
        <v>348.4</v>
      </c>
      <c r="BP301" s="3">
        <v>352.7</v>
      </c>
      <c r="BQ301" s="3">
        <v>116.6</v>
      </c>
      <c r="BR301" s="3">
        <v>69.8</v>
      </c>
      <c r="BS301" s="3">
        <v>109.2</v>
      </c>
      <c r="BT301" s="3">
        <v>178.4</v>
      </c>
      <c r="BU301" s="3">
        <v>118</v>
      </c>
      <c r="BV301" s="3">
        <v>166.8</v>
      </c>
      <c r="BW301" s="3">
        <v>216.9</v>
      </c>
      <c r="BX301" s="3">
        <v>438.5</v>
      </c>
      <c r="BY301" s="3">
        <v>96</v>
      </c>
      <c r="BZ301" s="3">
        <v>376.5</v>
      </c>
      <c r="CA301" s="3">
        <v>391.2</v>
      </c>
      <c r="CB301" s="3">
        <v>566</v>
      </c>
      <c r="CC301" s="3">
        <v>332.4</v>
      </c>
      <c r="CD301" s="3">
        <v>359.6</v>
      </c>
      <c r="CE301" s="3">
        <v>300.3</v>
      </c>
      <c r="CF301" s="3">
        <v>8.9</v>
      </c>
      <c r="CG301" s="3">
        <v>101.4</v>
      </c>
      <c r="CH301" s="3">
        <v>82.2</v>
      </c>
      <c r="CI301" s="3">
        <v>304.5</v>
      </c>
      <c r="CJ301" s="3">
        <v>164.8</v>
      </c>
      <c r="CK301" s="3">
        <v>188.2</v>
      </c>
      <c r="CL301" s="3">
        <v>452.4</v>
      </c>
      <c r="CM301" s="3">
        <v>216.7</v>
      </c>
      <c r="CN301" s="3">
        <v>190.8</v>
      </c>
    </row>
    <row r="302" spans="1:92" x14ac:dyDescent="0.25">
      <c r="A302" s="4">
        <v>40909</v>
      </c>
      <c r="B302" s="3">
        <v>222.4</v>
      </c>
      <c r="C302" s="3">
        <v>196.1</v>
      </c>
      <c r="D302" s="3">
        <v>241</v>
      </c>
      <c r="E302" s="3">
        <v>195.7</v>
      </c>
      <c r="F302" s="3">
        <v>303.60000000000002</v>
      </c>
      <c r="G302" s="3">
        <v>302</v>
      </c>
      <c r="H302" s="3">
        <v>225.6</v>
      </c>
      <c r="I302" s="3">
        <v>218.4</v>
      </c>
      <c r="J302" s="3">
        <v>139.1</v>
      </c>
      <c r="K302" s="3">
        <v>181.3</v>
      </c>
      <c r="L302" s="3">
        <v>234.8</v>
      </c>
      <c r="M302" s="3">
        <v>238.2</v>
      </c>
      <c r="N302" s="3">
        <v>228.9</v>
      </c>
      <c r="O302" s="3">
        <v>311.8</v>
      </c>
      <c r="P302" s="3">
        <v>193.4</v>
      </c>
      <c r="Q302" s="3">
        <v>244.3</v>
      </c>
      <c r="R302" s="3">
        <v>252.5</v>
      </c>
      <c r="S302" s="3">
        <v>241.7</v>
      </c>
      <c r="T302" s="3">
        <v>182.4</v>
      </c>
      <c r="U302" s="3">
        <v>224.5</v>
      </c>
      <c r="V302" s="3">
        <v>171.8</v>
      </c>
      <c r="W302" s="3">
        <v>243.4</v>
      </c>
      <c r="X302" s="3">
        <v>212.7</v>
      </c>
      <c r="Y302" s="3">
        <v>267.3</v>
      </c>
      <c r="Z302" s="3">
        <v>203</v>
      </c>
      <c r="AA302" s="3">
        <v>185.7</v>
      </c>
      <c r="AB302" s="3">
        <v>204.8</v>
      </c>
      <c r="AC302" s="3">
        <v>185.2</v>
      </c>
      <c r="AD302" s="3">
        <v>165.9</v>
      </c>
      <c r="AE302" s="3">
        <v>243.8</v>
      </c>
      <c r="AF302" s="3">
        <v>193.6</v>
      </c>
      <c r="AG302" s="3">
        <v>185.3</v>
      </c>
      <c r="AH302" s="3">
        <v>230.3</v>
      </c>
      <c r="AI302" s="3">
        <v>186</v>
      </c>
      <c r="AJ302" s="3">
        <v>290.39999999999998</v>
      </c>
      <c r="AK302" s="3">
        <v>356</v>
      </c>
      <c r="AL302" s="3">
        <v>284.39999999999998</v>
      </c>
      <c r="AM302" s="3">
        <v>283.2</v>
      </c>
      <c r="AN302" s="3">
        <v>311.8</v>
      </c>
      <c r="AO302" s="3">
        <v>164.6</v>
      </c>
      <c r="AP302" s="3">
        <v>233.5</v>
      </c>
      <c r="AQ302" s="3">
        <v>292.39999999999998</v>
      </c>
      <c r="AR302" s="3">
        <v>195.1</v>
      </c>
      <c r="AS302" s="3">
        <v>495.4</v>
      </c>
      <c r="AT302" s="3">
        <v>377.4</v>
      </c>
      <c r="AU302" s="3">
        <v>320.89999999999998</v>
      </c>
      <c r="AV302" s="3">
        <v>232</v>
      </c>
      <c r="AW302" s="3">
        <v>283.5</v>
      </c>
      <c r="AX302" s="3">
        <v>316.8</v>
      </c>
      <c r="AY302" s="3">
        <v>439.7</v>
      </c>
      <c r="AZ302" s="3">
        <v>362.5</v>
      </c>
      <c r="BA302" s="3">
        <v>223.5</v>
      </c>
      <c r="BB302" s="3">
        <v>347.9</v>
      </c>
      <c r="BC302" s="3">
        <v>312.2</v>
      </c>
      <c r="BD302" s="3">
        <v>271.60000000000002</v>
      </c>
      <c r="BE302" s="3">
        <v>355.1</v>
      </c>
      <c r="BF302" s="3">
        <v>490.1</v>
      </c>
      <c r="BG302" s="3">
        <v>207.3</v>
      </c>
      <c r="BH302" s="3">
        <v>196.8</v>
      </c>
      <c r="BI302" s="3">
        <v>74.599999999999994</v>
      </c>
      <c r="BJ302" s="3">
        <v>175.3</v>
      </c>
      <c r="BK302" s="3">
        <v>204.8</v>
      </c>
      <c r="BL302" s="3">
        <v>221.3</v>
      </c>
      <c r="BM302" s="3">
        <v>288.39999999999998</v>
      </c>
      <c r="BN302" s="3">
        <v>94.3</v>
      </c>
      <c r="BO302" s="3">
        <v>348.7</v>
      </c>
      <c r="BP302" s="3">
        <v>352.2</v>
      </c>
      <c r="BQ302" s="3">
        <v>111.8</v>
      </c>
      <c r="BR302" s="3">
        <v>64.400000000000006</v>
      </c>
      <c r="BS302" s="3">
        <v>104.6</v>
      </c>
      <c r="BT302" s="3">
        <v>175.5</v>
      </c>
      <c r="BU302" s="3">
        <v>114.6</v>
      </c>
      <c r="BV302" s="3">
        <v>165.7</v>
      </c>
      <c r="BW302" s="3">
        <v>218.6</v>
      </c>
      <c r="BX302" s="3">
        <v>439.7</v>
      </c>
      <c r="BY302" s="3">
        <v>97.8</v>
      </c>
      <c r="BZ302" s="3">
        <v>377.2</v>
      </c>
      <c r="CA302" s="3">
        <v>391.6</v>
      </c>
      <c r="CB302" s="3">
        <v>534.6</v>
      </c>
      <c r="CC302" s="3">
        <v>346.3</v>
      </c>
      <c r="CD302" s="3">
        <v>359.8</v>
      </c>
      <c r="CE302" s="3">
        <v>262.8</v>
      </c>
      <c r="CF302" s="3">
        <v>9.1</v>
      </c>
      <c r="CG302" s="3">
        <v>98</v>
      </c>
      <c r="CH302" s="3">
        <v>83</v>
      </c>
      <c r="CI302" s="3">
        <v>299.89999999999998</v>
      </c>
      <c r="CJ302" s="3">
        <v>163.30000000000001</v>
      </c>
      <c r="CK302" s="3">
        <v>187.9</v>
      </c>
      <c r="CL302" s="3">
        <v>452.1</v>
      </c>
      <c r="CM302" s="3">
        <v>217.1</v>
      </c>
      <c r="CN302" s="3">
        <v>190.2</v>
      </c>
    </row>
    <row r="303" spans="1:92" x14ac:dyDescent="0.25">
      <c r="A303" s="4">
        <v>40940</v>
      </c>
      <c r="B303" s="3">
        <v>221.8</v>
      </c>
      <c r="C303" s="3">
        <v>198.9</v>
      </c>
      <c r="D303" s="3">
        <v>243.1</v>
      </c>
      <c r="E303" s="3">
        <v>197.9</v>
      </c>
      <c r="F303" s="3">
        <v>307.8</v>
      </c>
      <c r="G303" s="3">
        <v>314.39999999999998</v>
      </c>
      <c r="H303" s="3">
        <v>228.3</v>
      </c>
      <c r="I303" s="3">
        <v>218.1</v>
      </c>
      <c r="J303" s="3">
        <v>136.69999999999999</v>
      </c>
      <c r="K303" s="3">
        <v>181</v>
      </c>
      <c r="L303" s="3">
        <v>234.5</v>
      </c>
      <c r="M303" s="3">
        <v>240</v>
      </c>
      <c r="N303" s="3">
        <v>226.7</v>
      </c>
      <c r="O303" s="3">
        <v>310.2</v>
      </c>
      <c r="P303" s="3">
        <v>189.4</v>
      </c>
      <c r="Q303" s="3">
        <v>240.2</v>
      </c>
      <c r="R303" s="3">
        <v>257.89999999999998</v>
      </c>
      <c r="S303" s="3">
        <v>243.2</v>
      </c>
      <c r="T303" s="3">
        <v>185.7</v>
      </c>
      <c r="U303" s="3">
        <v>221.1</v>
      </c>
      <c r="V303" s="3">
        <v>171.3</v>
      </c>
      <c r="W303" s="3">
        <v>253.2</v>
      </c>
      <c r="X303" s="3">
        <v>219.7</v>
      </c>
      <c r="Y303" s="3">
        <v>273.3</v>
      </c>
      <c r="Z303" s="3">
        <v>209.9</v>
      </c>
      <c r="AA303" s="3">
        <v>190.6</v>
      </c>
      <c r="AB303" s="3">
        <v>212.7</v>
      </c>
      <c r="AC303" s="3">
        <v>190.5</v>
      </c>
      <c r="AD303" s="3">
        <v>169.7</v>
      </c>
      <c r="AE303" s="3">
        <v>255.8</v>
      </c>
      <c r="AF303" s="3">
        <v>189.4</v>
      </c>
      <c r="AG303" s="3">
        <v>178.2</v>
      </c>
      <c r="AH303" s="3">
        <v>236.7</v>
      </c>
      <c r="AI303" s="3">
        <v>190.2</v>
      </c>
      <c r="AJ303" s="3">
        <v>291</v>
      </c>
      <c r="AK303" s="3">
        <v>356.2</v>
      </c>
      <c r="AL303" s="3">
        <v>284.7</v>
      </c>
      <c r="AM303" s="3">
        <v>286</v>
      </c>
      <c r="AN303" s="3">
        <v>313.2</v>
      </c>
      <c r="AO303" s="3">
        <v>169.9</v>
      </c>
      <c r="AP303" s="3">
        <v>235</v>
      </c>
      <c r="AQ303" s="3">
        <v>293.3</v>
      </c>
      <c r="AR303" s="3">
        <v>197</v>
      </c>
      <c r="AS303" s="3">
        <v>495.7</v>
      </c>
      <c r="AT303" s="3">
        <v>377.8</v>
      </c>
      <c r="AU303" s="3">
        <v>320.89999999999998</v>
      </c>
      <c r="AV303" s="3">
        <v>232.6</v>
      </c>
      <c r="AW303" s="3">
        <v>283.7</v>
      </c>
      <c r="AX303" s="3">
        <v>316.8</v>
      </c>
      <c r="AY303" s="3">
        <v>439.7</v>
      </c>
      <c r="AZ303" s="3">
        <v>363</v>
      </c>
      <c r="BA303" s="3">
        <v>224.3</v>
      </c>
      <c r="BB303" s="3">
        <v>344.8</v>
      </c>
      <c r="BC303" s="3">
        <v>310.39999999999998</v>
      </c>
      <c r="BD303" s="3">
        <v>268.2</v>
      </c>
      <c r="BE303" s="3">
        <v>351.8</v>
      </c>
      <c r="BF303" s="3">
        <v>498.3</v>
      </c>
      <c r="BG303" s="3">
        <v>214</v>
      </c>
      <c r="BH303" s="3">
        <v>207.2</v>
      </c>
      <c r="BI303" s="3">
        <v>75.3</v>
      </c>
      <c r="BJ303" s="3">
        <v>179.2</v>
      </c>
      <c r="BK303" s="3">
        <v>207.7</v>
      </c>
      <c r="BL303" s="3">
        <v>218.4</v>
      </c>
      <c r="BM303" s="3">
        <v>288.39999999999998</v>
      </c>
      <c r="BN303" s="3">
        <v>94.8</v>
      </c>
      <c r="BO303" s="3">
        <v>349.4</v>
      </c>
      <c r="BP303" s="3">
        <v>352.6</v>
      </c>
      <c r="BQ303" s="3">
        <v>116.4</v>
      </c>
      <c r="BR303" s="3">
        <v>72.2</v>
      </c>
      <c r="BS303" s="3">
        <v>109.7</v>
      </c>
      <c r="BT303" s="3">
        <v>180.1</v>
      </c>
      <c r="BU303" s="3">
        <v>117.3</v>
      </c>
      <c r="BV303" s="3">
        <v>170.6</v>
      </c>
      <c r="BW303" s="3">
        <v>220.8</v>
      </c>
      <c r="BX303" s="3">
        <v>440.1</v>
      </c>
      <c r="BY303" s="3">
        <v>98.4</v>
      </c>
      <c r="BZ303" s="3">
        <v>377.6</v>
      </c>
      <c r="CA303" s="3">
        <v>397.8</v>
      </c>
      <c r="CB303" s="3">
        <v>529.29999999999995</v>
      </c>
      <c r="CC303" s="3">
        <v>350.9</v>
      </c>
      <c r="CD303" s="3">
        <v>361.6</v>
      </c>
      <c r="CE303" s="3">
        <v>262.8</v>
      </c>
      <c r="CF303" s="3">
        <v>9.1</v>
      </c>
      <c r="CG303" s="3">
        <v>99.2</v>
      </c>
      <c r="CH303" s="3">
        <v>82.1</v>
      </c>
      <c r="CI303" s="3">
        <v>310.3</v>
      </c>
      <c r="CJ303" s="3">
        <v>166.6</v>
      </c>
      <c r="CK303" s="3">
        <v>187.9</v>
      </c>
      <c r="CL303" s="3">
        <v>453.8</v>
      </c>
      <c r="CM303" s="3">
        <v>217.6</v>
      </c>
      <c r="CN303" s="3">
        <v>191.4</v>
      </c>
    </row>
    <row r="304" spans="1:92" x14ac:dyDescent="0.25">
      <c r="A304" s="4">
        <v>40969</v>
      </c>
      <c r="B304" s="3">
        <v>224.1</v>
      </c>
      <c r="C304" s="3">
        <v>199.7</v>
      </c>
      <c r="D304" s="3">
        <v>238.6</v>
      </c>
      <c r="E304" s="3">
        <v>201.4</v>
      </c>
      <c r="F304" s="3">
        <v>307.8</v>
      </c>
      <c r="G304" s="3">
        <v>313.60000000000002</v>
      </c>
      <c r="H304" s="3">
        <v>226.9</v>
      </c>
      <c r="I304" s="3">
        <v>214.1</v>
      </c>
      <c r="J304" s="3">
        <v>141.6</v>
      </c>
      <c r="K304" s="3">
        <v>182.4</v>
      </c>
      <c r="L304" s="3">
        <v>236.5</v>
      </c>
      <c r="M304" s="3">
        <v>236.6</v>
      </c>
      <c r="N304" s="3">
        <v>233.8</v>
      </c>
      <c r="O304" s="3">
        <v>306</v>
      </c>
      <c r="P304" s="3">
        <v>190.3</v>
      </c>
      <c r="Q304" s="3">
        <v>242.8</v>
      </c>
      <c r="R304" s="3">
        <v>261.60000000000002</v>
      </c>
      <c r="S304" s="3">
        <v>242.9</v>
      </c>
      <c r="T304" s="3">
        <v>180.7</v>
      </c>
      <c r="U304" s="3">
        <v>208.1</v>
      </c>
      <c r="V304" s="3">
        <v>169.9</v>
      </c>
      <c r="W304" s="3">
        <v>249.8</v>
      </c>
      <c r="X304" s="3">
        <v>207.3</v>
      </c>
      <c r="Y304" s="3">
        <v>269.5</v>
      </c>
      <c r="Z304" s="3">
        <v>211.9</v>
      </c>
      <c r="AA304" s="3">
        <v>191.1</v>
      </c>
      <c r="AB304" s="3">
        <v>215.8</v>
      </c>
      <c r="AC304" s="3">
        <v>188.8</v>
      </c>
      <c r="AD304" s="3">
        <v>169.3</v>
      </c>
      <c r="AE304" s="3">
        <v>248.1</v>
      </c>
      <c r="AF304" s="3">
        <v>191</v>
      </c>
      <c r="AG304" s="3">
        <v>178.4</v>
      </c>
      <c r="AH304" s="3">
        <v>244.2</v>
      </c>
      <c r="AI304" s="3">
        <v>188.7</v>
      </c>
      <c r="AJ304" s="3">
        <v>291.39999999999998</v>
      </c>
      <c r="AK304" s="3">
        <v>356.2</v>
      </c>
      <c r="AL304" s="3">
        <v>285.10000000000002</v>
      </c>
      <c r="AM304" s="3">
        <v>288.7</v>
      </c>
      <c r="AN304" s="3">
        <v>314.60000000000002</v>
      </c>
      <c r="AO304" s="3">
        <v>174.8</v>
      </c>
      <c r="AP304" s="3">
        <v>235.4</v>
      </c>
      <c r="AQ304" s="3">
        <v>294.3</v>
      </c>
      <c r="AR304" s="3">
        <v>196.9</v>
      </c>
      <c r="AS304" s="3">
        <v>495.7</v>
      </c>
      <c r="AT304" s="3">
        <v>377.3</v>
      </c>
      <c r="AU304" s="3">
        <v>321.2</v>
      </c>
      <c r="AV304" s="3">
        <v>232.1</v>
      </c>
      <c r="AW304" s="3">
        <v>282.7</v>
      </c>
      <c r="AX304" s="3">
        <v>316.8</v>
      </c>
      <c r="AY304" s="3">
        <v>439.7</v>
      </c>
      <c r="AZ304" s="3">
        <v>362.7</v>
      </c>
      <c r="BA304" s="3">
        <v>224.1</v>
      </c>
      <c r="BB304" s="3">
        <v>348.1</v>
      </c>
      <c r="BC304" s="3">
        <v>311.5</v>
      </c>
      <c r="BD304" s="3">
        <v>265.2</v>
      </c>
      <c r="BE304" s="3">
        <v>350.2</v>
      </c>
      <c r="BF304" s="3">
        <v>505.4</v>
      </c>
      <c r="BG304" s="3">
        <v>225.5</v>
      </c>
      <c r="BH304" s="3">
        <v>201.7</v>
      </c>
      <c r="BI304" s="3">
        <v>76.3</v>
      </c>
      <c r="BJ304" s="3">
        <v>180.8</v>
      </c>
      <c r="BK304" s="3">
        <v>207.3</v>
      </c>
      <c r="BL304" s="3">
        <v>221</v>
      </c>
      <c r="BM304" s="3">
        <v>288.39999999999998</v>
      </c>
      <c r="BN304" s="3">
        <v>95.4</v>
      </c>
      <c r="BO304" s="3">
        <v>350.1</v>
      </c>
      <c r="BP304" s="3">
        <v>352.5</v>
      </c>
      <c r="BQ304" s="3">
        <v>119.3</v>
      </c>
      <c r="BR304" s="3">
        <v>76.5</v>
      </c>
      <c r="BS304" s="3">
        <v>113.6</v>
      </c>
      <c r="BT304" s="3">
        <v>181.2</v>
      </c>
      <c r="BU304" s="3">
        <v>120</v>
      </c>
      <c r="BV304" s="3">
        <v>172.9</v>
      </c>
      <c r="BW304" s="3">
        <v>219.1</v>
      </c>
      <c r="BX304" s="3">
        <v>440.5</v>
      </c>
      <c r="BY304" s="3">
        <v>98.3</v>
      </c>
      <c r="BZ304" s="3">
        <v>378.2</v>
      </c>
      <c r="CA304" s="3">
        <v>405.9</v>
      </c>
      <c r="CB304" s="3">
        <v>532.6</v>
      </c>
      <c r="CC304" s="3">
        <v>348.9</v>
      </c>
      <c r="CD304" s="3">
        <v>361.3</v>
      </c>
      <c r="CE304" s="3">
        <v>265.7</v>
      </c>
      <c r="CF304" s="3">
        <v>9.1</v>
      </c>
      <c r="CG304" s="3">
        <v>100.6</v>
      </c>
      <c r="CH304" s="3">
        <v>82</v>
      </c>
      <c r="CI304" s="3">
        <v>304.89999999999998</v>
      </c>
      <c r="CJ304" s="3">
        <v>168.8</v>
      </c>
      <c r="CK304" s="3">
        <v>187.9</v>
      </c>
      <c r="CL304" s="3">
        <v>455.7</v>
      </c>
      <c r="CM304" s="3">
        <v>217.8</v>
      </c>
      <c r="CN304" s="3">
        <v>191.9</v>
      </c>
    </row>
    <row r="305" spans="1:92" x14ac:dyDescent="0.25">
      <c r="A305" s="4">
        <v>41000</v>
      </c>
      <c r="B305" s="3">
        <v>220.6</v>
      </c>
      <c r="C305" s="3">
        <v>200</v>
      </c>
      <c r="D305" s="3">
        <v>242.4</v>
      </c>
      <c r="E305" s="3">
        <v>198.2</v>
      </c>
      <c r="F305" s="3">
        <v>302</v>
      </c>
      <c r="G305" s="3">
        <v>314.89999999999998</v>
      </c>
      <c r="H305" s="3">
        <v>219.8</v>
      </c>
      <c r="I305" s="3">
        <v>216.4</v>
      </c>
      <c r="J305" s="3">
        <v>140.19999999999999</v>
      </c>
      <c r="K305" s="3">
        <v>183.2</v>
      </c>
      <c r="L305" s="3">
        <v>236.2</v>
      </c>
      <c r="M305" s="3">
        <v>236.2</v>
      </c>
      <c r="N305" s="3">
        <v>233.7</v>
      </c>
      <c r="O305" s="3">
        <v>304.5</v>
      </c>
      <c r="P305" s="3">
        <v>192</v>
      </c>
      <c r="Q305" s="3">
        <v>241.4</v>
      </c>
      <c r="R305" s="3">
        <v>264.3</v>
      </c>
      <c r="S305" s="3">
        <v>241.8</v>
      </c>
      <c r="T305" s="3">
        <v>181.2</v>
      </c>
      <c r="U305" s="3">
        <v>222.6</v>
      </c>
      <c r="V305" s="3">
        <v>170.8</v>
      </c>
      <c r="W305" s="3">
        <v>250.2</v>
      </c>
      <c r="X305" s="3">
        <v>212.1</v>
      </c>
      <c r="Y305" s="3">
        <v>274.10000000000002</v>
      </c>
      <c r="Z305" s="3">
        <v>205.5</v>
      </c>
      <c r="AA305" s="3">
        <v>189.5</v>
      </c>
      <c r="AB305" s="3">
        <v>206.2</v>
      </c>
      <c r="AC305" s="3">
        <v>187.4</v>
      </c>
      <c r="AD305" s="3">
        <v>165.9</v>
      </c>
      <c r="AE305" s="3">
        <v>256.8</v>
      </c>
      <c r="AF305" s="3">
        <v>190.5</v>
      </c>
      <c r="AG305" s="3">
        <v>176.5</v>
      </c>
      <c r="AH305" s="3">
        <v>248.7</v>
      </c>
      <c r="AI305" s="3">
        <v>185.2</v>
      </c>
      <c r="AJ305" s="3">
        <v>293.2</v>
      </c>
      <c r="AK305" s="3">
        <v>356.9</v>
      </c>
      <c r="AL305" s="3">
        <v>285.89999999999998</v>
      </c>
      <c r="AM305" s="3">
        <v>290.3</v>
      </c>
      <c r="AN305" s="3">
        <v>318.2</v>
      </c>
      <c r="AO305" s="3">
        <v>171.9</v>
      </c>
      <c r="AP305" s="3">
        <v>237.7</v>
      </c>
      <c r="AQ305" s="3">
        <v>298.8</v>
      </c>
      <c r="AR305" s="3">
        <v>197.8</v>
      </c>
      <c r="AS305" s="3">
        <v>521.4</v>
      </c>
      <c r="AT305" s="3">
        <v>396.3</v>
      </c>
      <c r="AU305" s="3">
        <v>325.3</v>
      </c>
      <c r="AV305" s="3">
        <v>232.9</v>
      </c>
      <c r="AW305" s="3">
        <v>282</v>
      </c>
      <c r="AX305" s="3">
        <v>318.2</v>
      </c>
      <c r="AY305" s="3">
        <v>465.4</v>
      </c>
      <c r="AZ305" s="3">
        <v>363.1</v>
      </c>
      <c r="BA305" s="3">
        <v>224.7</v>
      </c>
      <c r="BB305" s="3">
        <v>353.1</v>
      </c>
      <c r="BC305" s="3">
        <v>311.60000000000002</v>
      </c>
      <c r="BD305" s="3">
        <v>265.2</v>
      </c>
      <c r="BE305" s="3">
        <v>348</v>
      </c>
      <c r="BF305" s="3">
        <v>500.1</v>
      </c>
      <c r="BG305" s="3">
        <v>215.6</v>
      </c>
      <c r="BH305" s="3">
        <v>208</v>
      </c>
      <c r="BI305" s="3">
        <v>76.599999999999994</v>
      </c>
      <c r="BJ305" s="3">
        <v>177.9</v>
      </c>
      <c r="BK305" s="3">
        <v>206.4</v>
      </c>
      <c r="BL305" s="3">
        <v>221.2</v>
      </c>
      <c r="BM305" s="3">
        <v>288.39999999999998</v>
      </c>
      <c r="BN305" s="3">
        <v>96</v>
      </c>
      <c r="BO305" s="3">
        <v>350.3</v>
      </c>
      <c r="BP305" s="3">
        <v>353.8</v>
      </c>
      <c r="BQ305" s="3">
        <v>122.9</v>
      </c>
      <c r="BR305" s="3">
        <v>76.7</v>
      </c>
      <c r="BS305" s="3">
        <v>112.2</v>
      </c>
      <c r="BT305" s="3">
        <v>180.7</v>
      </c>
      <c r="BU305" s="3">
        <v>121.3</v>
      </c>
      <c r="BV305" s="3">
        <v>172</v>
      </c>
      <c r="BW305" s="3">
        <v>220.2</v>
      </c>
      <c r="BX305" s="3">
        <v>446</v>
      </c>
      <c r="BY305" s="3">
        <v>98.3</v>
      </c>
      <c r="BZ305" s="3">
        <v>379.8</v>
      </c>
      <c r="CA305" s="3">
        <v>417.2</v>
      </c>
      <c r="CB305" s="3">
        <v>535</v>
      </c>
      <c r="CC305" s="3">
        <v>351.2</v>
      </c>
      <c r="CD305" s="3">
        <v>365.6</v>
      </c>
      <c r="CE305" s="3">
        <v>274.7</v>
      </c>
      <c r="CF305" s="3">
        <v>9</v>
      </c>
      <c r="CG305" s="3">
        <v>105.2</v>
      </c>
      <c r="CH305" s="3">
        <v>81.5</v>
      </c>
      <c r="CI305" s="3">
        <v>308.2</v>
      </c>
      <c r="CJ305" s="3">
        <v>175.1</v>
      </c>
      <c r="CK305" s="3">
        <v>187.9</v>
      </c>
      <c r="CL305" s="3">
        <v>461.7</v>
      </c>
      <c r="CM305" s="3">
        <v>219.7</v>
      </c>
      <c r="CN305" s="3">
        <v>197.5</v>
      </c>
    </row>
    <row r="306" spans="1:92" x14ac:dyDescent="0.25">
      <c r="A306" s="4">
        <v>41030</v>
      </c>
      <c r="B306" s="3">
        <v>217.3</v>
      </c>
      <c r="C306" s="3">
        <v>200.1</v>
      </c>
      <c r="D306" s="3">
        <v>241</v>
      </c>
      <c r="E306" s="3">
        <v>203.4</v>
      </c>
      <c r="F306" s="3">
        <v>305.2</v>
      </c>
      <c r="G306" s="3">
        <v>320.5</v>
      </c>
      <c r="H306" s="3">
        <v>225.5</v>
      </c>
      <c r="I306" s="3">
        <v>217.3</v>
      </c>
      <c r="J306" s="3">
        <v>139.19999999999999</v>
      </c>
      <c r="K306" s="3">
        <v>183.7</v>
      </c>
      <c r="L306" s="3">
        <v>240.1</v>
      </c>
      <c r="M306" s="3">
        <v>243.2</v>
      </c>
      <c r="N306" s="3">
        <v>234.7</v>
      </c>
      <c r="O306" s="3">
        <v>308.3</v>
      </c>
      <c r="P306" s="3">
        <v>192.8</v>
      </c>
      <c r="Q306" s="3">
        <v>239.9</v>
      </c>
      <c r="R306" s="3">
        <v>263.5</v>
      </c>
      <c r="S306" s="3">
        <v>242.3</v>
      </c>
      <c r="T306" s="3">
        <v>180.5</v>
      </c>
      <c r="U306" s="3">
        <v>210.8</v>
      </c>
      <c r="V306" s="3">
        <v>170.5</v>
      </c>
      <c r="W306" s="3">
        <v>249.7</v>
      </c>
      <c r="X306" s="3">
        <v>216.3</v>
      </c>
      <c r="Y306" s="3">
        <v>277</v>
      </c>
      <c r="Z306" s="3">
        <v>208.8</v>
      </c>
      <c r="AA306" s="3">
        <v>193</v>
      </c>
      <c r="AB306" s="3">
        <v>209.1</v>
      </c>
      <c r="AC306" s="3">
        <v>187.4</v>
      </c>
      <c r="AD306" s="3">
        <v>167.1</v>
      </c>
      <c r="AE306" s="3">
        <v>250.5</v>
      </c>
      <c r="AF306" s="3">
        <v>190.6</v>
      </c>
      <c r="AG306" s="3">
        <v>176.8</v>
      </c>
      <c r="AH306" s="3">
        <v>247.8</v>
      </c>
      <c r="AI306" s="3">
        <v>188.4</v>
      </c>
      <c r="AJ306" s="3">
        <v>294</v>
      </c>
      <c r="AK306" s="3">
        <v>357.8</v>
      </c>
      <c r="AL306" s="3">
        <v>286.3</v>
      </c>
      <c r="AM306" s="3">
        <v>290.60000000000002</v>
      </c>
      <c r="AN306" s="3">
        <v>318.89999999999998</v>
      </c>
      <c r="AO306" s="3">
        <v>171.3</v>
      </c>
      <c r="AP306" s="3">
        <v>238.4</v>
      </c>
      <c r="AQ306" s="3">
        <v>299.89999999999998</v>
      </c>
      <c r="AR306" s="3">
        <v>198.2</v>
      </c>
      <c r="AS306" s="3">
        <v>521.70000000000005</v>
      </c>
      <c r="AT306" s="3">
        <v>393.7</v>
      </c>
      <c r="AU306" s="3">
        <v>325.8</v>
      </c>
      <c r="AV306" s="3">
        <v>233.9</v>
      </c>
      <c r="AW306" s="3">
        <v>282</v>
      </c>
      <c r="AX306" s="3">
        <v>318.2</v>
      </c>
      <c r="AY306" s="3">
        <v>465.4</v>
      </c>
      <c r="AZ306" s="3">
        <v>363.1</v>
      </c>
      <c r="BA306" s="3">
        <v>225</v>
      </c>
      <c r="BB306" s="3">
        <v>352.1</v>
      </c>
      <c r="BC306" s="3">
        <v>305.2</v>
      </c>
      <c r="BD306" s="3">
        <v>265</v>
      </c>
      <c r="BE306" s="3">
        <v>348</v>
      </c>
      <c r="BF306" s="3">
        <v>476.4</v>
      </c>
      <c r="BG306" s="3">
        <v>220.3</v>
      </c>
      <c r="BH306" s="3">
        <v>208.4</v>
      </c>
      <c r="BI306" s="3">
        <v>76.2</v>
      </c>
      <c r="BJ306" s="3">
        <v>177</v>
      </c>
      <c r="BK306" s="3">
        <v>204.1</v>
      </c>
      <c r="BL306" s="3">
        <v>222.3</v>
      </c>
      <c r="BM306" s="3">
        <v>355.7</v>
      </c>
      <c r="BN306" s="3">
        <v>95.9</v>
      </c>
      <c r="BO306" s="3">
        <v>351</v>
      </c>
      <c r="BP306" s="3">
        <v>352.3</v>
      </c>
      <c r="BQ306" s="3">
        <v>122.7</v>
      </c>
      <c r="BR306" s="3">
        <v>76.900000000000006</v>
      </c>
      <c r="BS306" s="3">
        <v>111</v>
      </c>
      <c r="BT306" s="3">
        <v>180.8</v>
      </c>
      <c r="BU306" s="3">
        <v>121.6</v>
      </c>
      <c r="BV306" s="3">
        <v>172.5</v>
      </c>
      <c r="BW306" s="3">
        <v>219.8</v>
      </c>
      <c r="BX306" s="3">
        <v>446.5</v>
      </c>
      <c r="BY306" s="3">
        <v>98.4</v>
      </c>
      <c r="BZ306" s="3">
        <v>380.8</v>
      </c>
      <c r="CA306" s="3">
        <v>406.3</v>
      </c>
      <c r="CB306" s="3">
        <v>533.6</v>
      </c>
      <c r="CC306" s="3">
        <v>349.1</v>
      </c>
      <c r="CD306" s="3">
        <v>364.1</v>
      </c>
      <c r="CE306" s="3">
        <v>276.7</v>
      </c>
      <c r="CF306" s="3">
        <v>8.9</v>
      </c>
      <c r="CG306" s="3">
        <v>104.8</v>
      </c>
      <c r="CH306" s="3">
        <v>80.900000000000006</v>
      </c>
      <c r="CI306" s="3">
        <v>303.2</v>
      </c>
      <c r="CJ306" s="3">
        <v>174.4</v>
      </c>
      <c r="CK306" s="3">
        <v>187.9</v>
      </c>
      <c r="CL306" s="3">
        <v>461.8</v>
      </c>
      <c r="CM306" s="3">
        <v>220.4</v>
      </c>
      <c r="CN306" s="3">
        <v>198.9</v>
      </c>
    </row>
    <row r="307" spans="1:92" x14ac:dyDescent="0.25">
      <c r="A307" s="4">
        <v>41061</v>
      </c>
      <c r="B307" s="3">
        <v>219.9</v>
      </c>
      <c r="C307" s="3">
        <v>199.7</v>
      </c>
      <c r="D307" s="3">
        <v>246.7</v>
      </c>
      <c r="E307" s="3">
        <v>203.8</v>
      </c>
      <c r="F307" s="3">
        <v>296.10000000000002</v>
      </c>
      <c r="G307" s="3">
        <v>308.60000000000002</v>
      </c>
      <c r="H307" s="3">
        <v>224.2</v>
      </c>
      <c r="I307" s="3">
        <v>213.9</v>
      </c>
      <c r="J307" s="3">
        <v>139.4</v>
      </c>
      <c r="K307" s="3">
        <v>182.5</v>
      </c>
      <c r="L307" s="3">
        <v>233.1</v>
      </c>
      <c r="M307" s="3">
        <v>236.1</v>
      </c>
      <c r="N307" s="3">
        <v>227.7</v>
      </c>
      <c r="O307" s="3">
        <v>309.60000000000002</v>
      </c>
      <c r="P307" s="3">
        <v>186.7</v>
      </c>
      <c r="Q307" s="3">
        <v>240</v>
      </c>
      <c r="R307" s="3">
        <v>265.39999999999998</v>
      </c>
      <c r="S307" s="3">
        <v>241.1</v>
      </c>
      <c r="T307" s="3">
        <v>181.5</v>
      </c>
      <c r="U307" s="3">
        <v>227.1</v>
      </c>
      <c r="V307" s="3">
        <v>170.3</v>
      </c>
      <c r="W307" s="3">
        <v>247.1</v>
      </c>
      <c r="X307" s="3">
        <v>207.1</v>
      </c>
      <c r="Y307" s="3">
        <v>273.89999999999998</v>
      </c>
      <c r="Z307" s="3">
        <v>212.9</v>
      </c>
      <c r="AA307" s="3">
        <v>196.8</v>
      </c>
      <c r="AB307" s="3">
        <v>213.3</v>
      </c>
      <c r="AC307" s="3">
        <v>189.1</v>
      </c>
      <c r="AD307" s="3">
        <v>168.9</v>
      </c>
      <c r="AE307" s="3">
        <v>251.8</v>
      </c>
      <c r="AF307" s="3">
        <v>190.6</v>
      </c>
      <c r="AG307" s="3">
        <v>178.3</v>
      </c>
      <c r="AH307" s="3">
        <v>242.5</v>
      </c>
      <c r="AI307" s="3">
        <v>187.3</v>
      </c>
      <c r="AJ307" s="3">
        <v>294.3</v>
      </c>
      <c r="AK307" s="3">
        <v>358</v>
      </c>
      <c r="AL307" s="3">
        <v>287.60000000000002</v>
      </c>
      <c r="AM307" s="3">
        <v>289.8</v>
      </c>
      <c r="AN307" s="3">
        <v>319.2</v>
      </c>
      <c r="AO307" s="3">
        <v>167.8</v>
      </c>
      <c r="AP307" s="3">
        <v>237.2</v>
      </c>
      <c r="AQ307" s="3">
        <v>300.2</v>
      </c>
      <c r="AR307" s="3">
        <v>195.7</v>
      </c>
      <c r="AS307" s="3">
        <v>522.9</v>
      </c>
      <c r="AT307" s="3">
        <v>394</v>
      </c>
      <c r="AU307" s="3">
        <v>326</v>
      </c>
      <c r="AV307" s="3">
        <v>236.1</v>
      </c>
      <c r="AW307" s="3">
        <v>283.2</v>
      </c>
      <c r="AX307" s="3">
        <v>318.2</v>
      </c>
      <c r="AY307" s="3">
        <v>465.4</v>
      </c>
      <c r="AZ307" s="3">
        <v>363.3</v>
      </c>
      <c r="BA307" s="3">
        <v>225.7</v>
      </c>
      <c r="BB307" s="3">
        <v>352.2</v>
      </c>
      <c r="BC307" s="3">
        <v>302.7</v>
      </c>
      <c r="BD307" s="3">
        <v>265</v>
      </c>
      <c r="BE307" s="3">
        <v>348</v>
      </c>
      <c r="BF307" s="3">
        <v>445.3</v>
      </c>
      <c r="BG307" s="3">
        <v>226.8</v>
      </c>
      <c r="BH307" s="3">
        <v>210.7</v>
      </c>
      <c r="BI307" s="3">
        <v>73.2</v>
      </c>
      <c r="BJ307" s="3">
        <v>178.4</v>
      </c>
      <c r="BK307" s="3">
        <v>205.8</v>
      </c>
      <c r="BL307" s="3">
        <v>222.7</v>
      </c>
      <c r="BM307" s="3">
        <v>355.7</v>
      </c>
      <c r="BN307" s="3">
        <v>95.9</v>
      </c>
      <c r="BO307" s="3">
        <v>351.6</v>
      </c>
      <c r="BP307" s="3">
        <v>352.7</v>
      </c>
      <c r="BQ307" s="3">
        <v>121</v>
      </c>
      <c r="BR307" s="3">
        <v>71.2</v>
      </c>
      <c r="BS307" s="3">
        <v>106.3</v>
      </c>
      <c r="BT307" s="3">
        <v>178.6</v>
      </c>
      <c r="BU307" s="3">
        <v>119.9</v>
      </c>
      <c r="BV307" s="3">
        <v>172.1</v>
      </c>
      <c r="BW307" s="3">
        <v>219.5</v>
      </c>
      <c r="BX307" s="3">
        <v>446.8</v>
      </c>
      <c r="BY307" s="3">
        <v>97.6</v>
      </c>
      <c r="BZ307" s="3">
        <v>381.6</v>
      </c>
      <c r="CA307" s="3">
        <v>387.8</v>
      </c>
      <c r="CB307" s="3">
        <v>536.20000000000005</v>
      </c>
      <c r="CC307" s="3">
        <v>349.7</v>
      </c>
      <c r="CD307" s="3">
        <v>364.3</v>
      </c>
      <c r="CE307" s="3">
        <v>286.10000000000002</v>
      </c>
      <c r="CF307" s="3">
        <v>8.9</v>
      </c>
      <c r="CG307" s="3">
        <v>106.3</v>
      </c>
      <c r="CH307" s="3">
        <v>81.2</v>
      </c>
      <c r="CI307" s="3">
        <v>303.5</v>
      </c>
      <c r="CJ307" s="3">
        <v>174.4</v>
      </c>
      <c r="CK307" s="3">
        <v>187.9</v>
      </c>
      <c r="CL307" s="3">
        <v>461.2</v>
      </c>
      <c r="CM307" s="3">
        <v>222.8</v>
      </c>
      <c r="CN307" s="3">
        <v>198.1</v>
      </c>
    </row>
    <row r="308" spans="1:92" x14ac:dyDescent="0.25">
      <c r="A308" s="4">
        <v>41091</v>
      </c>
      <c r="B308" s="3">
        <v>218.2</v>
      </c>
      <c r="C308" s="3">
        <v>200.6</v>
      </c>
      <c r="D308" s="3">
        <v>244.5</v>
      </c>
      <c r="E308" s="3">
        <v>200.4</v>
      </c>
      <c r="F308" s="3">
        <v>295.8</v>
      </c>
      <c r="G308" s="3">
        <v>306.7</v>
      </c>
      <c r="H308" s="3">
        <v>227.7</v>
      </c>
      <c r="I308" s="3">
        <v>215</v>
      </c>
      <c r="J308" s="3">
        <v>140.1</v>
      </c>
      <c r="K308" s="3">
        <v>182.7</v>
      </c>
      <c r="L308" s="3">
        <v>235</v>
      </c>
      <c r="M308" s="3">
        <v>241.3</v>
      </c>
      <c r="N308" s="3">
        <v>226.4</v>
      </c>
      <c r="O308" s="3">
        <v>311.2</v>
      </c>
      <c r="P308" s="3">
        <v>194</v>
      </c>
      <c r="Q308" s="3">
        <v>240.8</v>
      </c>
      <c r="R308" s="3">
        <v>263.3</v>
      </c>
      <c r="S308" s="3">
        <v>241.1</v>
      </c>
      <c r="T308" s="3">
        <v>179.2</v>
      </c>
      <c r="U308" s="3">
        <v>224.7</v>
      </c>
      <c r="V308" s="3">
        <v>169.4</v>
      </c>
      <c r="W308" s="3">
        <v>255.1</v>
      </c>
      <c r="X308" s="3">
        <v>212.9</v>
      </c>
      <c r="Y308" s="3">
        <v>276.2</v>
      </c>
      <c r="Z308" s="3">
        <v>211.2</v>
      </c>
      <c r="AA308" s="3">
        <v>197.8</v>
      </c>
      <c r="AB308" s="3">
        <v>209.7</v>
      </c>
      <c r="AC308" s="3">
        <v>189.8</v>
      </c>
      <c r="AD308" s="3">
        <v>169.7</v>
      </c>
      <c r="AE308" s="3">
        <v>251.4</v>
      </c>
      <c r="AF308" s="3">
        <v>188.7</v>
      </c>
      <c r="AG308" s="3">
        <v>175.2</v>
      </c>
      <c r="AH308" s="3">
        <v>244.9</v>
      </c>
      <c r="AI308" s="3">
        <v>186.6</v>
      </c>
      <c r="AJ308" s="3">
        <v>295</v>
      </c>
      <c r="AK308" s="3">
        <v>358.5</v>
      </c>
      <c r="AL308" s="3">
        <v>288.2</v>
      </c>
      <c r="AM308" s="3">
        <v>291.89999999999998</v>
      </c>
      <c r="AN308" s="3">
        <v>319.89999999999998</v>
      </c>
      <c r="AO308" s="3">
        <v>172.9</v>
      </c>
      <c r="AP308" s="3">
        <v>237.2</v>
      </c>
      <c r="AQ308" s="3">
        <v>300.8</v>
      </c>
      <c r="AR308" s="3">
        <v>195.3</v>
      </c>
      <c r="AS308" s="3">
        <v>527.20000000000005</v>
      </c>
      <c r="AT308" s="3">
        <v>396.3</v>
      </c>
      <c r="AU308" s="3">
        <v>328.8</v>
      </c>
      <c r="AV308" s="3">
        <v>237.6</v>
      </c>
      <c r="AW308" s="3">
        <v>285.3</v>
      </c>
      <c r="AX308" s="3">
        <v>318.2</v>
      </c>
      <c r="AY308" s="3">
        <v>465.4</v>
      </c>
      <c r="AZ308" s="3">
        <v>363</v>
      </c>
      <c r="BA308" s="3">
        <v>225.5</v>
      </c>
      <c r="BB308" s="3">
        <v>353.4</v>
      </c>
      <c r="BC308" s="3">
        <v>303.39999999999998</v>
      </c>
      <c r="BD308" s="3">
        <v>265</v>
      </c>
      <c r="BE308" s="3">
        <v>348</v>
      </c>
      <c r="BF308" s="3">
        <v>454.3</v>
      </c>
      <c r="BG308" s="3">
        <v>216.9</v>
      </c>
      <c r="BH308" s="3">
        <v>207.4</v>
      </c>
      <c r="BI308" s="3">
        <v>74.8</v>
      </c>
      <c r="BJ308" s="3">
        <v>175.7</v>
      </c>
      <c r="BK308" s="3">
        <v>202.8</v>
      </c>
      <c r="BL308" s="3">
        <v>221.4</v>
      </c>
      <c r="BM308" s="3">
        <v>355.7</v>
      </c>
      <c r="BN308" s="3">
        <v>96.4</v>
      </c>
      <c r="BO308" s="3">
        <v>352.1</v>
      </c>
      <c r="BP308" s="3">
        <v>354.5</v>
      </c>
      <c r="BQ308" s="3">
        <v>119.5</v>
      </c>
      <c r="BR308" s="3">
        <v>67.599999999999994</v>
      </c>
      <c r="BS308" s="3">
        <v>108.1</v>
      </c>
      <c r="BT308" s="3">
        <v>178.1</v>
      </c>
      <c r="BU308" s="3">
        <v>120</v>
      </c>
      <c r="BV308" s="3">
        <v>171.8</v>
      </c>
      <c r="BW308" s="3">
        <v>218.5</v>
      </c>
      <c r="BX308" s="3">
        <v>448.2</v>
      </c>
      <c r="BY308" s="3">
        <v>97.1</v>
      </c>
      <c r="BZ308" s="3">
        <v>382.4</v>
      </c>
      <c r="CA308" s="3">
        <v>386.2</v>
      </c>
      <c r="CB308" s="3">
        <v>530.79999999999995</v>
      </c>
      <c r="CC308" s="3">
        <v>351.8</v>
      </c>
      <c r="CD308" s="3">
        <v>364.1</v>
      </c>
      <c r="CE308" s="3">
        <v>313.10000000000002</v>
      </c>
      <c r="CF308" s="3">
        <v>8.6999999999999993</v>
      </c>
      <c r="CG308" s="3">
        <v>104.6</v>
      </c>
      <c r="CH308" s="3">
        <v>80.900000000000006</v>
      </c>
      <c r="CI308" s="3">
        <v>310.8</v>
      </c>
      <c r="CJ308" s="3">
        <v>174.3</v>
      </c>
      <c r="CK308" s="3">
        <v>187.9</v>
      </c>
      <c r="CL308" s="3">
        <v>462.5</v>
      </c>
      <c r="CM308" s="3">
        <v>224.1</v>
      </c>
      <c r="CN308" s="3">
        <v>199.5</v>
      </c>
    </row>
    <row r="309" spans="1:92" x14ac:dyDescent="0.25">
      <c r="A309" s="4">
        <v>41122</v>
      </c>
      <c r="B309" s="3">
        <v>219.6</v>
      </c>
      <c r="C309" s="3">
        <v>202</v>
      </c>
      <c r="D309" s="3">
        <v>241.7</v>
      </c>
      <c r="E309" s="3">
        <v>202.4</v>
      </c>
      <c r="F309" s="3">
        <v>295.60000000000002</v>
      </c>
      <c r="G309" s="3">
        <v>303.2</v>
      </c>
      <c r="H309" s="3">
        <v>228.8</v>
      </c>
      <c r="I309" s="3">
        <v>212.3</v>
      </c>
      <c r="J309" s="3">
        <v>137.1</v>
      </c>
      <c r="K309" s="3">
        <v>183.4</v>
      </c>
      <c r="L309" s="3">
        <v>238.1</v>
      </c>
      <c r="M309" s="3">
        <v>237.1</v>
      </c>
      <c r="N309" s="3">
        <v>236.7</v>
      </c>
      <c r="O309" s="3">
        <v>292.39999999999998</v>
      </c>
      <c r="P309" s="3">
        <v>190.8</v>
      </c>
      <c r="Q309" s="3">
        <v>239.5</v>
      </c>
      <c r="R309" s="3">
        <v>261.5</v>
      </c>
      <c r="S309" s="3">
        <v>240.2</v>
      </c>
      <c r="T309" s="3">
        <v>184.2</v>
      </c>
      <c r="U309" s="3">
        <v>225.4</v>
      </c>
      <c r="V309" s="3">
        <v>169.3</v>
      </c>
      <c r="W309" s="3">
        <v>254.2</v>
      </c>
      <c r="X309" s="3">
        <v>205.7</v>
      </c>
      <c r="Y309" s="3">
        <v>276.60000000000002</v>
      </c>
      <c r="Z309" s="3">
        <v>214.1</v>
      </c>
      <c r="AA309" s="3">
        <v>199.6</v>
      </c>
      <c r="AB309" s="3">
        <v>213.3</v>
      </c>
      <c r="AC309" s="3">
        <v>186.5</v>
      </c>
      <c r="AD309" s="3">
        <v>166.9</v>
      </c>
      <c r="AE309" s="3">
        <v>246.2</v>
      </c>
      <c r="AF309" s="3">
        <v>189.6</v>
      </c>
      <c r="AG309" s="3">
        <v>176</v>
      </c>
      <c r="AH309" s="3">
        <v>246</v>
      </c>
      <c r="AI309" s="3">
        <v>189.8</v>
      </c>
      <c r="AJ309" s="3">
        <v>295.2</v>
      </c>
      <c r="AK309" s="3">
        <v>358.9</v>
      </c>
      <c r="AL309" s="3">
        <v>288.89999999999998</v>
      </c>
      <c r="AM309" s="3">
        <v>291.5</v>
      </c>
      <c r="AN309" s="3">
        <v>319.89999999999998</v>
      </c>
      <c r="AO309" s="3">
        <v>171.7</v>
      </c>
      <c r="AP309" s="3">
        <v>238</v>
      </c>
      <c r="AQ309" s="3">
        <v>301.3</v>
      </c>
      <c r="AR309" s="3">
        <v>196.3</v>
      </c>
      <c r="AS309" s="3">
        <v>527.70000000000005</v>
      </c>
      <c r="AT309" s="3">
        <v>397.9</v>
      </c>
      <c r="AU309" s="3">
        <v>329.1</v>
      </c>
      <c r="AV309" s="3">
        <v>238.9</v>
      </c>
      <c r="AW309" s="3">
        <v>286.7</v>
      </c>
      <c r="AX309" s="3">
        <v>318.2</v>
      </c>
      <c r="AY309" s="3">
        <v>465.4</v>
      </c>
      <c r="AZ309" s="3">
        <v>362.5</v>
      </c>
      <c r="BA309" s="3">
        <v>224.3</v>
      </c>
      <c r="BB309" s="3">
        <v>351.1</v>
      </c>
      <c r="BC309" s="3">
        <v>303.39999999999998</v>
      </c>
      <c r="BD309" s="3">
        <v>265</v>
      </c>
      <c r="BE309" s="3">
        <v>348</v>
      </c>
      <c r="BF309" s="3">
        <v>481.3</v>
      </c>
      <c r="BG309" s="3">
        <v>220.4</v>
      </c>
      <c r="BH309" s="3">
        <v>206.9</v>
      </c>
      <c r="BI309" s="3">
        <v>75.2</v>
      </c>
      <c r="BJ309" s="3">
        <v>181.1</v>
      </c>
      <c r="BK309" s="3">
        <v>202.2</v>
      </c>
      <c r="BL309" s="3">
        <v>221.4</v>
      </c>
      <c r="BM309" s="3">
        <v>355.7</v>
      </c>
      <c r="BN309" s="3">
        <v>96.4</v>
      </c>
      <c r="BO309" s="3">
        <v>352.3</v>
      </c>
      <c r="BP309" s="3">
        <v>354.2</v>
      </c>
      <c r="BQ309" s="3">
        <v>119.3</v>
      </c>
      <c r="BR309" s="3">
        <v>72.5</v>
      </c>
      <c r="BS309" s="3">
        <v>111.2</v>
      </c>
      <c r="BT309" s="3">
        <v>180.3</v>
      </c>
      <c r="BU309" s="3">
        <v>120.5</v>
      </c>
      <c r="BV309" s="3">
        <v>174.5</v>
      </c>
      <c r="BW309" s="3">
        <v>218.1</v>
      </c>
      <c r="BX309" s="3">
        <v>448.7</v>
      </c>
      <c r="BY309" s="3">
        <v>95.9</v>
      </c>
      <c r="BZ309" s="3">
        <v>382.3</v>
      </c>
      <c r="CA309" s="3">
        <v>394.1</v>
      </c>
      <c r="CB309" s="3">
        <v>525.29999999999995</v>
      </c>
      <c r="CC309" s="3">
        <v>351.7</v>
      </c>
      <c r="CD309" s="3">
        <v>363.9</v>
      </c>
      <c r="CE309" s="3">
        <v>329.9</v>
      </c>
      <c r="CF309" s="3">
        <v>8.6</v>
      </c>
      <c r="CG309" s="3">
        <v>99.8</v>
      </c>
      <c r="CH309" s="3">
        <v>80</v>
      </c>
      <c r="CI309" s="3">
        <v>316.3</v>
      </c>
      <c r="CJ309" s="3">
        <v>175.7</v>
      </c>
      <c r="CK309" s="3">
        <v>187.9</v>
      </c>
      <c r="CL309" s="3">
        <v>462.6</v>
      </c>
      <c r="CM309" s="3">
        <v>225.7</v>
      </c>
      <c r="CN309" s="3">
        <v>200.5</v>
      </c>
    </row>
    <row r="310" spans="1:92" x14ac:dyDescent="0.25">
      <c r="A310" s="4">
        <v>41153</v>
      </c>
      <c r="B310" s="3">
        <v>222</v>
      </c>
      <c r="C310" s="3">
        <v>203</v>
      </c>
      <c r="D310" s="3">
        <v>242.8</v>
      </c>
      <c r="E310" s="3">
        <v>203</v>
      </c>
      <c r="F310" s="3">
        <v>289.89999999999998</v>
      </c>
      <c r="G310" s="3">
        <v>291.3</v>
      </c>
      <c r="H310" s="3">
        <v>230.1</v>
      </c>
      <c r="I310" s="3">
        <v>215.5</v>
      </c>
      <c r="J310" s="3">
        <v>138.69999999999999</v>
      </c>
      <c r="K310" s="3">
        <v>183.3</v>
      </c>
      <c r="L310" s="3">
        <v>236.6</v>
      </c>
      <c r="M310" s="3">
        <v>234.1</v>
      </c>
      <c r="N310" s="3">
        <v>236.5</v>
      </c>
      <c r="O310" s="3">
        <v>305.2</v>
      </c>
      <c r="P310" s="3">
        <v>187.1</v>
      </c>
      <c r="Q310" s="3">
        <v>242.3</v>
      </c>
      <c r="R310" s="3">
        <v>265.7</v>
      </c>
      <c r="S310" s="3">
        <v>239.9</v>
      </c>
      <c r="T310" s="3">
        <v>182.3</v>
      </c>
      <c r="U310" s="3">
        <v>220</v>
      </c>
      <c r="V310" s="3">
        <v>168.4</v>
      </c>
      <c r="W310" s="3">
        <v>252.7</v>
      </c>
      <c r="X310" s="3">
        <v>205.1</v>
      </c>
      <c r="Y310" s="3">
        <v>277.8</v>
      </c>
      <c r="Z310" s="3">
        <v>215.6</v>
      </c>
      <c r="AA310" s="3">
        <v>204.8</v>
      </c>
      <c r="AB310" s="3">
        <v>211.8</v>
      </c>
      <c r="AC310" s="3">
        <v>186.9</v>
      </c>
      <c r="AD310" s="3">
        <v>165.7</v>
      </c>
      <c r="AE310" s="3">
        <v>255.1</v>
      </c>
      <c r="AF310" s="3">
        <v>188.3</v>
      </c>
      <c r="AG310" s="3">
        <v>174.6</v>
      </c>
      <c r="AH310" s="3">
        <v>245.2</v>
      </c>
      <c r="AI310" s="3">
        <v>190.1</v>
      </c>
      <c r="AJ310" s="3">
        <v>295.7</v>
      </c>
      <c r="AK310" s="3">
        <v>361.6</v>
      </c>
      <c r="AL310" s="3">
        <v>289.89999999999998</v>
      </c>
      <c r="AM310" s="3">
        <v>291.39999999999998</v>
      </c>
      <c r="AN310" s="3">
        <v>320</v>
      </c>
      <c r="AO310" s="3">
        <v>171.1</v>
      </c>
      <c r="AP310" s="3">
        <v>239.3</v>
      </c>
      <c r="AQ310" s="3">
        <v>300.8</v>
      </c>
      <c r="AR310" s="3">
        <v>199.1</v>
      </c>
      <c r="AS310" s="3">
        <v>534.4</v>
      </c>
      <c r="AT310" s="3">
        <v>401.9</v>
      </c>
      <c r="AU310" s="3">
        <v>329.2</v>
      </c>
      <c r="AV310" s="3">
        <v>239.6</v>
      </c>
      <c r="AW310" s="3">
        <v>288.3</v>
      </c>
      <c r="AX310" s="3">
        <v>318.2</v>
      </c>
      <c r="AY310" s="3">
        <v>465.4</v>
      </c>
      <c r="AZ310" s="3">
        <v>362.6</v>
      </c>
      <c r="BA310" s="3">
        <v>225.3</v>
      </c>
      <c r="BB310" s="3">
        <v>352.3</v>
      </c>
      <c r="BC310" s="3">
        <v>304.39999999999998</v>
      </c>
      <c r="BD310" s="3">
        <v>265</v>
      </c>
      <c r="BE310" s="3">
        <v>348</v>
      </c>
      <c r="BF310" s="3">
        <v>492.7</v>
      </c>
      <c r="BG310" s="3">
        <v>225.8</v>
      </c>
      <c r="BH310" s="3">
        <v>208.1</v>
      </c>
      <c r="BI310" s="3">
        <v>75</v>
      </c>
      <c r="BJ310" s="3">
        <v>179.5</v>
      </c>
      <c r="BK310" s="3">
        <v>204.3</v>
      </c>
      <c r="BL310" s="3">
        <v>221.4</v>
      </c>
      <c r="BM310" s="3">
        <v>355.7</v>
      </c>
      <c r="BN310" s="3">
        <v>96.4</v>
      </c>
      <c r="BO310" s="3">
        <v>353.3</v>
      </c>
      <c r="BP310" s="3">
        <v>354.7</v>
      </c>
      <c r="BQ310" s="3">
        <v>122.6</v>
      </c>
      <c r="BR310" s="3">
        <v>79</v>
      </c>
      <c r="BS310" s="3">
        <v>112.1</v>
      </c>
      <c r="BT310" s="3">
        <v>183.3</v>
      </c>
      <c r="BU310" s="3">
        <v>123.1</v>
      </c>
      <c r="BV310" s="3">
        <v>175</v>
      </c>
      <c r="BW310" s="3">
        <v>222.3</v>
      </c>
      <c r="BX310" s="3">
        <v>449</v>
      </c>
      <c r="BY310" s="3">
        <v>96.1</v>
      </c>
      <c r="BZ310" s="3">
        <v>383.4</v>
      </c>
      <c r="CA310" s="3">
        <v>407</v>
      </c>
      <c r="CB310" s="3">
        <v>521.5</v>
      </c>
      <c r="CC310" s="3">
        <v>350.7</v>
      </c>
      <c r="CD310" s="3">
        <v>362.2</v>
      </c>
      <c r="CE310" s="3">
        <v>287</v>
      </c>
      <c r="CF310" s="3">
        <v>8.8000000000000007</v>
      </c>
      <c r="CG310" s="3">
        <v>103.2</v>
      </c>
      <c r="CH310" s="3">
        <v>80.400000000000006</v>
      </c>
      <c r="CI310" s="3">
        <v>318</v>
      </c>
      <c r="CJ310" s="3">
        <v>174.8</v>
      </c>
      <c r="CK310" s="3">
        <v>187.9</v>
      </c>
      <c r="CL310" s="3">
        <v>472.9</v>
      </c>
      <c r="CM310" s="3">
        <v>227.6</v>
      </c>
      <c r="CN310" s="3">
        <v>201.6</v>
      </c>
    </row>
    <row r="311" spans="1:92" x14ac:dyDescent="0.25">
      <c r="A311" s="4">
        <v>41183</v>
      </c>
      <c r="B311" s="3">
        <v>222.7</v>
      </c>
      <c r="C311" s="3">
        <v>203.8</v>
      </c>
      <c r="D311" s="3">
        <v>242.1</v>
      </c>
      <c r="E311" s="3">
        <v>204.3</v>
      </c>
      <c r="F311" s="3">
        <v>296.7</v>
      </c>
      <c r="G311" s="3">
        <v>305.39999999999998</v>
      </c>
      <c r="H311" s="3">
        <v>227.7</v>
      </c>
      <c r="I311" s="3">
        <v>214.2</v>
      </c>
      <c r="J311" s="3">
        <v>140.30000000000001</v>
      </c>
      <c r="K311" s="3">
        <v>183.8</v>
      </c>
      <c r="L311" s="3">
        <v>245.2</v>
      </c>
      <c r="M311" s="3">
        <v>243.1</v>
      </c>
      <c r="N311" s="3">
        <v>244.7</v>
      </c>
      <c r="O311" s="3">
        <v>305.2</v>
      </c>
      <c r="P311" s="3">
        <v>190.8</v>
      </c>
      <c r="Q311" s="3">
        <v>240.6</v>
      </c>
      <c r="R311" s="3">
        <v>263</v>
      </c>
      <c r="S311" s="3">
        <v>240.8</v>
      </c>
      <c r="T311" s="3">
        <v>181.4</v>
      </c>
      <c r="U311" s="3">
        <v>223.6</v>
      </c>
      <c r="V311" s="3">
        <v>168.5</v>
      </c>
      <c r="W311" s="3">
        <v>252.4</v>
      </c>
      <c r="X311" s="3">
        <v>204.3</v>
      </c>
      <c r="Y311" s="3">
        <v>282.89999999999998</v>
      </c>
      <c r="Z311" s="3">
        <v>221.7</v>
      </c>
      <c r="AA311" s="3">
        <v>217.2</v>
      </c>
      <c r="AB311" s="3">
        <v>213</v>
      </c>
      <c r="AC311" s="3">
        <v>185.1</v>
      </c>
      <c r="AD311" s="3">
        <v>165.1</v>
      </c>
      <c r="AE311" s="3">
        <v>247.4</v>
      </c>
      <c r="AF311" s="3">
        <v>191.5</v>
      </c>
      <c r="AG311" s="3">
        <v>178.2</v>
      </c>
      <c r="AH311" s="3">
        <v>246.9</v>
      </c>
      <c r="AI311" s="3">
        <v>189.5</v>
      </c>
      <c r="AJ311" s="3">
        <v>296.10000000000002</v>
      </c>
      <c r="AK311" s="3">
        <v>362.3</v>
      </c>
      <c r="AL311" s="3">
        <v>290.39999999999998</v>
      </c>
      <c r="AM311" s="3">
        <v>290.60000000000002</v>
      </c>
      <c r="AN311" s="3">
        <v>319.5</v>
      </c>
      <c r="AO311" s="3">
        <v>169.7</v>
      </c>
      <c r="AP311" s="3">
        <v>239.2</v>
      </c>
      <c r="AQ311" s="3">
        <v>300.7</v>
      </c>
      <c r="AR311" s="3">
        <v>199</v>
      </c>
      <c r="AS311" s="3">
        <v>539.4</v>
      </c>
      <c r="AT311" s="3">
        <v>403.7</v>
      </c>
      <c r="AU311" s="3">
        <v>330.6</v>
      </c>
      <c r="AV311" s="3">
        <v>245.7</v>
      </c>
      <c r="AW311" s="3">
        <v>287.8</v>
      </c>
      <c r="AX311" s="3">
        <v>318.2</v>
      </c>
      <c r="AY311" s="3">
        <v>465.4</v>
      </c>
      <c r="AZ311" s="3">
        <v>362.7</v>
      </c>
      <c r="BA311" s="3">
        <v>223.4</v>
      </c>
      <c r="BB311" s="3">
        <v>349.6</v>
      </c>
      <c r="BC311" s="3">
        <v>307</v>
      </c>
      <c r="BD311" s="3">
        <v>263.8</v>
      </c>
      <c r="BE311" s="3">
        <v>348</v>
      </c>
      <c r="BF311" s="3">
        <v>497.3</v>
      </c>
      <c r="BG311" s="3">
        <v>223.1</v>
      </c>
      <c r="BH311" s="3">
        <v>215.5</v>
      </c>
      <c r="BI311" s="3">
        <v>73.5</v>
      </c>
      <c r="BJ311" s="3">
        <v>182.2</v>
      </c>
      <c r="BK311" s="3">
        <v>203.8</v>
      </c>
      <c r="BL311" s="3">
        <v>221.2</v>
      </c>
      <c r="BM311" s="3">
        <v>355.7</v>
      </c>
      <c r="BN311" s="3">
        <v>96.7</v>
      </c>
      <c r="BO311" s="3">
        <v>352.9</v>
      </c>
      <c r="BP311" s="3">
        <v>396.5</v>
      </c>
      <c r="BQ311" s="3">
        <v>124.8</v>
      </c>
      <c r="BR311" s="3">
        <v>80</v>
      </c>
      <c r="BS311" s="3">
        <v>113.4</v>
      </c>
      <c r="BT311" s="3">
        <v>184.2</v>
      </c>
      <c r="BU311" s="3">
        <v>123.5</v>
      </c>
      <c r="BV311" s="3">
        <v>175.3</v>
      </c>
      <c r="BW311" s="3">
        <v>221</v>
      </c>
      <c r="BX311" s="3">
        <v>451.6</v>
      </c>
      <c r="BY311" s="3">
        <v>97.6</v>
      </c>
      <c r="BZ311" s="3">
        <v>383.3</v>
      </c>
      <c r="CA311" s="3">
        <v>405.2</v>
      </c>
      <c r="CB311" s="3">
        <v>509.3</v>
      </c>
      <c r="CC311" s="3">
        <v>348.8</v>
      </c>
      <c r="CD311" s="3">
        <v>363</v>
      </c>
      <c r="CE311" s="3">
        <v>283.10000000000002</v>
      </c>
      <c r="CF311" s="3">
        <v>8.6999999999999993</v>
      </c>
      <c r="CG311" s="3">
        <v>105.4</v>
      </c>
      <c r="CH311" s="3">
        <v>80.5</v>
      </c>
      <c r="CI311" s="3">
        <v>315.5</v>
      </c>
      <c r="CJ311" s="3">
        <v>177.8</v>
      </c>
      <c r="CK311" s="3">
        <v>191.1</v>
      </c>
      <c r="CL311" s="3">
        <v>474.2</v>
      </c>
      <c r="CM311" s="3">
        <v>228.6</v>
      </c>
      <c r="CN311" s="3">
        <v>201.4</v>
      </c>
    </row>
    <row r="312" spans="1:92" x14ac:dyDescent="0.25">
      <c r="A312" s="4">
        <v>41214</v>
      </c>
      <c r="B312" s="3">
        <v>228.3</v>
      </c>
      <c r="C312" s="3">
        <v>202.4</v>
      </c>
      <c r="D312" s="3">
        <v>244.6</v>
      </c>
      <c r="E312" s="3">
        <v>203.8</v>
      </c>
      <c r="F312" s="3">
        <v>281</v>
      </c>
      <c r="G312" s="3">
        <v>301.2</v>
      </c>
      <c r="H312" s="3">
        <v>235.4</v>
      </c>
      <c r="I312" s="3">
        <v>220</v>
      </c>
      <c r="J312" s="3">
        <v>142.30000000000001</v>
      </c>
      <c r="K312" s="3">
        <v>184.9</v>
      </c>
      <c r="L312" s="3">
        <v>240.3</v>
      </c>
      <c r="M312" s="3">
        <v>237</v>
      </c>
      <c r="N312" s="3">
        <v>241</v>
      </c>
      <c r="O312" s="3">
        <v>308.5</v>
      </c>
      <c r="P312" s="3">
        <v>191.8</v>
      </c>
      <c r="Q312" s="3">
        <v>240</v>
      </c>
      <c r="R312" s="3">
        <v>265.5</v>
      </c>
      <c r="S312" s="3">
        <v>241.1</v>
      </c>
      <c r="T312" s="3">
        <v>181.8</v>
      </c>
      <c r="U312" s="3">
        <v>228.4</v>
      </c>
      <c r="V312" s="3">
        <v>169.1</v>
      </c>
      <c r="W312" s="3">
        <v>252.1</v>
      </c>
      <c r="X312" s="3">
        <v>209.9</v>
      </c>
      <c r="Y312" s="3">
        <v>284.3</v>
      </c>
      <c r="Z312" s="3">
        <v>227.7</v>
      </c>
      <c r="AA312" s="3">
        <v>232.3</v>
      </c>
      <c r="AB312" s="3">
        <v>212</v>
      </c>
      <c r="AC312" s="3">
        <v>187.4</v>
      </c>
      <c r="AD312" s="3">
        <v>165.4</v>
      </c>
      <c r="AE312" s="3">
        <v>259.60000000000002</v>
      </c>
      <c r="AF312" s="3">
        <v>202</v>
      </c>
      <c r="AG312" s="3">
        <v>192</v>
      </c>
      <c r="AH312" s="3">
        <v>245.5</v>
      </c>
      <c r="AI312" s="3">
        <v>192.7</v>
      </c>
      <c r="AJ312" s="3">
        <v>297.89999999999998</v>
      </c>
      <c r="AK312" s="3">
        <v>363.7</v>
      </c>
      <c r="AL312" s="3">
        <v>291.10000000000002</v>
      </c>
      <c r="AM312" s="3">
        <v>290</v>
      </c>
      <c r="AN312" s="3">
        <v>320.60000000000002</v>
      </c>
      <c r="AO312" s="3">
        <v>165.5</v>
      </c>
      <c r="AP312" s="3">
        <v>238.4</v>
      </c>
      <c r="AQ312" s="3">
        <v>301.89999999999998</v>
      </c>
      <c r="AR312" s="3">
        <v>196.6</v>
      </c>
      <c r="AS312" s="3">
        <v>541.1</v>
      </c>
      <c r="AT312" s="3">
        <v>403.8</v>
      </c>
      <c r="AU312" s="3">
        <v>330.8</v>
      </c>
      <c r="AV312" s="3">
        <v>240.4</v>
      </c>
      <c r="AW312" s="3">
        <v>287.39999999999998</v>
      </c>
      <c r="AX312" s="3">
        <v>318.2</v>
      </c>
      <c r="AY312" s="3">
        <v>465.4</v>
      </c>
      <c r="AZ312" s="3">
        <v>362.6</v>
      </c>
      <c r="BA312" s="3">
        <v>223.9</v>
      </c>
      <c r="BB312" s="3">
        <v>349.5</v>
      </c>
      <c r="BC312" s="3">
        <v>308.2</v>
      </c>
      <c r="BD312" s="3">
        <v>268.60000000000002</v>
      </c>
      <c r="BE312" s="3">
        <v>354.6</v>
      </c>
      <c r="BF312" s="3">
        <v>487.6</v>
      </c>
      <c r="BG312" s="3">
        <v>224.5</v>
      </c>
      <c r="BH312" s="3">
        <v>204.2</v>
      </c>
      <c r="BI312" s="3">
        <v>73.400000000000006</v>
      </c>
      <c r="BJ312" s="3">
        <v>182.9</v>
      </c>
      <c r="BK312" s="3">
        <v>204.6</v>
      </c>
      <c r="BL312" s="3">
        <v>224.3</v>
      </c>
      <c r="BM312" s="3">
        <v>355.7</v>
      </c>
      <c r="BN312" s="3">
        <v>96.6</v>
      </c>
      <c r="BO312" s="3">
        <v>353.5</v>
      </c>
      <c r="BP312" s="3">
        <v>396.5</v>
      </c>
      <c r="BQ312" s="3">
        <v>126.3</v>
      </c>
      <c r="BR312" s="3">
        <v>80.099999999999994</v>
      </c>
      <c r="BS312" s="3">
        <v>114.9</v>
      </c>
      <c r="BT312" s="3">
        <v>184.5</v>
      </c>
      <c r="BU312" s="3">
        <v>123</v>
      </c>
      <c r="BV312" s="3">
        <v>176.6</v>
      </c>
      <c r="BW312" s="3">
        <v>224.3</v>
      </c>
      <c r="BX312" s="3">
        <v>451.7</v>
      </c>
      <c r="BY312" s="3">
        <v>97.7</v>
      </c>
      <c r="BZ312" s="3">
        <v>383.3</v>
      </c>
      <c r="CA312" s="3">
        <v>397.5</v>
      </c>
      <c r="CB312" s="3">
        <v>502.1</v>
      </c>
      <c r="CC312" s="3">
        <v>349.2</v>
      </c>
      <c r="CD312" s="3">
        <v>363</v>
      </c>
      <c r="CE312" s="3">
        <v>272.8</v>
      </c>
      <c r="CF312" s="3">
        <v>8.6</v>
      </c>
      <c r="CG312" s="3">
        <v>102.7</v>
      </c>
      <c r="CH312" s="3">
        <v>80.3</v>
      </c>
      <c r="CI312" s="3">
        <v>315.2</v>
      </c>
      <c r="CJ312" s="3">
        <v>179.1</v>
      </c>
      <c r="CK312" s="3">
        <v>191.1</v>
      </c>
      <c r="CL312" s="3">
        <v>475.7</v>
      </c>
      <c r="CM312" s="3">
        <v>229.3</v>
      </c>
      <c r="CN312" s="3">
        <v>203.6</v>
      </c>
    </row>
    <row r="313" spans="1:92" x14ac:dyDescent="0.25">
      <c r="A313" s="4">
        <v>41244</v>
      </c>
      <c r="B313" s="3">
        <v>228.6</v>
      </c>
      <c r="C313" s="3">
        <v>204.2</v>
      </c>
      <c r="D313" s="3">
        <v>248.9</v>
      </c>
      <c r="E313" s="3">
        <v>206.5</v>
      </c>
      <c r="F313" s="3">
        <v>286.3</v>
      </c>
      <c r="G313" s="3">
        <v>290.2</v>
      </c>
      <c r="H313" s="3">
        <v>243.1</v>
      </c>
      <c r="I313" s="3">
        <v>224.1</v>
      </c>
      <c r="J313" s="3">
        <v>143.19999999999999</v>
      </c>
      <c r="K313" s="3">
        <v>189.5</v>
      </c>
      <c r="L313" s="3">
        <v>242.3</v>
      </c>
      <c r="M313" s="3">
        <v>237.7</v>
      </c>
      <c r="N313" s="3">
        <v>244.2</v>
      </c>
      <c r="O313" s="3">
        <v>310.60000000000002</v>
      </c>
      <c r="P313" s="3">
        <v>197.9</v>
      </c>
      <c r="Q313" s="3">
        <v>238.8</v>
      </c>
      <c r="R313" s="3">
        <v>267.10000000000002</v>
      </c>
      <c r="S313" s="3">
        <v>244.7</v>
      </c>
      <c r="T313" s="3">
        <v>186.4</v>
      </c>
      <c r="U313" s="3">
        <v>222</v>
      </c>
      <c r="V313" s="3">
        <v>170.2</v>
      </c>
      <c r="W313" s="3">
        <v>249</v>
      </c>
      <c r="X313" s="3">
        <v>215.3</v>
      </c>
      <c r="Y313" s="3">
        <v>283.3</v>
      </c>
      <c r="Z313" s="3">
        <v>232.2</v>
      </c>
      <c r="AA313" s="3">
        <v>239.5</v>
      </c>
      <c r="AB313" s="3">
        <v>214.3</v>
      </c>
      <c r="AC313" s="3">
        <v>191.6</v>
      </c>
      <c r="AD313" s="3">
        <v>169.7</v>
      </c>
      <c r="AE313" s="3">
        <v>262.2</v>
      </c>
      <c r="AF313" s="3">
        <v>210.8</v>
      </c>
      <c r="AG313" s="3">
        <v>203.4</v>
      </c>
      <c r="AH313" s="3">
        <v>245.1</v>
      </c>
      <c r="AI313" s="3">
        <v>190.4</v>
      </c>
      <c r="AJ313" s="3">
        <v>298.39999999999998</v>
      </c>
      <c r="AK313" s="3">
        <v>363.7</v>
      </c>
      <c r="AL313" s="3">
        <v>291.8</v>
      </c>
      <c r="AM313" s="3">
        <v>290.2</v>
      </c>
      <c r="AN313" s="3">
        <v>321.2</v>
      </c>
      <c r="AO313" s="3">
        <v>164.8</v>
      </c>
      <c r="AP313" s="3">
        <v>233.6</v>
      </c>
      <c r="AQ313" s="3">
        <v>302.10000000000002</v>
      </c>
      <c r="AR313" s="3">
        <v>187.8</v>
      </c>
      <c r="AS313" s="3">
        <v>542.5</v>
      </c>
      <c r="AT313" s="3">
        <v>404.9</v>
      </c>
      <c r="AU313" s="3">
        <v>331.3</v>
      </c>
      <c r="AV313" s="3">
        <v>242.3</v>
      </c>
      <c r="AW313" s="3">
        <v>287.7</v>
      </c>
      <c r="AX313" s="3">
        <v>318.2</v>
      </c>
      <c r="AY313" s="3">
        <v>465.4</v>
      </c>
      <c r="AZ313" s="3">
        <v>362.6</v>
      </c>
      <c r="BA313" s="3">
        <v>223.3</v>
      </c>
      <c r="BB313" s="3">
        <v>356.8</v>
      </c>
      <c r="BC313" s="3">
        <v>309.8</v>
      </c>
      <c r="BD313" s="3">
        <v>282.10000000000002</v>
      </c>
      <c r="BE313" s="3">
        <v>373.8</v>
      </c>
      <c r="BF313" s="3">
        <v>509.1</v>
      </c>
      <c r="BG313" s="3">
        <v>229.7</v>
      </c>
      <c r="BH313" s="3">
        <v>213.9</v>
      </c>
      <c r="BI313" s="3">
        <v>73.099999999999994</v>
      </c>
      <c r="BJ313" s="3">
        <v>182.7</v>
      </c>
      <c r="BK313" s="3">
        <v>206.5</v>
      </c>
      <c r="BL313" s="3">
        <v>225.8</v>
      </c>
      <c r="BM313" s="3">
        <v>355.7</v>
      </c>
      <c r="BN313" s="3">
        <v>96.5</v>
      </c>
      <c r="BO313" s="3">
        <v>354.1</v>
      </c>
      <c r="BP313" s="3">
        <v>398.4</v>
      </c>
      <c r="BQ313" s="3">
        <v>126.7</v>
      </c>
      <c r="BR313" s="3">
        <v>77.900000000000006</v>
      </c>
      <c r="BS313" s="3">
        <v>114.1</v>
      </c>
      <c r="BT313" s="3">
        <v>184.8</v>
      </c>
      <c r="BU313" s="3">
        <v>122</v>
      </c>
      <c r="BV313" s="3">
        <v>175.3</v>
      </c>
      <c r="BW313" s="3">
        <v>224.3</v>
      </c>
      <c r="BX313" s="3">
        <v>452.3</v>
      </c>
      <c r="BY313" s="3">
        <v>97.4</v>
      </c>
      <c r="BZ313" s="3">
        <v>383.7</v>
      </c>
      <c r="CA313" s="3">
        <v>391.3</v>
      </c>
      <c r="CB313" s="3">
        <v>517.4</v>
      </c>
      <c r="CC313" s="3">
        <v>349.2</v>
      </c>
      <c r="CD313" s="3">
        <v>364.4</v>
      </c>
      <c r="CE313" s="3">
        <v>297.7</v>
      </c>
      <c r="CF313" s="3">
        <v>8.6</v>
      </c>
      <c r="CG313" s="3">
        <v>104.7</v>
      </c>
      <c r="CH313" s="3">
        <v>80.7</v>
      </c>
      <c r="CI313" s="3">
        <v>316.2</v>
      </c>
      <c r="CJ313" s="3">
        <v>167.6</v>
      </c>
      <c r="CK313" s="3">
        <v>191.1</v>
      </c>
      <c r="CL313" s="3">
        <v>470</v>
      </c>
      <c r="CM313" s="3">
        <v>229.7</v>
      </c>
      <c r="CN313" s="3">
        <v>203.3</v>
      </c>
    </row>
    <row r="314" spans="1:92" x14ac:dyDescent="0.25">
      <c r="A314" s="4">
        <v>41275</v>
      </c>
      <c r="B314" s="3">
        <v>229.9</v>
      </c>
      <c r="C314" s="3">
        <v>201.7</v>
      </c>
      <c r="D314" s="3">
        <v>248.7</v>
      </c>
      <c r="E314" s="3">
        <v>203.8</v>
      </c>
      <c r="F314" s="3">
        <v>287.60000000000002</v>
      </c>
      <c r="G314" s="3">
        <v>299.8</v>
      </c>
      <c r="H314" s="3">
        <v>245.6</v>
      </c>
      <c r="I314" s="3">
        <v>225.6</v>
      </c>
      <c r="J314" s="3">
        <v>144.1</v>
      </c>
      <c r="K314" s="3">
        <v>188.1</v>
      </c>
      <c r="L314" s="3">
        <v>243.6</v>
      </c>
      <c r="M314" s="3">
        <v>238.8</v>
      </c>
      <c r="N314" s="3">
        <v>245.7</v>
      </c>
      <c r="O314" s="3">
        <v>313.10000000000002</v>
      </c>
      <c r="P314" s="3">
        <v>190</v>
      </c>
      <c r="Q314" s="3">
        <v>240.4</v>
      </c>
      <c r="R314" s="3">
        <v>261.89999999999998</v>
      </c>
      <c r="S314" s="3">
        <v>245.2</v>
      </c>
      <c r="T314" s="3">
        <v>183.7</v>
      </c>
      <c r="U314" s="3">
        <v>229.1</v>
      </c>
      <c r="V314" s="3">
        <v>170.8</v>
      </c>
      <c r="W314" s="3">
        <v>251.4</v>
      </c>
      <c r="X314" s="3">
        <v>215.9</v>
      </c>
      <c r="Y314" s="3">
        <v>286.39999999999998</v>
      </c>
      <c r="Z314" s="3">
        <v>240.7</v>
      </c>
      <c r="AA314" s="3">
        <v>252.4</v>
      </c>
      <c r="AB314" s="3">
        <v>219.1</v>
      </c>
      <c r="AC314" s="3">
        <v>192.5</v>
      </c>
      <c r="AD314" s="3">
        <v>171.3</v>
      </c>
      <c r="AE314" s="3">
        <v>259.60000000000002</v>
      </c>
      <c r="AF314" s="3">
        <v>207.1</v>
      </c>
      <c r="AG314" s="3">
        <v>198.2</v>
      </c>
      <c r="AH314" s="3">
        <v>246.4</v>
      </c>
      <c r="AI314" s="3">
        <v>192.7</v>
      </c>
      <c r="AJ314" s="3">
        <v>298.60000000000002</v>
      </c>
      <c r="AK314" s="3">
        <v>362.4</v>
      </c>
      <c r="AL314" s="3">
        <v>292.39999999999998</v>
      </c>
      <c r="AM314" s="3">
        <v>293.5</v>
      </c>
      <c r="AN314" s="3">
        <v>321.39999999999998</v>
      </c>
      <c r="AO314" s="3">
        <v>174.3</v>
      </c>
      <c r="AP314" s="3">
        <v>244</v>
      </c>
      <c r="AQ314" s="3">
        <v>302.2</v>
      </c>
      <c r="AR314" s="3">
        <v>206.4</v>
      </c>
      <c r="AS314" s="3">
        <v>543.20000000000005</v>
      </c>
      <c r="AT314" s="3">
        <v>405.9</v>
      </c>
      <c r="AU314" s="3">
        <v>330.9</v>
      </c>
      <c r="AV314" s="3">
        <v>242.4</v>
      </c>
      <c r="AW314" s="3">
        <v>288.60000000000002</v>
      </c>
      <c r="AX314" s="3">
        <v>318.2</v>
      </c>
      <c r="AY314" s="3">
        <v>465.4</v>
      </c>
      <c r="AZ314" s="3">
        <v>362.4</v>
      </c>
      <c r="BA314" s="3">
        <v>222.7</v>
      </c>
      <c r="BB314" s="3">
        <v>349.2</v>
      </c>
      <c r="BC314" s="3">
        <v>310.10000000000002</v>
      </c>
      <c r="BD314" s="3">
        <v>282.10000000000002</v>
      </c>
      <c r="BE314" s="3">
        <v>373.8</v>
      </c>
      <c r="BF314" s="3">
        <v>499.5</v>
      </c>
      <c r="BG314" s="3">
        <v>216.2</v>
      </c>
      <c r="BH314" s="3">
        <v>207</v>
      </c>
      <c r="BI314" s="3">
        <v>73.2</v>
      </c>
      <c r="BJ314" s="3">
        <v>183.3</v>
      </c>
      <c r="BK314" s="3">
        <v>205.5</v>
      </c>
      <c r="BL314" s="3">
        <v>225.9</v>
      </c>
      <c r="BM314" s="3">
        <v>355.7</v>
      </c>
      <c r="BN314" s="3">
        <v>97.6</v>
      </c>
      <c r="BO314" s="3">
        <v>355</v>
      </c>
      <c r="BP314" s="3">
        <v>396</v>
      </c>
      <c r="BQ314" s="3">
        <v>119.1</v>
      </c>
      <c r="BR314" s="3">
        <v>72.400000000000006</v>
      </c>
      <c r="BS314" s="3">
        <v>110.5</v>
      </c>
      <c r="BT314" s="3">
        <v>181</v>
      </c>
      <c r="BU314" s="3">
        <v>119.2</v>
      </c>
      <c r="BV314" s="3">
        <v>174.4</v>
      </c>
      <c r="BW314" s="3">
        <v>221.8</v>
      </c>
      <c r="BX314" s="3">
        <v>452.6</v>
      </c>
      <c r="BY314" s="3">
        <v>97.6</v>
      </c>
      <c r="BZ314" s="3">
        <v>386.3</v>
      </c>
      <c r="CA314" s="3">
        <v>389.4</v>
      </c>
      <c r="CB314" s="3">
        <v>508.2</v>
      </c>
      <c r="CC314" s="3">
        <v>359.7</v>
      </c>
      <c r="CD314" s="3">
        <v>365</v>
      </c>
      <c r="CE314" s="3">
        <v>271.10000000000002</v>
      </c>
      <c r="CF314" s="3">
        <v>8.5</v>
      </c>
      <c r="CG314" s="3">
        <v>106.5</v>
      </c>
      <c r="CH314" s="3">
        <v>80.3</v>
      </c>
      <c r="CI314" s="3">
        <v>319.10000000000002</v>
      </c>
      <c r="CJ314" s="3">
        <v>166.3</v>
      </c>
      <c r="CK314" s="3">
        <v>191</v>
      </c>
      <c r="CL314" s="3">
        <v>469.8</v>
      </c>
      <c r="CM314" s="3">
        <v>229.9</v>
      </c>
      <c r="CN314" s="3">
        <v>203.5</v>
      </c>
    </row>
    <row r="315" spans="1:92" x14ac:dyDescent="0.25">
      <c r="A315" s="4">
        <v>41306</v>
      </c>
      <c r="B315" s="3">
        <v>232.5</v>
      </c>
      <c r="C315" s="3">
        <v>203.5</v>
      </c>
      <c r="D315" s="3">
        <v>245.1</v>
      </c>
      <c r="E315" s="3">
        <v>208.1</v>
      </c>
      <c r="F315" s="3">
        <v>290.10000000000002</v>
      </c>
      <c r="G315" s="3">
        <v>297.60000000000002</v>
      </c>
      <c r="H315" s="3">
        <v>243.3</v>
      </c>
      <c r="I315" s="3">
        <v>226.3</v>
      </c>
      <c r="J315" s="3">
        <v>144.80000000000001</v>
      </c>
      <c r="K315" s="3">
        <v>189.6</v>
      </c>
      <c r="L315" s="3">
        <v>243.9</v>
      </c>
      <c r="M315" s="3">
        <v>241.1</v>
      </c>
      <c r="N315" s="3">
        <v>244</v>
      </c>
      <c r="O315" s="3">
        <v>311.8</v>
      </c>
      <c r="P315" s="3">
        <v>197.9</v>
      </c>
      <c r="Q315" s="3">
        <v>235.8</v>
      </c>
      <c r="R315" s="3">
        <v>261.2</v>
      </c>
      <c r="S315" s="3">
        <v>245.6</v>
      </c>
      <c r="T315" s="3">
        <v>184.5</v>
      </c>
      <c r="U315" s="3">
        <v>234.4</v>
      </c>
      <c r="V315" s="3">
        <v>170.8</v>
      </c>
      <c r="W315" s="3">
        <v>254.2</v>
      </c>
      <c r="X315" s="3">
        <v>218.7</v>
      </c>
      <c r="Y315" s="3">
        <v>282.89999999999998</v>
      </c>
      <c r="Z315" s="3">
        <v>249.3</v>
      </c>
      <c r="AA315" s="3">
        <v>253.4</v>
      </c>
      <c r="AB315" s="3">
        <v>231.6</v>
      </c>
      <c r="AC315" s="3">
        <v>195.2</v>
      </c>
      <c r="AD315" s="3">
        <v>172.4</v>
      </c>
      <c r="AE315" s="3">
        <v>270</v>
      </c>
      <c r="AF315" s="3">
        <v>211.4</v>
      </c>
      <c r="AG315" s="3">
        <v>203</v>
      </c>
      <c r="AH315" s="3">
        <v>245.7</v>
      </c>
      <c r="AI315" s="3">
        <v>195.1</v>
      </c>
      <c r="AJ315" s="3">
        <v>299.2</v>
      </c>
      <c r="AK315" s="3">
        <v>364.9</v>
      </c>
      <c r="AL315" s="3">
        <v>293.2</v>
      </c>
      <c r="AM315" s="3">
        <v>294.3</v>
      </c>
      <c r="AN315" s="3">
        <v>322.2</v>
      </c>
      <c r="AO315" s="3">
        <v>175.1</v>
      </c>
      <c r="AP315" s="3">
        <v>241.9</v>
      </c>
      <c r="AQ315" s="3">
        <v>302.39999999999998</v>
      </c>
      <c r="AR315" s="3">
        <v>202</v>
      </c>
      <c r="AS315" s="3">
        <v>544</v>
      </c>
      <c r="AT315" s="3">
        <v>406.4</v>
      </c>
      <c r="AU315" s="3">
        <v>331</v>
      </c>
      <c r="AV315" s="3">
        <v>242</v>
      </c>
      <c r="AW315" s="3">
        <v>288.7</v>
      </c>
      <c r="AX315" s="3">
        <v>318.2</v>
      </c>
      <c r="AY315" s="3">
        <v>465.4</v>
      </c>
      <c r="AZ315" s="3">
        <v>362.7</v>
      </c>
      <c r="BA315" s="3">
        <v>223.2</v>
      </c>
      <c r="BB315" s="3">
        <v>340.7</v>
      </c>
      <c r="BC315" s="3">
        <v>310.89999999999998</v>
      </c>
      <c r="BD315" s="3">
        <v>285.39999999999998</v>
      </c>
      <c r="BE315" s="3">
        <v>377.6</v>
      </c>
      <c r="BF315" s="3">
        <v>526.5</v>
      </c>
      <c r="BG315" s="3">
        <v>227.6</v>
      </c>
      <c r="BH315" s="3">
        <v>210.2</v>
      </c>
      <c r="BI315" s="3">
        <v>73.7</v>
      </c>
      <c r="BJ315" s="3">
        <v>187</v>
      </c>
      <c r="BK315" s="3">
        <v>208.3</v>
      </c>
      <c r="BL315" s="3">
        <v>225.5</v>
      </c>
      <c r="BM315" s="3">
        <v>355.7</v>
      </c>
      <c r="BN315" s="3">
        <v>98.6</v>
      </c>
      <c r="BO315" s="3">
        <v>355.6</v>
      </c>
      <c r="BP315" s="3">
        <v>394.2</v>
      </c>
      <c r="BQ315" s="3">
        <v>122</v>
      </c>
      <c r="BR315" s="3">
        <v>79.8</v>
      </c>
      <c r="BS315" s="3">
        <v>114.3</v>
      </c>
      <c r="BT315" s="3">
        <v>184.1</v>
      </c>
      <c r="BU315" s="3">
        <v>122.5</v>
      </c>
      <c r="BV315" s="3">
        <v>176.3</v>
      </c>
      <c r="BW315" s="3">
        <v>223.3</v>
      </c>
      <c r="BX315" s="3">
        <v>453.1</v>
      </c>
      <c r="BY315" s="3">
        <v>97</v>
      </c>
      <c r="BZ315" s="3">
        <v>386.5</v>
      </c>
      <c r="CA315" s="3">
        <v>399.4</v>
      </c>
      <c r="CB315" s="3">
        <v>504.5</v>
      </c>
      <c r="CC315" s="3">
        <v>362.9</v>
      </c>
      <c r="CD315" s="3">
        <v>367.5</v>
      </c>
      <c r="CE315" s="3">
        <v>282</v>
      </c>
      <c r="CF315" s="3">
        <v>8.5</v>
      </c>
      <c r="CG315" s="3">
        <v>110.8</v>
      </c>
      <c r="CH315" s="3">
        <v>81.7</v>
      </c>
      <c r="CI315" s="3">
        <v>325.60000000000002</v>
      </c>
      <c r="CJ315" s="3">
        <v>169.3</v>
      </c>
      <c r="CK315" s="3">
        <v>191</v>
      </c>
      <c r="CL315" s="3">
        <v>472</v>
      </c>
      <c r="CM315" s="3">
        <v>230.4</v>
      </c>
      <c r="CN315" s="3">
        <v>204.2</v>
      </c>
    </row>
    <row r="316" spans="1:92" x14ac:dyDescent="0.25">
      <c r="A316" s="4">
        <v>41334</v>
      </c>
      <c r="B316" s="3">
        <v>232.4</v>
      </c>
      <c r="C316" s="3">
        <v>205.1</v>
      </c>
      <c r="D316" s="3">
        <v>249.8</v>
      </c>
      <c r="E316" s="3">
        <v>205.6</v>
      </c>
      <c r="F316" s="3">
        <v>289.89999999999998</v>
      </c>
      <c r="G316" s="3">
        <v>293.2</v>
      </c>
      <c r="H316" s="3">
        <v>241.8</v>
      </c>
      <c r="I316" s="3">
        <v>226.7</v>
      </c>
      <c r="J316" s="3">
        <v>142.9</v>
      </c>
      <c r="K316" s="3">
        <v>187.9</v>
      </c>
      <c r="L316" s="3">
        <v>243.5</v>
      </c>
      <c r="M316" s="3">
        <v>235.1</v>
      </c>
      <c r="N316" s="3">
        <v>249.3</v>
      </c>
      <c r="O316" s="3">
        <v>308.39999999999998</v>
      </c>
      <c r="P316" s="3">
        <v>193.7</v>
      </c>
      <c r="Q316" s="3">
        <v>240.3</v>
      </c>
      <c r="R316" s="3">
        <v>255.5</v>
      </c>
      <c r="S316" s="3">
        <v>245.5</v>
      </c>
      <c r="T316" s="3">
        <v>183.5</v>
      </c>
      <c r="U316" s="3">
        <v>232.3</v>
      </c>
      <c r="V316" s="3">
        <v>169.8</v>
      </c>
      <c r="W316" s="3">
        <v>256.2</v>
      </c>
      <c r="X316" s="3">
        <v>212.6</v>
      </c>
      <c r="Y316" s="3">
        <v>281.89999999999998</v>
      </c>
      <c r="Z316" s="3">
        <v>246</v>
      </c>
      <c r="AA316" s="3">
        <v>249</v>
      </c>
      <c r="AB316" s="3">
        <v>229.1</v>
      </c>
      <c r="AC316" s="3">
        <v>195.9</v>
      </c>
      <c r="AD316" s="3">
        <v>173.6</v>
      </c>
      <c r="AE316" s="3">
        <v>268.10000000000002</v>
      </c>
      <c r="AF316" s="3">
        <v>208.9</v>
      </c>
      <c r="AG316" s="3">
        <v>200.4</v>
      </c>
      <c r="AH316" s="3">
        <v>245.5</v>
      </c>
      <c r="AI316" s="3">
        <v>191</v>
      </c>
      <c r="AJ316" s="3">
        <v>299.8</v>
      </c>
      <c r="AK316" s="3">
        <v>365.4</v>
      </c>
      <c r="AL316" s="3">
        <v>293.8</v>
      </c>
      <c r="AM316" s="3">
        <v>294</v>
      </c>
      <c r="AN316" s="3">
        <v>322.5</v>
      </c>
      <c r="AO316" s="3">
        <v>173.4</v>
      </c>
      <c r="AP316" s="3">
        <v>241.2</v>
      </c>
      <c r="AQ316" s="3">
        <v>303.3</v>
      </c>
      <c r="AR316" s="3">
        <v>200</v>
      </c>
      <c r="AS316" s="3">
        <v>544.29999999999995</v>
      </c>
      <c r="AT316" s="3">
        <v>406.5</v>
      </c>
      <c r="AU316" s="3">
        <v>331.2</v>
      </c>
      <c r="AV316" s="3">
        <v>242.8</v>
      </c>
      <c r="AW316" s="3">
        <v>287.60000000000002</v>
      </c>
      <c r="AX316" s="3">
        <v>318.2</v>
      </c>
      <c r="AY316" s="3">
        <v>465.4</v>
      </c>
      <c r="AZ316" s="3">
        <v>363.2</v>
      </c>
      <c r="BA316" s="3">
        <v>222.7</v>
      </c>
      <c r="BB316" s="3">
        <v>338.5</v>
      </c>
      <c r="BC316" s="3">
        <v>309.39999999999998</v>
      </c>
      <c r="BD316" s="3">
        <v>285.39999999999998</v>
      </c>
      <c r="BE316" s="3">
        <v>377.6</v>
      </c>
      <c r="BF316" s="3">
        <v>521.1</v>
      </c>
      <c r="BG316" s="3">
        <v>230.9</v>
      </c>
      <c r="BH316" s="3">
        <v>209.4</v>
      </c>
      <c r="BI316" s="3">
        <v>74.099999999999994</v>
      </c>
      <c r="BJ316" s="3">
        <v>185.8</v>
      </c>
      <c r="BK316" s="3">
        <v>204.9</v>
      </c>
      <c r="BL316" s="3">
        <v>227.2</v>
      </c>
      <c r="BM316" s="3">
        <v>355.7</v>
      </c>
      <c r="BN316" s="3">
        <v>98.6</v>
      </c>
      <c r="BO316" s="3">
        <v>355.9</v>
      </c>
      <c r="BP316" s="3">
        <v>395</v>
      </c>
      <c r="BQ316" s="3">
        <v>125.1</v>
      </c>
      <c r="BR316" s="3">
        <v>84.4</v>
      </c>
      <c r="BS316" s="3">
        <v>117.4</v>
      </c>
      <c r="BT316" s="3">
        <v>186.1</v>
      </c>
      <c r="BU316" s="3">
        <v>124.6</v>
      </c>
      <c r="BV316" s="3">
        <v>178.4</v>
      </c>
      <c r="BW316" s="3">
        <v>222.9</v>
      </c>
      <c r="BX316" s="3">
        <v>453.8</v>
      </c>
      <c r="BY316" s="3">
        <v>96.8</v>
      </c>
      <c r="BZ316" s="3">
        <v>388.1</v>
      </c>
      <c r="CA316" s="3">
        <v>411.6</v>
      </c>
      <c r="CB316" s="3">
        <v>528.79999999999995</v>
      </c>
      <c r="CC316" s="3">
        <v>364.6</v>
      </c>
      <c r="CD316" s="3">
        <v>365.4</v>
      </c>
      <c r="CE316" s="3">
        <v>287.2</v>
      </c>
      <c r="CF316" s="3">
        <v>8.5</v>
      </c>
      <c r="CG316" s="3">
        <v>115</v>
      </c>
      <c r="CH316" s="3">
        <v>82.2</v>
      </c>
      <c r="CI316" s="3">
        <v>326.8</v>
      </c>
      <c r="CJ316" s="3">
        <v>170.7</v>
      </c>
      <c r="CK316" s="3">
        <v>191</v>
      </c>
      <c r="CL316" s="3">
        <v>472.7</v>
      </c>
      <c r="CM316" s="3">
        <v>231.1</v>
      </c>
      <c r="CN316" s="3">
        <v>204.9</v>
      </c>
    </row>
    <row r="317" spans="1:92" x14ac:dyDescent="0.25">
      <c r="A317" s="4">
        <v>41365</v>
      </c>
      <c r="B317" s="3">
        <v>233.6</v>
      </c>
      <c r="C317" s="3">
        <v>208.5</v>
      </c>
      <c r="D317" s="3">
        <v>250.2</v>
      </c>
      <c r="E317" s="3">
        <v>209.4</v>
      </c>
      <c r="F317" s="3">
        <v>288.10000000000002</v>
      </c>
      <c r="G317" s="3">
        <v>296.39999999999998</v>
      </c>
      <c r="H317" s="3">
        <v>239.2</v>
      </c>
      <c r="I317" s="3">
        <v>225.7</v>
      </c>
      <c r="J317" s="3">
        <v>143.30000000000001</v>
      </c>
      <c r="K317" s="3">
        <v>188.8</v>
      </c>
      <c r="L317" s="3">
        <v>239.8</v>
      </c>
      <c r="M317" s="3">
        <v>233.1</v>
      </c>
      <c r="N317" s="3">
        <v>243.8</v>
      </c>
      <c r="O317" s="3">
        <v>318.10000000000002</v>
      </c>
      <c r="P317" s="3">
        <v>202.8</v>
      </c>
      <c r="Q317" s="3">
        <v>238.2</v>
      </c>
      <c r="R317" s="3">
        <v>259.89999999999998</v>
      </c>
      <c r="S317" s="3">
        <v>246.1</v>
      </c>
      <c r="T317" s="3">
        <v>185.1</v>
      </c>
      <c r="U317" s="3">
        <v>227.5</v>
      </c>
      <c r="V317" s="3">
        <v>171</v>
      </c>
      <c r="W317" s="3">
        <v>254.6</v>
      </c>
      <c r="X317" s="3">
        <v>212.8</v>
      </c>
      <c r="Y317" s="3">
        <v>290.3</v>
      </c>
      <c r="Z317" s="3">
        <v>246.6</v>
      </c>
      <c r="AA317" s="3">
        <v>244.3</v>
      </c>
      <c r="AB317" s="3">
        <v>232.8</v>
      </c>
      <c r="AC317" s="3">
        <v>198</v>
      </c>
      <c r="AD317" s="3">
        <v>177.5</v>
      </c>
      <c r="AE317" s="3">
        <v>260.3</v>
      </c>
      <c r="AF317" s="3">
        <v>210.6</v>
      </c>
      <c r="AG317" s="3">
        <v>202.1</v>
      </c>
      <c r="AH317" s="3">
        <v>246.7</v>
      </c>
      <c r="AI317" s="3">
        <v>191</v>
      </c>
      <c r="AJ317" s="3">
        <v>301.39999999999998</v>
      </c>
      <c r="AK317" s="3">
        <v>366.5</v>
      </c>
      <c r="AL317" s="3">
        <v>294.3</v>
      </c>
      <c r="AM317" s="3">
        <v>295.10000000000002</v>
      </c>
      <c r="AN317" s="3">
        <v>324.8</v>
      </c>
      <c r="AO317" s="3">
        <v>171.5</v>
      </c>
      <c r="AP317" s="3">
        <v>245.6</v>
      </c>
      <c r="AQ317" s="3">
        <v>307.60000000000002</v>
      </c>
      <c r="AR317" s="3">
        <v>204.6</v>
      </c>
      <c r="AS317" s="3">
        <v>562</v>
      </c>
      <c r="AT317" s="3">
        <v>418.3</v>
      </c>
      <c r="AU317" s="3">
        <v>334.2</v>
      </c>
      <c r="AV317" s="3">
        <v>243.2</v>
      </c>
      <c r="AW317" s="3">
        <v>287.39999999999998</v>
      </c>
      <c r="AX317" s="3">
        <v>321.10000000000002</v>
      </c>
      <c r="AY317" s="3">
        <v>486.4</v>
      </c>
      <c r="AZ317" s="3">
        <v>362.5</v>
      </c>
      <c r="BA317" s="3">
        <v>222.1</v>
      </c>
      <c r="BB317" s="3">
        <v>339.3</v>
      </c>
      <c r="BC317" s="3">
        <v>309.10000000000002</v>
      </c>
      <c r="BD317" s="3">
        <v>285.39999999999998</v>
      </c>
      <c r="BE317" s="3">
        <v>377.6</v>
      </c>
      <c r="BF317" s="3">
        <v>497.2</v>
      </c>
      <c r="BG317" s="3">
        <v>221.5</v>
      </c>
      <c r="BH317" s="3">
        <v>215.7</v>
      </c>
      <c r="BI317" s="3">
        <v>74</v>
      </c>
      <c r="BJ317" s="3">
        <v>184.4</v>
      </c>
      <c r="BK317" s="3">
        <v>205.9</v>
      </c>
      <c r="BL317" s="3">
        <v>226.5</v>
      </c>
      <c r="BM317" s="3">
        <v>378.1</v>
      </c>
      <c r="BN317" s="3">
        <v>98.4</v>
      </c>
      <c r="BO317" s="3">
        <v>356.3</v>
      </c>
      <c r="BP317" s="3">
        <v>394.8</v>
      </c>
      <c r="BQ317" s="3">
        <v>128.5</v>
      </c>
      <c r="BR317" s="3">
        <v>84.6</v>
      </c>
      <c r="BS317" s="3">
        <v>119.1</v>
      </c>
      <c r="BT317" s="3">
        <v>186.9</v>
      </c>
      <c r="BU317" s="3">
        <v>124.4</v>
      </c>
      <c r="BV317" s="3">
        <v>179.5</v>
      </c>
      <c r="BW317" s="3">
        <v>221.7</v>
      </c>
      <c r="BX317" s="3">
        <v>459.4</v>
      </c>
      <c r="BY317" s="3">
        <v>96.6</v>
      </c>
      <c r="BZ317" s="3">
        <v>389.2</v>
      </c>
      <c r="CA317" s="3">
        <v>401.6</v>
      </c>
      <c r="CB317" s="3">
        <v>530.20000000000005</v>
      </c>
      <c r="CC317" s="3">
        <v>365.1</v>
      </c>
      <c r="CD317" s="3">
        <v>369.9</v>
      </c>
      <c r="CE317" s="3">
        <v>280</v>
      </c>
      <c r="CF317" s="3">
        <v>8.4</v>
      </c>
      <c r="CG317" s="3">
        <v>112.9</v>
      </c>
      <c r="CH317" s="3">
        <v>82</v>
      </c>
      <c r="CI317" s="3">
        <v>325</v>
      </c>
      <c r="CJ317" s="3">
        <v>168.2</v>
      </c>
      <c r="CK317" s="3">
        <v>191</v>
      </c>
      <c r="CL317" s="3">
        <v>483.3</v>
      </c>
      <c r="CM317" s="3">
        <v>231.4</v>
      </c>
      <c r="CN317" s="3">
        <v>204.7</v>
      </c>
    </row>
    <row r="318" spans="1:92" x14ac:dyDescent="0.25">
      <c r="A318" s="4">
        <v>41395</v>
      </c>
      <c r="B318" s="3">
        <v>233.1</v>
      </c>
      <c r="C318" s="3">
        <v>210.9</v>
      </c>
      <c r="D318" s="3">
        <v>249.2</v>
      </c>
      <c r="E318" s="3">
        <v>208.7</v>
      </c>
      <c r="F318" s="3">
        <v>292</v>
      </c>
      <c r="G318" s="3">
        <v>315.2</v>
      </c>
      <c r="H318" s="3">
        <v>238.3</v>
      </c>
      <c r="I318" s="3">
        <v>228.2</v>
      </c>
      <c r="J318" s="3">
        <v>141.80000000000001</v>
      </c>
      <c r="K318" s="3">
        <v>189.1</v>
      </c>
      <c r="L318" s="3">
        <v>247.6</v>
      </c>
      <c r="M318" s="3">
        <v>243.9</v>
      </c>
      <c r="N318" s="3">
        <v>248.6</v>
      </c>
      <c r="O318" s="3">
        <v>312.2</v>
      </c>
      <c r="P318" s="3">
        <v>200</v>
      </c>
      <c r="Q318" s="3">
        <v>236.4</v>
      </c>
      <c r="R318" s="3">
        <v>259</v>
      </c>
      <c r="S318" s="3">
        <v>245.5</v>
      </c>
      <c r="T318" s="3">
        <v>188.3</v>
      </c>
      <c r="U318" s="3">
        <v>225.9</v>
      </c>
      <c r="V318" s="3">
        <v>172.2</v>
      </c>
      <c r="W318" s="3">
        <v>259.2</v>
      </c>
      <c r="X318" s="3">
        <v>214.1</v>
      </c>
      <c r="Y318" s="3">
        <v>288.2</v>
      </c>
      <c r="Z318" s="3">
        <v>248.2</v>
      </c>
      <c r="AA318" s="3">
        <v>252.7</v>
      </c>
      <c r="AB318" s="3">
        <v>230.3</v>
      </c>
      <c r="AC318" s="3">
        <v>196.7</v>
      </c>
      <c r="AD318" s="3">
        <v>175.5</v>
      </c>
      <c r="AE318" s="3">
        <v>262.39999999999998</v>
      </c>
      <c r="AF318" s="3">
        <v>208.9</v>
      </c>
      <c r="AG318" s="3">
        <v>200.1</v>
      </c>
      <c r="AH318" s="3">
        <v>247.3</v>
      </c>
      <c r="AI318" s="3">
        <v>189.7</v>
      </c>
      <c r="AJ318" s="3">
        <v>302.3</v>
      </c>
      <c r="AK318" s="3">
        <v>367.6</v>
      </c>
      <c r="AL318" s="3">
        <v>295.2</v>
      </c>
      <c r="AM318" s="3">
        <v>295.3</v>
      </c>
      <c r="AN318" s="3">
        <v>325.2</v>
      </c>
      <c r="AO318" s="3">
        <v>171.3</v>
      </c>
      <c r="AP318" s="3">
        <v>247.1</v>
      </c>
      <c r="AQ318" s="3">
        <v>308.8</v>
      </c>
      <c r="AR318" s="3">
        <v>206.6</v>
      </c>
      <c r="AS318" s="3">
        <v>563.4</v>
      </c>
      <c r="AT318" s="3">
        <v>418.7</v>
      </c>
      <c r="AU318" s="3">
        <v>334.5</v>
      </c>
      <c r="AV318" s="3">
        <v>243.9</v>
      </c>
      <c r="AW318" s="3">
        <v>288.3</v>
      </c>
      <c r="AX318" s="3">
        <v>321.10000000000002</v>
      </c>
      <c r="AY318" s="3">
        <v>486.4</v>
      </c>
      <c r="AZ318" s="3">
        <v>362.4</v>
      </c>
      <c r="BA318" s="3">
        <v>221.4</v>
      </c>
      <c r="BB318" s="3">
        <v>338.7</v>
      </c>
      <c r="BC318" s="3">
        <v>309.8</v>
      </c>
      <c r="BD318" s="3">
        <v>285.39999999999998</v>
      </c>
      <c r="BE318" s="3">
        <v>377.6</v>
      </c>
      <c r="BF318" s="3">
        <v>470</v>
      </c>
      <c r="BG318" s="3">
        <v>226.8</v>
      </c>
      <c r="BH318" s="3">
        <v>222.3</v>
      </c>
      <c r="BI318" s="3">
        <v>74</v>
      </c>
      <c r="BJ318" s="3">
        <v>183.4</v>
      </c>
      <c r="BK318" s="3">
        <v>207.2</v>
      </c>
      <c r="BL318" s="3">
        <v>228.4</v>
      </c>
      <c r="BM318" s="3">
        <v>378.1</v>
      </c>
      <c r="BN318" s="3">
        <v>98.9</v>
      </c>
      <c r="BO318" s="3">
        <v>356.6</v>
      </c>
      <c r="BP318" s="3">
        <v>394.6</v>
      </c>
      <c r="BQ318" s="3">
        <v>129.19999999999999</v>
      </c>
      <c r="BR318" s="3">
        <v>86.8</v>
      </c>
      <c r="BS318" s="3">
        <v>118.9</v>
      </c>
      <c r="BT318" s="3">
        <v>187.3</v>
      </c>
      <c r="BU318" s="3">
        <v>125.7</v>
      </c>
      <c r="BV318" s="3">
        <v>179.3</v>
      </c>
      <c r="BW318" s="3">
        <v>221.5</v>
      </c>
      <c r="BX318" s="3">
        <v>459.6</v>
      </c>
      <c r="BY318" s="3">
        <v>96.9</v>
      </c>
      <c r="BZ318" s="3">
        <v>389.8</v>
      </c>
      <c r="CA318" s="3">
        <v>390.6</v>
      </c>
      <c r="CB318" s="3">
        <v>531.4</v>
      </c>
      <c r="CC318" s="3">
        <v>365.6</v>
      </c>
      <c r="CD318" s="3">
        <v>369.1</v>
      </c>
      <c r="CE318" s="3">
        <v>304.5</v>
      </c>
      <c r="CF318" s="3">
        <v>8.4</v>
      </c>
      <c r="CG318" s="3">
        <v>110.6</v>
      </c>
      <c r="CH318" s="3">
        <v>81.400000000000006</v>
      </c>
      <c r="CI318" s="3">
        <v>324.39999999999998</v>
      </c>
      <c r="CJ318" s="3">
        <v>168.6</v>
      </c>
      <c r="CK318" s="3">
        <v>191</v>
      </c>
      <c r="CL318" s="3">
        <v>485.2</v>
      </c>
      <c r="CM318" s="3">
        <v>231.8</v>
      </c>
      <c r="CN318" s="3">
        <v>205.1</v>
      </c>
    </row>
    <row r="319" spans="1:92" x14ac:dyDescent="0.25">
      <c r="A319" s="4">
        <v>41426</v>
      </c>
      <c r="B319" s="3">
        <v>235.4</v>
      </c>
      <c r="C319" s="3">
        <v>208.7</v>
      </c>
      <c r="D319" s="3">
        <v>246.4</v>
      </c>
      <c r="E319" s="3">
        <v>212.9</v>
      </c>
      <c r="F319" s="3">
        <v>288.39999999999998</v>
      </c>
      <c r="G319" s="3">
        <v>311.3</v>
      </c>
      <c r="H319" s="3">
        <v>238</v>
      </c>
      <c r="I319" s="3">
        <v>229.4</v>
      </c>
      <c r="J319" s="3">
        <v>144.30000000000001</v>
      </c>
      <c r="K319" s="3">
        <v>189.5</v>
      </c>
      <c r="L319" s="3">
        <v>242.9</v>
      </c>
      <c r="M319" s="3">
        <v>240.7</v>
      </c>
      <c r="N319" s="3">
        <v>242.3</v>
      </c>
      <c r="O319" s="3">
        <v>314.39999999999998</v>
      </c>
      <c r="P319" s="3">
        <v>201.7</v>
      </c>
      <c r="Q319" s="3">
        <v>238.8</v>
      </c>
      <c r="R319" s="3">
        <v>254.9</v>
      </c>
      <c r="S319" s="3">
        <v>246.3</v>
      </c>
      <c r="T319" s="3">
        <v>184.3</v>
      </c>
      <c r="U319" s="3">
        <v>228.2</v>
      </c>
      <c r="V319" s="3">
        <v>168.6</v>
      </c>
      <c r="W319" s="3">
        <v>257.5</v>
      </c>
      <c r="X319" s="3">
        <v>209.6</v>
      </c>
      <c r="Y319" s="3">
        <v>285.60000000000002</v>
      </c>
      <c r="Z319" s="3">
        <v>248.7</v>
      </c>
      <c r="AA319" s="3">
        <v>265.89999999999998</v>
      </c>
      <c r="AB319" s="3">
        <v>223.5</v>
      </c>
      <c r="AC319" s="3">
        <v>190.7</v>
      </c>
      <c r="AD319" s="3">
        <v>169.8</v>
      </c>
      <c r="AE319" s="3">
        <v>256.3</v>
      </c>
      <c r="AF319" s="3">
        <v>204.7</v>
      </c>
      <c r="AG319" s="3">
        <v>195.6</v>
      </c>
      <c r="AH319" s="3">
        <v>246.1</v>
      </c>
      <c r="AI319" s="3">
        <v>191.2</v>
      </c>
      <c r="AJ319" s="3">
        <v>302.89999999999998</v>
      </c>
      <c r="AK319" s="3">
        <v>367.5</v>
      </c>
      <c r="AL319" s="3">
        <v>295.5</v>
      </c>
      <c r="AM319" s="3">
        <v>295.60000000000002</v>
      </c>
      <c r="AN319" s="3">
        <v>325.39999999999998</v>
      </c>
      <c r="AO319" s="3">
        <v>171.6</v>
      </c>
      <c r="AP319" s="3">
        <v>246.2</v>
      </c>
      <c r="AQ319" s="3">
        <v>309</v>
      </c>
      <c r="AR319" s="3">
        <v>204.5</v>
      </c>
      <c r="AS319" s="3">
        <v>563.20000000000005</v>
      </c>
      <c r="AT319" s="3">
        <v>418.5</v>
      </c>
      <c r="AU319" s="3">
        <v>334.7</v>
      </c>
      <c r="AV319" s="3">
        <v>243.6</v>
      </c>
      <c r="AW319" s="3">
        <v>289.7</v>
      </c>
      <c r="AX319" s="3">
        <v>321.10000000000002</v>
      </c>
      <c r="AY319" s="3">
        <v>486.4</v>
      </c>
      <c r="AZ319" s="3">
        <v>361.8</v>
      </c>
      <c r="BA319" s="3">
        <v>222.9</v>
      </c>
      <c r="BB319" s="3">
        <v>337.5</v>
      </c>
      <c r="BC319" s="3">
        <v>309.7</v>
      </c>
      <c r="BD319" s="3">
        <v>285.39999999999998</v>
      </c>
      <c r="BE319" s="3">
        <v>377.6</v>
      </c>
      <c r="BF319" s="3">
        <v>469</v>
      </c>
      <c r="BG319" s="3">
        <v>228.3</v>
      </c>
      <c r="BH319" s="3">
        <v>215.7</v>
      </c>
      <c r="BI319" s="3">
        <v>72.099999999999994</v>
      </c>
      <c r="BJ319" s="3">
        <v>183.8</v>
      </c>
      <c r="BK319" s="3">
        <v>208.1</v>
      </c>
      <c r="BL319" s="3">
        <v>227.4</v>
      </c>
      <c r="BM319" s="3">
        <v>378.1</v>
      </c>
      <c r="BN319" s="3">
        <v>99</v>
      </c>
      <c r="BO319" s="3">
        <v>357.6</v>
      </c>
      <c r="BP319" s="3">
        <v>393.6</v>
      </c>
      <c r="BQ319" s="3">
        <v>127.8</v>
      </c>
      <c r="BR319" s="3">
        <v>83.8</v>
      </c>
      <c r="BS319" s="3">
        <v>118.9</v>
      </c>
      <c r="BT319" s="3">
        <v>187.4</v>
      </c>
      <c r="BU319" s="3">
        <v>125.5</v>
      </c>
      <c r="BV319" s="3">
        <v>179.9</v>
      </c>
      <c r="BW319" s="3">
        <v>222.1</v>
      </c>
      <c r="BX319" s="3">
        <v>460.2</v>
      </c>
      <c r="BY319" s="3">
        <v>96.5</v>
      </c>
      <c r="BZ319" s="3">
        <v>390.5</v>
      </c>
      <c r="CA319" s="3">
        <v>393.9</v>
      </c>
      <c r="CB319" s="3">
        <v>533.5</v>
      </c>
      <c r="CC319" s="3">
        <v>367</v>
      </c>
      <c r="CD319" s="3">
        <v>371.1</v>
      </c>
      <c r="CE319" s="3">
        <v>301</v>
      </c>
      <c r="CF319" s="3">
        <v>8.3000000000000007</v>
      </c>
      <c r="CG319" s="3">
        <v>108.5</v>
      </c>
      <c r="CH319" s="3">
        <v>81.7</v>
      </c>
      <c r="CI319" s="3">
        <v>323.60000000000002</v>
      </c>
      <c r="CJ319" s="3">
        <v>169.2</v>
      </c>
      <c r="CK319" s="3">
        <v>191</v>
      </c>
      <c r="CL319" s="3">
        <v>488.7</v>
      </c>
      <c r="CM319" s="3">
        <v>230.9</v>
      </c>
      <c r="CN319" s="3">
        <v>205.1</v>
      </c>
    </row>
    <row r="320" spans="1:92" x14ac:dyDescent="0.25">
      <c r="A320" s="4">
        <v>41456</v>
      </c>
      <c r="B320" s="3">
        <v>235.8</v>
      </c>
      <c r="C320" s="3">
        <v>208.8</v>
      </c>
      <c r="D320" s="3">
        <v>250.1</v>
      </c>
      <c r="E320" s="3">
        <v>217.1</v>
      </c>
      <c r="F320" s="3">
        <v>292.3</v>
      </c>
      <c r="G320" s="3">
        <v>320.7</v>
      </c>
      <c r="H320" s="3">
        <v>236.9</v>
      </c>
      <c r="I320" s="3">
        <v>228.1</v>
      </c>
      <c r="J320" s="3">
        <v>144.30000000000001</v>
      </c>
      <c r="K320" s="3">
        <v>190.5</v>
      </c>
      <c r="L320" s="3">
        <v>244.1</v>
      </c>
      <c r="M320" s="3">
        <v>243.3</v>
      </c>
      <c r="N320" s="3">
        <v>242.1</v>
      </c>
      <c r="O320" s="3">
        <v>311.39999999999998</v>
      </c>
      <c r="P320" s="3">
        <v>205.1</v>
      </c>
      <c r="Q320" s="3">
        <v>240.4</v>
      </c>
      <c r="R320" s="3">
        <v>253.7</v>
      </c>
      <c r="S320" s="3">
        <v>246.2</v>
      </c>
      <c r="T320" s="3">
        <v>182.8</v>
      </c>
      <c r="U320" s="3">
        <v>223.6</v>
      </c>
      <c r="V320" s="3">
        <v>173.7</v>
      </c>
      <c r="W320" s="3">
        <v>254.6</v>
      </c>
      <c r="X320" s="3">
        <v>210.9</v>
      </c>
      <c r="Y320" s="3">
        <v>288.3</v>
      </c>
      <c r="Z320" s="3">
        <v>255.9</v>
      </c>
      <c r="AA320" s="3">
        <v>273.3</v>
      </c>
      <c r="AB320" s="3">
        <v>230</v>
      </c>
      <c r="AC320" s="3">
        <v>188</v>
      </c>
      <c r="AD320" s="3">
        <v>165.7</v>
      </c>
      <c r="AE320" s="3">
        <v>262.10000000000002</v>
      </c>
      <c r="AF320" s="3">
        <v>206.1</v>
      </c>
      <c r="AG320" s="3">
        <v>197.1</v>
      </c>
      <c r="AH320" s="3">
        <v>246.8</v>
      </c>
      <c r="AI320" s="3">
        <v>189.5</v>
      </c>
      <c r="AJ320" s="3">
        <v>303.3</v>
      </c>
      <c r="AK320" s="3">
        <v>368</v>
      </c>
      <c r="AL320" s="3">
        <v>295.89999999999998</v>
      </c>
      <c r="AM320" s="3">
        <v>295.5</v>
      </c>
      <c r="AN320" s="3">
        <v>325.8</v>
      </c>
      <c r="AO320" s="3">
        <v>170.5</v>
      </c>
      <c r="AP320" s="3">
        <v>248.5</v>
      </c>
      <c r="AQ320" s="3">
        <v>309.60000000000002</v>
      </c>
      <c r="AR320" s="3">
        <v>208.7</v>
      </c>
      <c r="AS320" s="3">
        <v>563.6</v>
      </c>
      <c r="AT320" s="3">
        <v>418.3</v>
      </c>
      <c r="AU320" s="3">
        <v>337</v>
      </c>
      <c r="AV320" s="3">
        <v>244.1</v>
      </c>
      <c r="AW320" s="3">
        <v>291.8</v>
      </c>
      <c r="AX320" s="3">
        <v>321.10000000000002</v>
      </c>
      <c r="AY320" s="3">
        <v>486.4</v>
      </c>
      <c r="AZ320" s="3">
        <v>362.7</v>
      </c>
      <c r="BA320" s="3">
        <v>221.2</v>
      </c>
      <c r="BB320" s="3">
        <v>340.7</v>
      </c>
      <c r="BC320" s="3">
        <v>310.5</v>
      </c>
      <c r="BD320" s="3">
        <v>286.5</v>
      </c>
      <c r="BE320" s="3">
        <v>377.6</v>
      </c>
      <c r="BF320" s="3">
        <v>478.9</v>
      </c>
      <c r="BG320" s="3">
        <v>222.4</v>
      </c>
      <c r="BH320" s="3">
        <v>214.9</v>
      </c>
      <c r="BI320" s="3">
        <v>72.599999999999994</v>
      </c>
      <c r="BJ320" s="3">
        <v>180.2</v>
      </c>
      <c r="BK320" s="3">
        <v>208</v>
      </c>
      <c r="BL320" s="3">
        <v>228</v>
      </c>
      <c r="BM320" s="3">
        <v>378.1</v>
      </c>
      <c r="BN320" s="3">
        <v>99.3</v>
      </c>
      <c r="BO320" s="3">
        <v>358.2</v>
      </c>
      <c r="BP320" s="3">
        <v>394.1</v>
      </c>
      <c r="BQ320" s="3">
        <v>124.8</v>
      </c>
      <c r="BR320" s="3">
        <v>79.8</v>
      </c>
      <c r="BS320" s="3">
        <v>117.9</v>
      </c>
      <c r="BT320" s="3">
        <v>183.6</v>
      </c>
      <c r="BU320" s="3">
        <v>123.5</v>
      </c>
      <c r="BV320" s="3">
        <v>178.4</v>
      </c>
      <c r="BW320" s="3">
        <v>221.6</v>
      </c>
      <c r="BX320" s="3">
        <v>463.7</v>
      </c>
      <c r="BY320" s="3">
        <v>95.8</v>
      </c>
      <c r="BZ320" s="3">
        <v>389.8</v>
      </c>
      <c r="CA320" s="3">
        <v>392.3</v>
      </c>
      <c r="CB320" s="3">
        <v>534.29999999999995</v>
      </c>
      <c r="CC320" s="3">
        <v>369.2</v>
      </c>
      <c r="CD320" s="3">
        <v>378.6</v>
      </c>
      <c r="CE320" s="3">
        <v>320.39999999999998</v>
      </c>
      <c r="CF320" s="3">
        <v>8.1999999999999993</v>
      </c>
      <c r="CG320" s="3">
        <v>108.3</v>
      </c>
      <c r="CH320" s="3">
        <v>81</v>
      </c>
      <c r="CI320" s="3">
        <v>326.8</v>
      </c>
      <c r="CJ320" s="3">
        <v>168.8</v>
      </c>
      <c r="CK320" s="3">
        <v>191</v>
      </c>
      <c r="CL320" s="3">
        <v>487.9</v>
      </c>
      <c r="CM320" s="3">
        <v>230.9</v>
      </c>
      <c r="CN320" s="3">
        <v>206.4</v>
      </c>
    </row>
    <row r="321" spans="1:92" x14ac:dyDescent="0.25">
      <c r="A321" s="4">
        <v>41487</v>
      </c>
      <c r="B321" s="3">
        <v>235.4</v>
      </c>
      <c r="C321" s="3">
        <v>211.3</v>
      </c>
      <c r="D321" s="3">
        <v>252.9</v>
      </c>
      <c r="E321" s="3">
        <v>214.9</v>
      </c>
      <c r="F321" s="3">
        <v>288.60000000000002</v>
      </c>
      <c r="G321" s="3">
        <v>312.5</v>
      </c>
      <c r="H321" s="3">
        <v>241.8</v>
      </c>
      <c r="I321" s="3">
        <v>229.2</v>
      </c>
      <c r="J321" s="3">
        <v>146.9</v>
      </c>
      <c r="K321" s="3">
        <v>189.9</v>
      </c>
      <c r="L321" s="3">
        <v>251.4</v>
      </c>
      <c r="M321" s="3">
        <v>251.9</v>
      </c>
      <c r="N321" s="3">
        <v>248</v>
      </c>
      <c r="O321" s="3">
        <v>314</v>
      </c>
      <c r="P321" s="3">
        <v>203.3</v>
      </c>
      <c r="Q321" s="3">
        <v>248.8</v>
      </c>
      <c r="R321" s="3">
        <v>258.3</v>
      </c>
      <c r="S321" s="3">
        <v>247.9</v>
      </c>
      <c r="T321" s="3">
        <v>185</v>
      </c>
      <c r="U321" s="3">
        <v>219.7</v>
      </c>
      <c r="V321" s="3">
        <v>173.7</v>
      </c>
      <c r="W321" s="3">
        <v>255.5</v>
      </c>
      <c r="X321" s="3">
        <v>210.3</v>
      </c>
      <c r="Y321" s="3">
        <v>286.39999999999998</v>
      </c>
      <c r="Z321" s="3">
        <v>252.9</v>
      </c>
      <c r="AA321" s="3">
        <v>271.2</v>
      </c>
      <c r="AB321" s="3">
        <v>226.7</v>
      </c>
      <c r="AC321" s="3">
        <v>188.8</v>
      </c>
      <c r="AD321" s="3">
        <v>166.6</v>
      </c>
      <c r="AE321" s="3">
        <v>261.7</v>
      </c>
      <c r="AF321" s="3">
        <v>204.1</v>
      </c>
      <c r="AG321" s="3">
        <v>194.8</v>
      </c>
      <c r="AH321" s="3">
        <v>248</v>
      </c>
      <c r="AI321" s="3">
        <v>194.2</v>
      </c>
      <c r="AJ321" s="3">
        <v>303.7</v>
      </c>
      <c r="AK321" s="3">
        <v>366.9</v>
      </c>
      <c r="AL321" s="3">
        <v>296.10000000000002</v>
      </c>
      <c r="AM321" s="3">
        <v>295.7</v>
      </c>
      <c r="AN321" s="3">
        <v>326.2</v>
      </c>
      <c r="AO321" s="3">
        <v>170.3</v>
      </c>
      <c r="AP321" s="3">
        <v>247.9</v>
      </c>
      <c r="AQ321" s="3">
        <v>310.10000000000002</v>
      </c>
      <c r="AR321" s="3">
        <v>207</v>
      </c>
      <c r="AS321" s="3">
        <v>565.20000000000005</v>
      </c>
      <c r="AT321" s="3">
        <v>420.2</v>
      </c>
      <c r="AU321" s="3">
        <v>337.5</v>
      </c>
      <c r="AV321" s="3">
        <v>244.6</v>
      </c>
      <c r="AW321" s="3">
        <v>294.3</v>
      </c>
      <c r="AX321" s="3">
        <v>321.10000000000002</v>
      </c>
      <c r="AY321" s="3">
        <v>486.4</v>
      </c>
      <c r="AZ321" s="3">
        <v>363.1</v>
      </c>
      <c r="BA321" s="3">
        <v>221.5</v>
      </c>
      <c r="BB321" s="3">
        <v>340.2</v>
      </c>
      <c r="BC321" s="3">
        <v>310.3</v>
      </c>
      <c r="BD321" s="3">
        <v>286.5</v>
      </c>
      <c r="BE321" s="3">
        <v>377.6</v>
      </c>
      <c r="BF321" s="3">
        <v>479.2</v>
      </c>
      <c r="BG321" s="3">
        <v>231</v>
      </c>
      <c r="BH321" s="3">
        <v>215.9</v>
      </c>
      <c r="BI321" s="3">
        <v>75.400000000000006</v>
      </c>
      <c r="BJ321" s="3">
        <v>184.7</v>
      </c>
      <c r="BK321" s="3">
        <v>206.1</v>
      </c>
      <c r="BL321" s="3">
        <v>228.6</v>
      </c>
      <c r="BM321" s="3">
        <v>378.1</v>
      </c>
      <c r="BN321" s="3">
        <v>99</v>
      </c>
      <c r="BO321" s="3">
        <v>358.9</v>
      </c>
      <c r="BP321" s="3">
        <v>394.6</v>
      </c>
      <c r="BQ321" s="3">
        <v>126.6</v>
      </c>
      <c r="BR321" s="3">
        <v>82.7</v>
      </c>
      <c r="BS321" s="3">
        <v>121.3</v>
      </c>
      <c r="BT321" s="3">
        <v>186.7</v>
      </c>
      <c r="BU321" s="3">
        <v>125</v>
      </c>
      <c r="BV321" s="3">
        <v>179.8</v>
      </c>
      <c r="BW321" s="3">
        <v>221.8</v>
      </c>
      <c r="BX321" s="3">
        <v>463.7</v>
      </c>
      <c r="BY321" s="3">
        <v>95.4</v>
      </c>
      <c r="BZ321" s="3">
        <v>390.6</v>
      </c>
      <c r="CA321" s="3">
        <v>401.8</v>
      </c>
      <c r="CB321" s="3">
        <v>536.6</v>
      </c>
      <c r="CC321" s="3">
        <v>364.3</v>
      </c>
      <c r="CD321" s="3">
        <v>381.2</v>
      </c>
      <c r="CE321" s="3">
        <v>336.3</v>
      </c>
      <c r="CF321" s="3">
        <v>8.1</v>
      </c>
      <c r="CG321" s="3">
        <v>102.3</v>
      </c>
      <c r="CH321" s="3">
        <v>81.8</v>
      </c>
      <c r="CI321" s="3">
        <v>325.39999999999998</v>
      </c>
      <c r="CJ321" s="3">
        <v>168.7</v>
      </c>
      <c r="CK321" s="3">
        <v>191</v>
      </c>
      <c r="CL321" s="3">
        <v>490.8</v>
      </c>
      <c r="CM321" s="3">
        <v>231.4</v>
      </c>
      <c r="CN321" s="3">
        <v>205.9</v>
      </c>
    </row>
    <row r="322" spans="1:92" x14ac:dyDescent="0.25">
      <c r="A322" s="4">
        <v>41518</v>
      </c>
      <c r="B322" s="3">
        <v>235.1</v>
      </c>
      <c r="C322" s="3">
        <v>212.1</v>
      </c>
      <c r="D322" s="3">
        <v>248.9</v>
      </c>
      <c r="E322" s="3">
        <v>220.8</v>
      </c>
      <c r="F322" s="3">
        <v>290.8</v>
      </c>
      <c r="G322" s="3">
        <v>315.3</v>
      </c>
      <c r="H322" s="3">
        <v>237.8</v>
      </c>
      <c r="I322" s="3">
        <v>228.2</v>
      </c>
      <c r="J322" s="3">
        <v>147.69999999999999</v>
      </c>
      <c r="K322" s="3">
        <v>191.2</v>
      </c>
      <c r="L322" s="3">
        <v>244.6</v>
      </c>
      <c r="M322" s="3">
        <v>241.8</v>
      </c>
      <c r="N322" s="3">
        <v>244.6</v>
      </c>
      <c r="O322" s="3">
        <v>314.7</v>
      </c>
      <c r="P322" s="3">
        <v>192.1</v>
      </c>
      <c r="Q322" s="3">
        <v>243.5</v>
      </c>
      <c r="R322" s="3">
        <v>259.3</v>
      </c>
      <c r="S322" s="3">
        <v>247</v>
      </c>
      <c r="T322" s="3">
        <v>188.4</v>
      </c>
      <c r="U322" s="3">
        <v>219.4</v>
      </c>
      <c r="V322" s="3">
        <v>174.1</v>
      </c>
      <c r="W322" s="3">
        <v>254.2</v>
      </c>
      <c r="X322" s="3">
        <v>209.6</v>
      </c>
      <c r="Y322" s="3">
        <v>283.89999999999998</v>
      </c>
      <c r="Z322" s="3">
        <v>251.7</v>
      </c>
      <c r="AA322" s="3">
        <v>262</v>
      </c>
      <c r="AB322" s="3">
        <v>230.3</v>
      </c>
      <c r="AC322" s="3">
        <v>191.8</v>
      </c>
      <c r="AD322" s="3">
        <v>170.1</v>
      </c>
      <c r="AE322" s="3">
        <v>261.60000000000002</v>
      </c>
      <c r="AF322" s="3">
        <v>207.5</v>
      </c>
      <c r="AG322" s="3">
        <v>198.2</v>
      </c>
      <c r="AH322" s="3">
        <v>251.3</v>
      </c>
      <c r="AI322" s="3">
        <v>194.7</v>
      </c>
      <c r="AJ322" s="3">
        <v>304.60000000000002</v>
      </c>
      <c r="AK322" s="3">
        <v>369.8</v>
      </c>
      <c r="AL322" s="3">
        <v>296.60000000000002</v>
      </c>
      <c r="AM322" s="3">
        <v>295.8</v>
      </c>
      <c r="AN322" s="3">
        <v>326.60000000000002</v>
      </c>
      <c r="AO322" s="3">
        <v>169.8</v>
      </c>
      <c r="AP322" s="3">
        <v>248.5</v>
      </c>
      <c r="AQ322" s="3">
        <v>311.5</v>
      </c>
      <c r="AR322" s="3">
        <v>206.9</v>
      </c>
      <c r="AS322" s="3">
        <v>571</v>
      </c>
      <c r="AT322" s="3">
        <v>422.8</v>
      </c>
      <c r="AU322" s="3">
        <v>337.4</v>
      </c>
      <c r="AV322" s="3">
        <v>245</v>
      </c>
      <c r="AW322" s="3">
        <v>296.89999999999998</v>
      </c>
      <c r="AX322" s="3">
        <v>321.10000000000002</v>
      </c>
      <c r="AY322" s="3">
        <v>486.4</v>
      </c>
      <c r="AZ322" s="3">
        <v>363.5</v>
      </c>
      <c r="BA322" s="3">
        <v>223.1</v>
      </c>
      <c r="BB322" s="3">
        <v>336.8</v>
      </c>
      <c r="BC322" s="3">
        <v>311.8</v>
      </c>
      <c r="BD322" s="3">
        <v>286.5</v>
      </c>
      <c r="BE322" s="3">
        <v>377.6</v>
      </c>
      <c r="BF322" s="3">
        <v>488.7</v>
      </c>
      <c r="BG322" s="3">
        <v>228.9</v>
      </c>
      <c r="BH322" s="3">
        <v>224.5</v>
      </c>
      <c r="BI322" s="3">
        <v>76.099999999999994</v>
      </c>
      <c r="BJ322" s="3">
        <v>181.3</v>
      </c>
      <c r="BK322" s="3">
        <v>207.9</v>
      </c>
      <c r="BL322" s="3">
        <v>228.9</v>
      </c>
      <c r="BM322" s="3">
        <v>378.1</v>
      </c>
      <c r="BN322" s="3">
        <v>99.2</v>
      </c>
      <c r="BO322" s="3">
        <v>359.6</v>
      </c>
      <c r="BP322" s="3">
        <v>396.8</v>
      </c>
      <c r="BQ322" s="3">
        <v>130.69999999999999</v>
      </c>
      <c r="BR322" s="3">
        <v>89.7</v>
      </c>
      <c r="BS322" s="3">
        <v>122.4</v>
      </c>
      <c r="BT322" s="3">
        <v>190.3</v>
      </c>
      <c r="BU322" s="3">
        <v>127.7</v>
      </c>
      <c r="BV322" s="3">
        <v>180.7</v>
      </c>
      <c r="BW322" s="3">
        <v>223.7</v>
      </c>
      <c r="BX322" s="3">
        <v>464.1</v>
      </c>
      <c r="BY322" s="3">
        <v>95.5</v>
      </c>
      <c r="BZ322" s="3">
        <v>392.5</v>
      </c>
      <c r="CA322" s="3">
        <v>403.4</v>
      </c>
      <c r="CB322" s="3">
        <v>536.1</v>
      </c>
      <c r="CC322" s="3">
        <v>365.4</v>
      </c>
      <c r="CD322" s="3">
        <v>373.2</v>
      </c>
      <c r="CE322" s="3">
        <v>304.60000000000002</v>
      </c>
      <c r="CF322" s="3">
        <v>8.3000000000000007</v>
      </c>
      <c r="CG322" s="3">
        <v>104.5</v>
      </c>
      <c r="CH322" s="3">
        <v>83.1</v>
      </c>
      <c r="CI322" s="3">
        <v>328.1</v>
      </c>
      <c r="CJ322" s="3">
        <v>168.8</v>
      </c>
      <c r="CK322" s="3">
        <v>191</v>
      </c>
      <c r="CL322" s="3">
        <v>491.8</v>
      </c>
      <c r="CM322" s="3">
        <v>231.6</v>
      </c>
      <c r="CN322" s="3">
        <v>206.4</v>
      </c>
    </row>
    <row r="323" spans="1:92" x14ac:dyDescent="0.25">
      <c r="A323" s="4">
        <v>41548</v>
      </c>
      <c r="B323" s="3">
        <v>232.2</v>
      </c>
      <c r="C323" s="3">
        <v>210</v>
      </c>
      <c r="D323" s="3">
        <v>253.5</v>
      </c>
      <c r="E323" s="3">
        <v>219.2</v>
      </c>
      <c r="F323" s="3">
        <v>286.7</v>
      </c>
      <c r="G323" s="3">
        <v>318.10000000000002</v>
      </c>
      <c r="H323" s="3">
        <v>244.9</v>
      </c>
      <c r="I323" s="3">
        <v>232.1</v>
      </c>
      <c r="J323" s="3">
        <v>147.30000000000001</v>
      </c>
      <c r="K323" s="3">
        <v>190.7</v>
      </c>
      <c r="L323" s="3">
        <v>254</v>
      </c>
      <c r="M323" s="3">
        <v>258.39999999999998</v>
      </c>
      <c r="N323" s="3">
        <v>246.4</v>
      </c>
      <c r="O323" s="3">
        <v>317.8</v>
      </c>
      <c r="P323" s="3">
        <v>198.7</v>
      </c>
      <c r="Q323" s="3">
        <v>245</v>
      </c>
      <c r="R323" s="3">
        <v>261.3</v>
      </c>
      <c r="S323" s="3">
        <v>247.5</v>
      </c>
      <c r="T323" s="3">
        <v>184.6</v>
      </c>
      <c r="U323" s="3">
        <v>227.9</v>
      </c>
      <c r="V323" s="3">
        <v>169.4</v>
      </c>
      <c r="W323" s="3">
        <v>256.2</v>
      </c>
      <c r="X323" s="3">
        <v>208.8</v>
      </c>
      <c r="Y323" s="3">
        <v>287.10000000000002</v>
      </c>
      <c r="Z323" s="3">
        <v>249.5</v>
      </c>
      <c r="AA323" s="3">
        <v>261.5</v>
      </c>
      <c r="AB323" s="3">
        <v>227.3</v>
      </c>
      <c r="AC323" s="3">
        <v>191.2</v>
      </c>
      <c r="AD323" s="3">
        <v>169.6</v>
      </c>
      <c r="AE323" s="3">
        <v>260.3</v>
      </c>
      <c r="AF323" s="3">
        <v>209.7</v>
      </c>
      <c r="AG323" s="3">
        <v>200.4</v>
      </c>
      <c r="AH323" s="3">
        <v>252.8</v>
      </c>
      <c r="AI323" s="3">
        <v>192</v>
      </c>
      <c r="AJ323" s="3">
        <v>305.10000000000002</v>
      </c>
      <c r="AK323" s="3">
        <v>368</v>
      </c>
      <c r="AL323" s="3">
        <v>297</v>
      </c>
      <c r="AM323" s="3">
        <v>296.10000000000002</v>
      </c>
      <c r="AN323" s="3">
        <v>327.10000000000002</v>
      </c>
      <c r="AO323" s="3">
        <v>169.6</v>
      </c>
      <c r="AP323" s="3">
        <v>248.6</v>
      </c>
      <c r="AQ323" s="3">
        <v>312.5</v>
      </c>
      <c r="AR323" s="3">
        <v>206.2</v>
      </c>
      <c r="AS323" s="3">
        <v>575.4</v>
      </c>
      <c r="AT323" s="3">
        <v>424.5</v>
      </c>
      <c r="AU323" s="3">
        <v>337.7</v>
      </c>
      <c r="AV323" s="3">
        <v>244.2</v>
      </c>
      <c r="AW323" s="3">
        <v>297.10000000000002</v>
      </c>
      <c r="AX323" s="3">
        <v>321.10000000000002</v>
      </c>
      <c r="AY323" s="3">
        <v>486.4</v>
      </c>
      <c r="AZ323" s="3">
        <v>363.8</v>
      </c>
      <c r="BA323" s="3">
        <v>222.6</v>
      </c>
      <c r="BB323" s="3">
        <v>336.1</v>
      </c>
      <c r="BC323" s="3">
        <v>315.3</v>
      </c>
      <c r="BD323" s="3">
        <v>286.5</v>
      </c>
      <c r="BE323" s="3">
        <v>377.6</v>
      </c>
      <c r="BF323" s="3">
        <v>476.4</v>
      </c>
      <c r="BG323" s="3">
        <v>225.2</v>
      </c>
      <c r="BH323" s="3">
        <v>214.4</v>
      </c>
      <c r="BI323" s="3">
        <v>78.099999999999994</v>
      </c>
      <c r="BJ323" s="3">
        <v>182.8</v>
      </c>
      <c r="BK323" s="3">
        <v>209.7</v>
      </c>
      <c r="BL323" s="3">
        <v>228.6</v>
      </c>
      <c r="BM323" s="3">
        <v>378.1</v>
      </c>
      <c r="BN323" s="3">
        <v>99.4</v>
      </c>
      <c r="BO323" s="3">
        <v>361.4</v>
      </c>
      <c r="BP323" s="3">
        <v>413.3</v>
      </c>
      <c r="BQ323" s="3">
        <v>133.19999999999999</v>
      </c>
      <c r="BR323" s="3">
        <v>91.5</v>
      </c>
      <c r="BS323" s="3">
        <v>122.3</v>
      </c>
      <c r="BT323" s="3">
        <v>190.9</v>
      </c>
      <c r="BU323" s="3">
        <v>128.4</v>
      </c>
      <c r="BV323" s="3">
        <v>181.2</v>
      </c>
      <c r="BW323" s="3">
        <v>223.3</v>
      </c>
      <c r="BX323" s="3">
        <v>460.6</v>
      </c>
      <c r="BY323" s="3">
        <v>95.5</v>
      </c>
      <c r="BZ323" s="3">
        <v>393.6</v>
      </c>
      <c r="CA323" s="3">
        <v>388</v>
      </c>
      <c r="CB323" s="3">
        <v>536.6</v>
      </c>
      <c r="CC323" s="3">
        <v>362.8</v>
      </c>
      <c r="CD323" s="3">
        <v>372.2</v>
      </c>
      <c r="CE323" s="3">
        <v>288.3</v>
      </c>
      <c r="CF323" s="3">
        <v>8.3000000000000007</v>
      </c>
      <c r="CG323" s="3">
        <v>109.7</v>
      </c>
      <c r="CH323" s="3">
        <v>82</v>
      </c>
      <c r="CI323" s="3">
        <v>330.7</v>
      </c>
      <c r="CJ323" s="3">
        <v>168.4</v>
      </c>
      <c r="CK323" s="3">
        <v>193</v>
      </c>
      <c r="CL323" s="3">
        <v>494.9</v>
      </c>
      <c r="CM323" s="3">
        <v>232.5</v>
      </c>
      <c r="CN323" s="3">
        <v>206.5</v>
      </c>
    </row>
    <row r="324" spans="1:92" x14ac:dyDescent="0.25">
      <c r="A324" s="4">
        <v>41579</v>
      </c>
      <c r="B324" s="3">
        <v>231.2</v>
      </c>
      <c r="C324" s="3">
        <v>210.6</v>
      </c>
      <c r="D324" s="3">
        <v>252.7</v>
      </c>
      <c r="E324" s="3">
        <v>220.9</v>
      </c>
      <c r="F324" s="3">
        <v>278</v>
      </c>
      <c r="G324" s="3">
        <v>301.39999999999998</v>
      </c>
      <c r="H324" s="3">
        <v>238.7</v>
      </c>
      <c r="I324" s="3">
        <v>230.7</v>
      </c>
      <c r="J324" s="3">
        <v>147.80000000000001</v>
      </c>
      <c r="K324" s="3">
        <v>192</v>
      </c>
      <c r="L324" s="3">
        <v>253.7</v>
      </c>
      <c r="M324" s="3">
        <v>254.7</v>
      </c>
      <c r="N324" s="3">
        <v>249.6</v>
      </c>
      <c r="O324" s="3">
        <v>311.60000000000002</v>
      </c>
      <c r="P324" s="3">
        <v>206</v>
      </c>
      <c r="Q324" s="3">
        <v>247.7</v>
      </c>
      <c r="R324" s="3">
        <v>259.3</v>
      </c>
      <c r="S324" s="3">
        <v>247.7</v>
      </c>
      <c r="T324" s="3">
        <v>185.1</v>
      </c>
      <c r="U324" s="3">
        <v>224.6</v>
      </c>
      <c r="V324" s="3">
        <v>173</v>
      </c>
      <c r="W324" s="3">
        <v>256.7</v>
      </c>
      <c r="X324" s="3">
        <v>208.3</v>
      </c>
      <c r="Y324" s="3">
        <v>285.10000000000002</v>
      </c>
      <c r="Z324" s="3">
        <v>249.8</v>
      </c>
      <c r="AA324" s="3">
        <v>259.60000000000002</v>
      </c>
      <c r="AB324" s="3">
        <v>228.8</v>
      </c>
      <c r="AC324" s="3">
        <v>188.6</v>
      </c>
      <c r="AD324" s="3">
        <v>165.6</v>
      </c>
      <c r="AE324" s="3">
        <v>265.8</v>
      </c>
      <c r="AF324" s="3">
        <v>210.9</v>
      </c>
      <c r="AG324" s="3">
        <v>201.6</v>
      </c>
      <c r="AH324" s="3">
        <v>253.5</v>
      </c>
      <c r="AI324" s="3">
        <v>193.2</v>
      </c>
      <c r="AJ324" s="3">
        <v>306.10000000000002</v>
      </c>
      <c r="AK324" s="3">
        <v>365.2</v>
      </c>
      <c r="AL324" s="3">
        <v>297.5</v>
      </c>
      <c r="AM324" s="3">
        <v>295.8</v>
      </c>
      <c r="AN324" s="3">
        <v>327.60000000000002</v>
      </c>
      <c r="AO324" s="3">
        <v>167.4</v>
      </c>
      <c r="AP324" s="3">
        <v>247.4</v>
      </c>
      <c r="AQ324" s="3">
        <v>313.8</v>
      </c>
      <c r="AR324" s="3">
        <v>202.6</v>
      </c>
      <c r="AS324" s="3">
        <v>582.1</v>
      </c>
      <c r="AT324" s="3">
        <v>430.1</v>
      </c>
      <c r="AU324" s="3">
        <v>338</v>
      </c>
      <c r="AV324" s="3">
        <v>243.6</v>
      </c>
      <c r="AW324" s="3">
        <v>298.60000000000002</v>
      </c>
      <c r="AX324" s="3">
        <v>321.10000000000002</v>
      </c>
      <c r="AY324" s="3">
        <v>486.4</v>
      </c>
      <c r="AZ324" s="3">
        <v>364</v>
      </c>
      <c r="BA324" s="3">
        <v>222.5</v>
      </c>
      <c r="BB324" s="3">
        <v>340.9</v>
      </c>
      <c r="BC324" s="3">
        <v>318.5</v>
      </c>
      <c r="BD324" s="3">
        <v>286.5</v>
      </c>
      <c r="BE324" s="3">
        <v>377.6</v>
      </c>
      <c r="BF324" s="3">
        <v>469</v>
      </c>
      <c r="BG324" s="3">
        <v>226.2</v>
      </c>
      <c r="BH324" s="3">
        <v>214.6</v>
      </c>
      <c r="BI324" s="3">
        <v>75.8</v>
      </c>
      <c r="BJ324" s="3">
        <v>184.3</v>
      </c>
      <c r="BK324" s="3">
        <v>210.3</v>
      </c>
      <c r="BL324" s="3">
        <v>230.6</v>
      </c>
      <c r="BM324" s="3">
        <v>378.1</v>
      </c>
      <c r="BN324" s="3">
        <v>99.4</v>
      </c>
      <c r="BO324" s="3">
        <v>362</v>
      </c>
      <c r="BP324" s="3">
        <v>413.5</v>
      </c>
      <c r="BQ324" s="3">
        <v>134.69999999999999</v>
      </c>
      <c r="BR324" s="3">
        <v>91.4</v>
      </c>
      <c r="BS324" s="3">
        <v>124</v>
      </c>
      <c r="BT324" s="3">
        <v>194.1</v>
      </c>
      <c r="BU324" s="3">
        <v>129.69999999999999</v>
      </c>
      <c r="BV324" s="3">
        <v>181.9</v>
      </c>
      <c r="BW324" s="3">
        <v>226</v>
      </c>
      <c r="BX324" s="3">
        <v>460.9</v>
      </c>
      <c r="BY324" s="3">
        <v>96</v>
      </c>
      <c r="BZ324" s="3">
        <v>394.1</v>
      </c>
      <c r="CA324" s="3">
        <v>382.7</v>
      </c>
      <c r="CB324" s="3">
        <v>538.9</v>
      </c>
      <c r="CC324" s="3">
        <v>363.7</v>
      </c>
      <c r="CD324" s="3">
        <v>374.9</v>
      </c>
      <c r="CE324" s="3">
        <v>278.89999999999998</v>
      </c>
      <c r="CF324" s="3">
        <v>8.4</v>
      </c>
      <c r="CG324" s="3">
        <v>110.1</v>
      </c>
      <c r="CH324" s="3">
        <v>83.3</v>
      </c>
      <c r="CI324" s="3">
        <v>333.5</v>
      </c>
      <c r="CJ324" s="3">
        <v>169.9</v>
      </c>
      <c r="CK324" s="3">
        <v>193</v>
      </c>
      <c r="CL324" s="3">
        <v>494.3</v>
      </c>
      <c r="CM324" s="3">
        <v>232.5</v>
      </c>
      <c r="CN324" s="3">
        <v>206.3</v>
      </c>
    </row>
    <row r="325" spans="1:92" x14ac:dyDescent="0.25">
      <c r="A325" s="4">
        <v>41609</v>
      </c>
      <c r="B325" s="3">
        <v>228.6</v>
      </c>
      <c r="C325" s="3">
        <v>211.4</v>
      </c>
      <c r="D325" s="3">
        <v>257.60000000000002</v>
      </c>
      <c r="E325" s="3">
        <v>219.7</v>
      </c>
      <c r="F325" s="3">
        <v>287.8</v>
      </c>
      <c r="G325" s="3">
        <v>313.60000000000002</v>
      </c>
      <c r="H325" s="3">
        <v>240.3</v>
      </c>
      <c r="I325" s="3">
        <v>232.9</v>
      </c>
      <c r="J325" s="3">
        <v>146.6</v>
      </c>
      <c r="K325" s="3">
        <v>192.6</v>
      </c>
      <c r="L325" s="3">
        <v>252.7</v>
      </c>
      <c r="M325" s="3">
        <v>259.3</v>
      </c>
      <c r="N325" s="3">
        <v>242.8</v>
      </c>
      <c r="O325" s="3">
        <v>319.2</v>
      </c>
      <c r="P325" s="3">
        <v>199.7</v>
      </c>
      <c r="Q325" s="3">
        <v>247.3</v>
      </c>
      <c r="R325" s="3">
        <v>264.3</v>
      </c>
      <c r="S325" s="3">
        <v>248.2</v>
      </c>
      <c r="T325" s="3">
        <v>190.1</v>
      </c>
      <c r="U325" s="3">
        <v>217</v>
      </c>
      <c r="V325" s="3">
        <v>162.69999999999999</v>
      </c>
      <c r="W325" s="3">
        <v>253.6</v>
      </c>
      <c r="X325" s="3">
        <v>207</v>
      </c>
      <c r="Y325" s="3">
        <v>286.39999999999998</v>
      </c>
      <c r="Z325" s="3">
        <v>246.6</v>
      </c>
      <c r="AA325" s="3">
        <v>246.8</v>
      </c>
      <c r="AB325" s="3">
        <v>231.3</v>
      </c>
      <c r="AC325" s="3">
        <v>193.2</v>
      </c>
      <c r="AD325" s="3">
        <v>171.4</v>
      </c>
      <c r="AE325" s="3">
        <v>263</v>
      </c>
      <c r="AF325" s="3">
        <v>212.1</v>
      </c>
      <c r="AG325" s="3">
        <v>202.9</v>
      </c>
      <c r="AH325" s="3">
        <v>254.1</v>
      </c>
      <c r="AI325" s="3">
        <v>194.3</v>
      </c>
      <c r="AJ325" s="3">
        <v>307.2</v>
      </c>
      <c r="AK325" s="3">
        <v>366.2</v>
      </c>
      <c r="AL325" s="3">
        <v>297.89999999999998</v>
      </c>
      <c r="AM325" s="3">
        <v>295.8</v>
      </c>
      <c r="AN325" s="3">
        <v>328</v>
      </c>
      <c r="AO325" s="3">
        <v>166.3</v>
      </c>
      <c r="AP325" s="3">
        <v>243.6</v>
      </c>
      <c r="AQ325" s="3">
        <v>314.60000000000002</v>
      </c>
      <c r="AR325" s="3">
        <v>194.3</v>
      </c>
      <c r="AS325" s="3">
        <v>583</v>
      </c>
      <c r="AT325" s="3">
        <v>429.7</v>
      </c>
      <c r="AU325" s="3">
        <v>338.3</v>
      </c>
      <c r="AV325" s="3">
        <v>244.2</v>
      </c>
      <c r="AW325" s="3">
        <v>299.60000000000002</v>
      </c>
      <c r="AX325" s="3">
        <v>321.10000000000002</v>
      </c>
      <c r="AY325" s="3">
        <v>486.4</v>
      </c>
      <c r="AZ325" s="3">
        <v>364</v>
      </c>
      <c r="BA325" s="3">
        <v>222.6</v>
      </c>
      <c r="BB325" s="3">
        <v>342.2</v>
      </c>
      <c r="BC325" s="3">
        <v>319.10000000000002</v>
      </c>
      <c r="BD325" s="3">
        <v>305.10000000000002</v>
      </c>
      <c r="BE325" s="3">
        <v>403.6</v>
      </c>
      <c r="BF325" s="3">
        <v>480.1</v>
      </c>
      <c r="BG325" s="3">
        <v>237.1</v>
      </c>
      <c r="BH325" s="3">
        <v>217.6</v>
      </c>
      <c r="BI325" s="3">
        <v>75.900000000000006</v>
      </c>
      <c r="BJ325" s="3">
        <v>184.5</v>
      </c>
      <c r="BK325" s="3">
        <v>212.1</v>
      </c>
      <c r="BL325" s="3">
        <v>229.5</v>
      </c>
      <c r="BM325" s="3">
        <v>378.1</v>
      </c>
      <c r="BN325" s="3">
        <v>99.8</v>
      </c>
      <c r="BO325" s="3">
        <v>362.7</v>
      </c>
      <c r="BP325" s="3">
        <v>413.6</v>
      </c>
      <c r="BQ325" s="3">
        <v>135.5</v>
      </c>
      <c r="BR325" s="3">
        <v>90.2</v>
      </c>
      <c r="BS325" s="3">
        <v>124.9</v>
      </c>
      <c r="BT325" s="3">
        <v>193.7</v>
      </c>
      <c r="BU325" s="3">
        <v>127.6</v>
      </c>
      <c r="BV325" s="3">
        <v>181.8</v>
      </c>
      <c r="BW325" s="3">
        <v>224.2</v>
      </c>
      <c r="BX325" s="3">
        <v>461.5</v>
      </c>
      <c r="BY325" s="3">
        <v>96</v>
      </c>
      <c r="BZ325" s="3">
        <v>394.3</v>
      </c>
      <c r="CA325" s="3">
        <v>385.9</v>
      </c>
      <c r="CB325" s="3">
        <v>547.9</v>
      </c>
      <c r="CC325" s="3">
        <v>363.8</v>
      </c>
      <c r="CD325" s="3">
        <v>380.5</v>
      </c>
      <c r="CE325" s="3">
        <v>299.60000000000002</v>
      </c>
      <c r="CF325" s="3">
        <v>8.3000000000000007</v>
      </c>
      <c r="CG325" s="3">
        <v>111.8</v>
      </c>
      <c r="CH325" s="3">
        <v>81.8</v>
      </c>
      <c r="CI325" s="3">
        <v>330.9</v>
      </c>
      <c r="CJ325" s="3">
        <v>170.6</v>
      </c>
      <c r="CK325" s="3">
        <v>193</v>
      </c>
      <c r="CL325" s="3">
        <v>492.8</v>
      </c>
      <c r="CM325" s="3">
        <v>232.8</v>
      </c>
      <c r="CN325" s="3">
        <v>205.8</v>
      </c>
    </row>
    <row r="326" spans="1:92" x14ac:dyDescent="0.25">
      <c r="A326" s="4">
        <v>41640</v>
      </c>
      <c r="B326" s="3">
        <v>229.4</v>
      </c>
      <c r="C326" s="3">
        <v>209.7</v>
      </c>
      <c r="D326" s="3">
        <v>252.8</v>
      </c>
      <c r="E326" s="3">
        <v>219</v>
      </c>
      <c r="F326" s="3">
        <v>290.39999999999998</v>
      </c>
      <c r="G326" s="3">
        <v>316.8</v>
      </c>
      <c r="H326" s="3">
        <v>237.3</v>
      </c>
      <c r="I326" s="3">
        <v>225.7</v>
      </c>
      <c r="J326" s="3">
        <v>145.19999999999999</v>
      </c>
      <c r="K326" s="3">
        <v>192.8</v>
      </c>
      <c r="L326" s="3">
        <v>253.4</v>
      </c>
      <c r="M326" s="3">
        <v>256</v>
      </c>
      <c r="N326" s="3">
        <v>247.8</v>
      </c>
      <c r="O326" s="3">
        <v>319</v>
      </c>
      <c r="P326" s="3">
        <v>197.7</v>
      </c>
      <c r="Q326" s="3">
        <v>251.6</v>
      </c>
      <c r="R326" s="3">
        <v>266.39999999999998</v>
      </c>
      <c r="S326" s="3">
        <v>249.7</v>
      </c>
      <c r="T326" s="3">
        <v>186.9</v>
      </c>
      <c r="U326" s="3">
        <v>223.9</v>
      </c>
      <c r="V326" s="3">
        <v>172.3</v>
      </c>
      <c r="W326" s="3">
        <v>256.89999999999998</v>
      </c>
      <c r="X326" s="3">
        <v>207.3</v>
      </c>
      <c r="Y326" s="3">
        <v>295</v>
      </c>
      <c r="Z326" s="3">
        <v>247.9</v>
      </c>
      <c r="AA326" s="3">
        <v>249.6</v>
      </c>
      <c r="AB326" s="3">
        <v>231.6</v>
      </c>
      <c r="AC326" s="3">
        <v>194.3</v>
      </c>
      <c r="AD326" s="3">
        <v>172.5</v>
      </c>
      <c r="AE326" s="3">
        <v>264.2</v>
      </c>
      <c r="AF326" s="3">
        <v>212.1</v>
      </c>
      <c r="AG326" s="3">
        <v>202.9</v>
      </c>
      <c r="AH326" s="3">
        <v>252.9</v>
      </c>
      <c r="AI326" s="3">
        <v>194.8</v>
      </c>
      <c r="AJ326" s="3">
        <v>307.3</v>
      </c>
      <c r="AK326" s="3">
        <v>367.4</v>
      </c>
      <c r="AL326" s="3">
        <v>298.3</v>
      </c>
      <c r="AM326" s="3">
        <v>298.39999999999998</v>
      </c>
      <c r="AN326" s="3">
        <v>328</v>
      </c>
      <c r="AO326" s="3">
        <v>174.3</v>
      </c>
      <c r="AP326" s="3">
        <v>251.3</v>
      </c>
      <c r="AQ326" s="3">
        <v>315</v>
      </c>
      <c r="AR326" s="3">
        <v>209.1</v>
      </c>
      <c r="AS326" s="3">
        <v>584.4</v>
      </c>
      <c r="AT326" s="3">
        <v>431.5</v>
      </c>
      <c r="AU326" s="3">
        <v>338.7</v>
      </c>
      <c r="AV326" s="3">
        <v>243.4</v>
      </c>
      <c r="AW326" s="3">
        <v>301.60000000000002</v>
      </c>
      <c r="AX326" s="3">
        <v>321.10000000000002</v>
      </c>
      <c r="AY326" s="3">
        <v>486.4</v>
      </c>
      <c r="AZ326" s="3">
        <v>364.2</v>
      </c>
      <c r="BA326" s="3">
        <v>222.9</v>
      </c>
      <c r="BB326" s="3">
        <v>342.4</v>
      </c>
      <c r="BC326" s="3">
        <v>321.10000000000002</v>
      </c>
      <c r="BD326" s="3">
        <v>304.60000000000002</v>
      </c>
      <c r="BE326" s="3">
        <v>399</v>
      </c>
      <c r="BF326" s="3">
        <v>474.6</v>
      </c>
      <c r="BG326" s="3">
        <v>220.8</v>
      </c>
      <c r="BH326" s="3">
        <v>213.2</v>
      </c>
      <c r="BI326" s="3">
        <v>74.099999999999994</v>
      </c>
      <c r="BJ326" s="3">
        <v>180.8</v>
      </c>
      <c r="BK326" s="3">
        <v>208.8</v>
      </c>
      <c r="BL326" s="3">
        <v>231.2</v>
      </c>
      <c r="BM326" s="3">
        <v>378.1</v>
      </c>
      <c r="BN326" s="3">
        <v>100.4</v>
      </c>
      <c r="BO326" s="3">
        <v>363</v>
      </c>
      <c r="BP326" s="3">
        <v>412.6</v>
      </c>
      <c r="BQ326" s="3">
        <v>130.6</v>
      </c>
      <c r="BR326" s="3">
        <v>82.8</v>
      </c>
      <c r="BS326" s="3">
        <v>120.6</v>
      </c>
      <c r="BT326" s="3">
        <v>187.5</v>
      </c>
      <c r="BU326" s="3">
        <v>123.9</v>
      </c>
      <c r="BV326" s="3">
        <v>180.3</v>
      </c>
      <c r="BW326" s="3">
        <v>224.2</v>
      </c>
      <c r="BX326" s="3">
        <v>464.8</v>
      </c>
      <c r="BY326" s="3">
        <v>96.3</v>
      </c>
      <c r="BZ326" s="3">
        <v>399</v>
      </c>
      <c r="CA326" s="3">
        <v>385</v>
      </c>
      <c r="CB326" s="3">
        <v>546.70000000000005</v>
      </c>
      <c r="CC326" s="3">
        <v>369.1</v>
      </c>
      <c r="CD326" s="3">
        <v>370</v>
      </c>
      <c r="CE326" s="3">
        <v>275.89999999999998</v>
      </c>
      <c r="CF326" s="3">
        <v>8.1999999999999993</v>
      </c>
      <c r="CG326" s="3">
        <v>100.5</v>
      </c>
      <c r="CH326" s="3">
        <v>82.3</v>
      </c>
      <c r="CI326" s="3">
        <v>336.3</v>
      </c>
      <c r="CJ326" s="3">
        <v>170</v>
      </c>
      <c r="CK326" s="3">
        <v>193.2</v>
      </c>
      <c r="CL326" s="3">
        <v>484.8</v>
      </c>
      <c r="CM326" s="3">
        <v>233.3</v>
      </c>
      <c r="CN326" s="3">
        <v>204.8</v>
      </c>
    </row>
    <row r="327" spans="1:92" x14ac:dyDescent="0.25">
      <c r="A327" s="4">
        <v>41671</v>
      </c>
      <c r="B327" s="3">
        <v>227.4</v>
      </c>
      <c r="C327" s="3">
        <v>212.1</v>
      </c>
      <c r="D327" s="3">
        <v>254.5</v>
      </c>
      <c r="E327" s="3">
        <v>219.1</v>
      </c>
      <c r="F327" s="3">
        <v>296.5</v>
      </c>
      <c r="G327" s="3">
        <v>324.10000000000002</v>
      </c>
      <c r="H327" s="3">
        <v>244.6</v>
      </c>
      <c r="I327" s="3">
        <v>230.2</v>
      </c>
      <c r="J327" s="3">
        <v>146.5</v>
      </c>
      <c r="K327" s="3">
        <v>192.7</v>
      </c>
      <c r="L327" s="3">
        <v>257.2</v>
      </c>
      <c r="M327" s="3">
        <v>262.60000000000002</v>
      </c>
      <c r="N327" s="3">
        <v>248.7</v>
      </c>
      <c r="O327" s="3">
        <v>338.8</v>
      </c>
      <c r="P327" s="3">
        <v>193</v>
      </c>
      <c r="Q327" s="3">
        <v>252.4</v>
      </c>
      <c r="R327" s="3">
        <v>265.10000000000002</v>
      </c>
      <c r="S327" s="3">
        <v>250.1</v>
      </c>
      <c r="T327" s="3">
        <v>188.3</v>
      </c>
      <c r="U327" s="3">
        <v>222.9</v>
      </c>
      <c r="V327" s="3">
        <v>169.5</v>
      </c>
      <c r="W327" s="3">
        <v>263.89999999999998</v>
      </c>
      <c r="X327" s="3">
        <v>208.1</v>
      </c>
      <c r="Y327" s="3">
        <v>293.39999999999998</v>
      </c>
      <c r="Z327" s="3">
        <v>245.8</v>
      </c>
      <c r="AA327" s="3">
        <v>243.2</v>
      </c>
      <c r="AB327" s="3">
        <v>232.4</v>
      </c>
      <c r="AC327" s="3">
        <v>193.9</v>
      </c>
      <c r="AD327" s="3">
        <v>172.5</v>
      </c>
      <c r="AE327" s="3">
        <v>261.10000000000002</v>
      </c>
      <c r="AF327" s="3">
        <v>208.3</v>
      </c>
      <c r="AG327" s="3">
        <v>198</v>
      </c>
      <c r="AH327" s="3">
        <v>257.89999999999998</v>
      </c>
      <c r="AI327" s="3">
        <v>198</v>
      </c>
      <c r="AJ327" s="3">
        <v>307.8</v>
      </c>
      <c r="AK327" s="3">
        <v>368</v>
      </c>
      <c r="AL327" s="3">
        <v>299.39999999999998</v>
      </c>
      <c r="AM327" s="3">
        <v>298.3</v>
      </c>
      <c r="AN327" s="3">
        <v>328.9</v>
      </c>
      <c r="AO327" s="3">
        <v>172.3</v>
      </c>
      <c r="AP327" s="3">
        <v>248.9</v>
      </c>
      <c r="AQ327" s="3">
        <v>315.89999999999998</v>
      </c>
      <c r="AR327" s="3">
        <v>204.1</v>
      </c>
      <c r="AS327" s="3">
        <v>584.6</v>
      </c>
      <c r="AT327" s="3">
        <v>432.3</v>
      </c>
      <c r="AU327" s="3">
        <v>338.8</v>
      </c>
      <c r="AV327" s="3">
        <v>243.4</v>
      </c>
      <c r="AW327" s="3">
        <v>303.2</v>
      </c>
      <c r="AX327" s="3">
        <v>321.10000000000002</v>
      </c>
      <c r="AY327" s="3">
        <v>486.4</v>
      </c>
      <c r="AZ327" s="3">
        <v>364</v>
      </c>
      <c r="BA327" s="3">
        <v>222.5</v>
      </c>
      <c r="BB327" s="3">
        <v>338.3</v>
      </c>
      <c r="BC327" s="3">
        <v>320.8</v>
      </c>
      <c r="BD327" s="3">
        <v>305.3</v>
      </c>
      <c r="BE327" s="3">
        <v>399.9</v>
      </c>
      <c r="BF327" s="3">
        <v>475.2</v>
      </c>
      <c r="BG327" s="3">
        <v>239.2</v>
      </c>
      <c r="BH327" s="3">
        <v>219.8</v>
      </c>
      <c r="BI327" s="3">
        <v>73.7</v>
      </c>
      <c r="BJ327" s="3">
        <v>190.2</v>
      </c>
      <c r="BK327" s="3">
        <v>210.8</v>
      </c>
      <c r="BL327" s="3">
        <v>232</v>
      </c>
      <c r="BM327" s="3">
        <v>378.1</v>
      </c>
      <c r="BN327" s="3">
        <v>100.9</v>
      </c>
      <c r="BO327" s="3">
        <v>363.4</v>
      </c>
      <c r="BP327" s="3">
        <v>412.7</v>
      </c>
      <c r="BQ327" s="3">
        <v>132.30000000000001</v>
      </c>
      <c r="BR327" s="3">
        <v>89.8</v>
      </c>
      <c r="BS327" s="3">
        <v>124.8</v>
      </c>
      <c r="BT327" s="3">
        <v>191.1</v>
      </c>
      <c r="BU327" s="3">
        <v>126.2</v>
      </c>
      <c r="BV327" s="3">
        <v>183.5</v>
      </c>
      <c r="BW327" s="3">
        <v>225.2</v>
      </c>
      <c r="BX327" s="3">
        <v>465.6</v>
      </c>
      <c r="BY327" s="3">
        <v>96.6</v>
      </c>
      <c r="BZ327" s="3">
        <v>399.2</v>
      </c>
      <c r="CA327" s="3">
        <v>381.2</v>
      </c>
      <c r="CB327" s="3">
        <v>551.6</v>
      </c>
      <c r="CC327" s="3">
        <v>375.7</v>
      </c>
      <c r="CD327" s="3">
        <v>373</v>
      </c>
      <c r="CE327" s="3">
        <v>281.2</v>
      </c>
      <c r="CF327" s="3">
        <v>8.4</v>
      </c>
      <c r="CG327" s="3">
        <v>106.6</v>
      </c>
      <c r="CH327" s="3">
        <v>83.5</v>
      </c>
      <c r="CI327" s="3">
        <v>349.9</v>
      </c>
      <c r="CJ327" s="3">
        <v>174.1</v>
      </c>
      <c r="CK327" s="3">
        <v>193.2</v>
      </c>
      <c r="CL327" s="3">
        <v>485.8</v>
      </c>
      <c r="CM327" s="3">
        <v>233.4</v>
      </c>
      <c r="CN327" s="3">
        <v>206</v>
      </c>
    </row>
    <row r="328" spans="1:92" x14ac:dyDescent="0.25">
      <c r="A328" s="4">
        <v>41699</v>
      </c>
      <c r="B328" s="3">
        <v>227.8</v>
      </c>
      <c r="C328" s="3">
        <v>211.6</v>
      </c>
      <c r="D328" s="3">
        <v>255.3</v>
      </c>
      <c r="E328" s="3">
        <v>221.2</v>
      </c>
      <c r="F328" s="3">
        <v>289.5</v>
      </c>
      <c r="G328" s="3">
        <v>316.89999999999998</v>
      </c>
      <c r="H328" s="3">
        <v>230.2</v>
      </c>
      <c r="I328" s="3">
        <v>231.3</v>
      </c>
      <c r="J328" s="3">
        <v>147.30000000000001</v>
      </c>
      <c r="K328" s="3">
        <v>194.4</v>
      </c>
      <c r="L328" s="3">
        <v>260.5</v>
      </c>
      <c r="M328" s="3">
        <v>271</v>
      </c>
      <c r="N328" s="3">
        <v>247</v>
      </c>
      <c r="O328" s="3">
        <v>337</v>
      </c>
      <c r="P328" s="3">
        <v>197.3</v>
      </c>
      <c r="Q328" s="3">
        <v>253.4</v>
      </c>
      <c r="R328" s="3">
        <v>263.5</v>
      </c>
      <c r="S328" s="3">
        <v>243.4</v>
      </c>
      <c r="T328" s="3">
        <v>188.9</v>
      </c>
      <c r="U328" s="3">
        <v>218.9</v>
      </c>
      <c r="V328" s="3">
        <v>171.6</v>
      </c>
      <c r="W328" s="3">
        <v>260.8</v>
      </c>
      <c r="X328" s="3">
        <v>210.7</v>
      </c>
      <c r="Y328" s="3">
        <v>292.3</v>
      </c>
      <c r="Z328" s="3">
        <v>244.8</v>
      </c>
      <c r="AA328" s="3">
        <v>240.8</v>
      </c>
      <c r="AB328" s="3">
        <v>232.2</v>
      </c>
      <c r="AC328" s="3">
        <v>189.6</v>
      </c>
      <c r="AD328" s="3">
        <v>167.3</v>
      </c>
      <c r="AE328" s="3">
        <v>263.2</v>
      </c>
      <c r="AF328" s="3">
        <v>213</v>
      </c>
      <c r="AG328" s="3">
        <v>203.1</v>
      </c>
      <c r="AH328" s="3">
        <v>259.2</v>
      </c>
      <c r="AI328" s="3">
        <v>194.6</v>
      </c>
      <c r="AJ328" s="3">
        <v>308.7</v>
      </c>
      <c r="AK328" s="3">
        <v>368.5</v>
      </c>
      <c r="AL328" s="3">
        <v>300.60000000000002</v>
      </c>
      <c r="AM328" s="3">
        <v>297.5</v>
      </c>
      <c r="AN328" s="3">
        <v>329.3</v>
      </c>
      <c r="AO328" s="3">
        <v>169.3</v>
      </c>
      <c r="AP328" s="3">
        <v>251.5</v>
      </c>
      <c r="AQ328" s="3">
        <v>317.39999999999998</v>
      </c>
      <c r="AR328" s="3">
        <v>207.5</v>
      </c>
      <c r="AS328" s="3">
        <v>585.29999999999995</v>
      </c>
      <c r="AT328" s="3">
        <v>431.7</v>
      </c>
      <c r="AU328" s="3">
        <v>338.9</v>
      </c>
      <c r="AV328" s="3">
        <v>243.1</v>
      </c>
      <c r="AW328" s="3">
        <v>305.2</v>
      </c>
      <c r="AX328" s="3">
        <v>321.10000000000002</v>
      </c>
      <c r="AY328" s="3">
        <v>486.4</v>
      </c>
      <c r="AZ328" s="3">
        <v>364.1</v>
      </c>
      <c r="BA328" s="3">
        <v>223.5</v>
      </c>
      <c r="BB328" s="3">
        <v>337.2</v>
      </c>
      <c r="BC328" s="3">
        <v>320.8</v>
      </c>
      <c r="BD328" s="3">
        <v>304.39999999999998</v>
      </c>
      <c r="BE328" s="3">
        <v>398.7</v>
      </c>
      <c r="BF328" s="3">
        <v>463.5</v>
      </c>
      <c r="BG328" s="3">
        <v>238.8</v>
      </c>
      <c r="BH328" s="3">
        <v>220.1</v>
      </c>
      <c r="BI328" s="3">
        <v>74.8</v>
      </c>
      <c r="BJ328" s="3">
        <v>189.8</v>
      </c>
      <c r="BK328" s="3">
        <v>211.4</v>
      </c>
      <c r="BL328" s="3">
        <v>232.6</v>
      </c>
      <c r="BM328" s="3">
        <v>378.1</v>
      </c>
      <c r="BN328" s="3">
        <v>101</v>
      </c>
      <c r="BO328" s="3">
        <v>364.1</v>
      </c>
      <c r="BP328" s="3">
        <v>414.8</v>
      </c>
      <c r="BQ328" s="3">
        <v>135.69999999999999</v>
      </c>
      <c r="BR328" s="3">
        <v>93.4</v>
      </c>
      <c r="BS328" s="3">
        <v>128.19999999999999</v>
      </c>
      <c r="BT328" s="3">
        <v>193.5</v>
      </c>
      <c r="BU328" s="3">
        <v>129</v>
      </c>
      <c r="BV328" s="3">
        <v>185.3</v>
      </c>
      <c r="BW328" s="3">
        <v>226.5</v>
      </c>
      <c r="BX328" s="3">
        <v>466.1</v>
      </c>
      <c r="BY328" s="3">
        <v>96.5</v>
      </c>
      <c r="BZ328" s="3">
        <v>399</v>
      </c>
      <c r="CA328" s="3">
        <v>380</v>
      </c>
      <c r="CB328" s="3">
        <v>550.5</v>
      </c>
      <c r="CC328" s="3">
        <v>373.6</v>
      </c>
      <c r="CD328" s="3">
        <v>371.1</v>
      </c>
      <c r="CE328" s="3">
        <v>284.10000000000002</v>
      </c>
      <c r="CF328" s="3">
        <v>8.5</v>
      </c>
      <c r="CG328" s="3">
        <v>107.5</v>
      </c>
      <c r="CH328" s="3">
        <v>85.2</v>
      </c>
      <c r="CI328" s="3">
        <v>350.3</v>
      </c>
      <c r="CJ328" s="3">
        <v>174.8</v>
      </c>
      <c r="CK328" s="3">
        <v>193.2</v>
      </c>
      <c r="CL328" s="3">
        <v>488.2</v>
      </c>
      <c r="CM328" s="3">
        <v>233.7</v>
      </c>
      <c r="CN328" s="3">
        <v>207.7</v>
      </c>
    </row>
    <row r="329" spans="1:92" x14ac:dyDescent="0.25">
      <c r="A329" s="4">
        <v>41730</v>
      </c>
      <c r="B329" s="3">
        <v>227.9</v>
      </c>
      <c r="C329" s="3">
        <v>210.5</v>
      </c>
      <c r="D329" s="3">
        <v>256.39999999999998</v>
      </c>
      <c r="E329" s="3">
        <v>217.6</v>
      </c>
      <c r="F329" s="3">
        <v>286.3</v>
      </c>
      <c r="G329" s="3">
        <v>321.2</v>
      </c>
      <c r="H329" s="3">
        <v>244.1</v>
      </c>
      <c r="I329" s="3">
        <v>229.5</v>
      </c>
      <c r="J329" s="3">
        <v>145.19999999999999</v>
      </c>
      <c r="K329" s="3">
        <v>194.4</v>
      </c>
      <c r="L329" s="3">
        <v>249.1</v>
      </c>
      <c r="M329" s="3">
        <v>246.7</v>
      </c>
      <c r="N329" s="3">
        <v>248.4</v>
      </c>
      <c r="O329" s="3">
        <v>334.1</v>
      </c>
      <c r="P329" s="3">
        <v>196.9</v>
      </c>
      <c r="Q329" s="3">
        <v>253.3</v>
      </c>
      <c r="R329" s="3">
        <v>254.5</v>
      </c>
      <c r="S329" s="3">
        <v>243.7</v>
      </c>
      <c r="T329" s="3">
        <v>184.8</v>
      </c>
      <c r="U329" s="3">
        <v>219.5</v>
      </c>
      <c r="V329" s="3">
        <v>171</v>
      </c>
      <c r="W329" s="3">
        <v>261.5</v>
      </c>
      <c r="X329" s="3">
        <v>210.2</v>
      </c>
      <c r="Y329" s="3">
        <v>295.8</v>
      </c>
      <c r="Z329" s="3">
        <v>242.6</v>
      </c>
      <c r="AA329" s="3">
        <v>240</v>
      </c>
      <c r="AB329" s="3">
        <v>229.3</v>
      </c>
      <c r="AC329" s="3">
        <v>184.5</v>
      </c>
      <c r="AD329" s="3">
        <v>161.1</v>
      </c>
      <c r="AE329" s="3">
        <v>265.10000000000002</v>
      </c>
      <c r="AF329" s="3">
        <v>211.8</v>
      </c>
      <c r="AG329" s="3">
        <v>202.1</v>
      </c>
      <c r="AH329" s="3">
        <v>256.7</v>
      </c>
      <c r="AI329" s="3">
        <v>195.4</v>
      </c>
      <c r="AJ329" s="3">
        <v>309.2</v>
      </c>
      <c r="AK329" s="3">
        <v>368.6</v>
      </c>
      <c r="AL329" s="3">
        <v>300.60000000000002</v>
      </c>
      <c r="AM329" s="3">
        <v>298</v>
      </c>
      <c r="AN329" s="3">
        <v>330</v>
      </c>
      <c r="AO329" s="3">
        <v>169.1</v>
      </c>
      <c r="AP329" s="3">
        <v>249.5</v>
      </c>
      <c r="AQ329" s="3">
        <v>318.3</v>
      </c>
      <c r="AR329" s="3">
        <v>203.2</v>
      </c>
      <c r="AS329" s="3">
        <v>601</v>
      </c>
      <c r="AT329" s="3">
        <v>441.4</v>
      </c>
      <c r="AU329" s="3">
        <v>342.9</v>
      </c>
      <c r="AV329" s="3">
        <v>243</v>
      </c>
      <c r="AW329" s="3">
        <v>305.7</v>
      </c>
      <c r="AX329" s="3">
        <v>324.10000000000002</v>
      </c>
      <c r="AY329" s="3">
        <v>498.2</v>
      </c>
      <c r="AZ329" s="3">
        <v>364.2</v>
      </c>
      <c r="BA329" s="3">
        <v>222.2</v>
      </c>
      <c r="BB329" s="3">
        <v>336</v>
      </c>
      <c r="BC329" s="3">
        <v>321.39999999999998</v>
      </c>
      <c r="BD329" s="3">
        <v>302.60000000000002</v>
      </c>
      <c r="BE329" s="3">
        <v>396.8</v>
      </c>
      <c r="BF329" s="3">
        <v>457.1</v>
      </c>
      <c r="BG329" s="3">
        <v>233</v>
      </c>
      <c r="BH329" s="3">
        <v>218.2</v>
      </c>
      <c r="BI329" s="3">
        <v>74</v>
      </c>
      <c r="BJ329" s="3">
        <v>190.1</v>
      </c>
      <c r="BK329" s="3">
        <v>211.5</v>
      </c>
      <c r="BL329" s="3">
        <v>232.6</v>
      </c>
      <c r="BM329" s="3">
        <v>392.1</v>
      </c>
      <c r="BN329" s="3">
        <v>100.6</v>
      </c>
      <c r="BO329" s="3">
        <v>364.4</v>
      </c>
      <c r="BP329" s="3">
        <v>415.8</v>
      </c>
      <c r="BQ329" s="3">
        <v>137.1</v>
      </c>
      <c r="BR329" s="3">
        <v>95.2</v>
      </c>
      <c r="BS329" s="3">
        <v>128.5</v>
      </c>
      <c r="BT329" s="3">
        <v>195.4</v>
      </c>
      <c r="BU329" s="3">
        <v>132.1</v>
      </c>
      <c r="BV329" s="3">
        <v>184.1</v>
      </c>
      <c r="BW329" s="3">
        <v>225.7</v>
      </c>
      <c r="BX329" s="3">
        <v>470.4</v>
      </c>
      <c r="BY329" s="3">
        <v>97.2</v>
      </c>
      <c r="BZ329" s="3">
        <v>399.1</v>
      </c>
      <c r="CA329" s="3">
        <v>380</v>
      </c>
      <c r="CB329" s="3">
        <v>548.4</v>
      </c>
      <c r="CC329" s="3">
        <v>378.9</v>
      </c>
      <c r="CD329" s="3">
        <v>393</v>
      </c>
      <c r="CE329" s="3">
        <v>308</v>
      </c>
      <c r="CF329" s="3">
        <v>8.4</v>
      </c>
      <c r="CG329" s="3">
        <v>107.9</v>
      </c>
      <c r="CH329" s="3">
        <v>83.7</v>
      </c>
      <c r="CI329" s="3">
        <v>354.6</v>
      </c>
      <c r="CJ329" s="3">
        <v>174.7</v>
      </c>
      <c r="CK329" s="3">
        <v>193.3</v>
      </c>
      <c r="CL329" s="3">
        <v>501.6</v>
      </c>
      <c r="CM329" s="3">
        <v>233.8</v>
      </c>
      <c r="CN329" s="3">
        <v>207.7</v>
      </c>
    </row>
    <row r="330" spans="1:92" x14ac:dyDescent="0.25">
      <c r="A330" s="4">
        <v>41760</v>
      </c>
      <c r="B330" s="3">
        <v>224.9</v>
      </c>
      <c r="C330" s="3">
        <v>210.2</v>
      </c>
      <c r="D330" s="3">
        <v>253.7</v>
      </c>
      <c r="E330" s="3">
        <v>219.3</v>
      </c>
      <c r="F330" s="3">
        <v>288.5</v>
      </c>
      <c r="G330" s="3">
        <v>314</v>
      </c>
      <c r="H330" s="3">
        <v>239.5</v>
      </c>
      <c r="I330" s="3">
        <v>223.2</v>
      </c>
      <c r="J330" s="3">
        <v>144.80000000000001</v>
      </c>
      <c r="K330" s="3">
        <v>193</v>
      </c>
      <c r="L330" s="3">
        <v>258.10000000000002</v>
      </c>
      <c r="M330" s="3">
        <v>264.8</v>
      </c>
      <c r="N330" s="3">
        <v>248.3</v>
      </c>
      <c r="O330" s="3">
        <v>330.7</v>
      </c>
      <c r="P330" s="3">
        <v>195.3</v>
      </c>
      <c r="Q330" s="3">
        <v>251.6</v>
      </c>
      <c r="R330" s="3">
        <v>242.2</v>
      </c>
      <c r="S330" s="3">
        <v>243.6</v>
      </c>
      <c r="T330" s="3">
        <v>188.2</v>
      </c>
      <c r="U330" s="3">
        <v>221.7</v>
      </c>
      <c r="V330" s="3">
        <v>173</v>
      </c>
      <c r="W330" s="3">
        <v>259</v>
      </c>
      <c r="X330" s="3">
        <v>197.3</v>
      </c>
      <c r="Y330" s="3">
        <v>291.39999999999998</v>
      </c>
      <c r="Z330" s="3">
        <v>235.8</v>
      </c>
      <c r="AA330" s="3">
        <v>229.9</v>
      </c>
      <c r="AB330" s="3">
        <v>225</v>
      </c>
      <c r="AC330" s="3">
        <v>180.2</v>
      </c>
      <c r="AD330" s="3">
        <v>158</v>
      </c>
      <c r="AE330" s="3">
        <v>255.5</v>
      </c>
      <c r="AF330" s="3">
        <v>207.4</v>
      </c>
      <c r="AG330" s="3">
        <v>197.4</v>
      </c>
      <c r="AH330" s="3">
        <v>255.7</v>
      </c>
      <c r="AI330" s="3">
        <v>191.7</v>
      </c>
      <c r="AJ330" s="3">
        <v>309.7</v>
      </c>
      <c r="AK330" s="3">
        <v>369.7</v>
      </c>
      <c r="AL330" s="3">
        <v>301.3</v>
      </c>
      <c r="AM330" s="3">
        <v>299.8</v>
      </c>
      <c r="AN330" s="3">
        <v>330.7</v>
      </c>
      <c r="AO330" s="3">
        <v>172.8</v>
      </c>
      <c r="AP330" s="3">
        <v>253.2</v>
      </c>
      <c r="AQ330" s="3">
        <v>319</v>
      </c>
      <c r="AR330" s="3">
        <v>209.4</v>
      </c>
      <c r="AS330" s="3">
        <v>605.4</v>
      </c>
      <c r="AT330" s="3">
        <v>440.8</v>
      </c>
      <c r="AU330" s="3">
        <v>343.1</v>
      </c>
      <c r="AV330" s="3">
        <v>242.5</v>
      </c>
      <c r="AW330" s="3">
        <v>309.39999999999998</v>
      </c>
      <c r="AX330" s="3">
        <v>324.10000000000002</v>
      </c>
      <c r="AY330" s="3">
        <v>498.2</v>
      </c>
      <c r="AZ330" s="3">
        <v>364.2</v>
      </c>
      <c r="BA330" s="3">
        <v>224.5</v>
      </c>
      <c r="BB330" s="3">
        <v>336.5</v>
      </c>
      <c r="BC330" s="3">
        <v>318.7</v>
      </c>
      <c r="BD330" s="3">
        <v>302.60000000000002</v>
      </c>
      <c r="BE330" s="3">
        <v>396.8</v>
      </c>
      <c r="BF330" s="3">
        <v>452.5</v>
      </c>
      <c r="BG330" s="3">
        <v>235.7</v>
      </c>
      <c r="BH330" s="3">
        <v>220.5</v>
      </c>
      <c r="BI330" s="3">
        <v>72.8</v>
      </c>
      <c r="BJ330" s="3">
        <v>190.5</v>
      </c>
      <c r="BK330" s="3">
        <v>212.9</v>
      </c>
      <c r="BL330" s="3">
        <v>233.7</v>
      </c>
      <c r="BM330" s="3">
        <v>392.1</v>
      </c>
      <c r="BN330" s="3">
        <v>100.1</v>
      </c>
      <c r="BO330" s="3">
        <v>364.8</v>
      </c>
      <c r="BP330" s="3">
        <v>417.3</v>
      </c>
      <c r="BQ330" s="3">
        <v>139.1</v>
      </c>
      <c r="BR330" s="3">
        <v>94.8</v>
      </c>
      <c r="BS330" s="3">
        <v>128.1</v>
      </c>
      <c r="BT330" s="3">
        <v>195.5</v>
      </c>
      <c r="BU330" s="3">
        <v>132.4</v>
      </c>
      <c r="BV330" s="3">
        <v>184.9</v>
      </c>
      <c r="BW330" s="3">
        <v>223.9</v>
      </c>
      <c r="BX330" s="3">
        <v>471</v>
      </c>
      <c r="BY330" s="3">
        <v>97</v>
      </c>
      <c r="BZ330" s="3">
        <v>399.8</v>
      </c>
      <c r="CA330" s="3">
        <v>381.5</v>
      </c>
      <c r="CB330" s="3">
        <v>547.20000000000005</v>
      </c>
      <c r="CC330" s="3">
        <v>376</v>
      </c>
      <c r="CD330" s="3">
        <v>376.4</v>
      </c>
      <c r="CE330" s="3">
        <v>301.10000000000002</v>
      </c>
      <c r="CF330" s="3">
        <v>8.4</v>
      </c>
      <c r="CG330" s="3">
        <v>110.4</v>
      </c>
      <c r="CH330" s="3">
        <v>85.6</v>
      </c>
      <c r="CI330" s="3">
        <v>346.1</v>
      </c>
      <c r="CJ330" s="3">
        <v>175</v>
      </c>
      <c r="CK330" s="3">
        <v>193.3</v>
      </c>
      <c r="CL330" s="3">
        <v>501.6</v>
      </c>
      <c r="CM330" s="3">
        <v>234.1</v>
      </c>
      <c r="CN330" s="3">
        <v>209.6</v>
      </c>
    </row>
    <row r="331" spans="1:92" x14ac:dyDescent="0.25">
      <c r="A331" s="4">
        <v>41791</v>
      </c>
      <c r="B331" s="3">
        <v>225.2</v>
      </c>
      <c r="C331" s="3">
        <v>210.2</v>
      </c>
      <c r="D331" s="3">
        <v>255.1</v>
      </c>
      <c r="E331" s="3">
        <v>220.4</v>
      </c>
      <c r="F331" s="3">
        <v>297.7</v>
      </c>
      <c r="G331" s="3">
        <v>327.5</v>
      </c>
      <c r="H331" s="3">
        <v>233</v>
      </c>
      <c r="I331" s="3">
        <v>224.1</v>
      </c>
      <c r="J331" s="3">
        <v>144.1</v>
      </c>
      <c r="K331" s="3">
        <v>193.2</v>
      </c>
      <c r="L331" s="3">
        <v>249.7</v>
      </c>
      <c r="M331" s="3">
        <v>260.2</v>
      </c>
      <c r="N331" s="3">
        <v>236.4</v>
      </c>
      <c r="O331" s="3">
        <v>334.9</v>
      </c>
      <c r="P331" s="3">
        <v>199.2</v>
      </c>
      <c r="Q331" s="3">
        <v>253.9</v>
      </c>
      <c r="R331" s="3">
        <v>243.4</v>
      </c>
      <c r="S331" s="3">
        <v>242.1</v>
      </c>
      <c r="T331" s="3">
        <v>188.1</v>
      </c>
      <c r="U331" s="3">
        <v>218.3</v>
      </c>
      <c r="V331" s="3">
        <v>170.6</v>
      </c>
      <c r="W331" s="3">
        <v>262.39999999999998</v>
      </c>
      <c r="X331" s="3">
        <v>198.8</v>
      </c>
      <c r="Y331" s="3">
        <v>292.39999999999998</v>
      </c>
      <c r="Z331" s="3">
        <v>238.8</v>
      </c>
      <c r="AA331" s="3">
        <v>235.6</v>
      </c>
      <c r="AB331" s="3">
        <v>226.1</v>
      </c>
      <c r="AC331" s="3">
        <v>181.2</v>
      </c>
      <c r="AD331" s="3">
        <v>158.6</v>
      </c>
      <c r="AE331" s="3">
        <v>257.89999999999998</v>
      </c>
      <c r="AF331" s="3">
        <v>203.4</v>
      </c>
      <c r="AG331" s="3">
        <v>192.7</v>
      </c>
      <c r="AH331" s="3">
        <v>257.60000000000002</v>
      </c>
      <c r="AI331" s="3">
        <v>192.6</v>
      </c>
      <c r="AJ331" s="3">
        <v>310.3</v>
      </c>
      <c r="AK331" s="3">
        <v>370.2</v>
      </c>
      <c r="AL331" s="3">
        <v>302.10000000000002</v>
      </c>
      <c r="AM331" s="3">
        <v>300.5</v>
      </c>
      <c r="AN331" s="3">
        <v>331.7</v>
      </c>
      <c r="AO331" s="3">
        <v>172.9</v>
      </c>
      <c r="AP331" s="3">
        <v>252.6</v>
      </c>
      <c r="AQ331" s="3">
        <v>319.5</v>
      </c>
      <c r="AR331" s="3">
        <v>208</v>
      </c>
      <c r="AS331" s="3">
        <v>607.79999999999995</v>
      </c>
      <c r="AT331" s="3">
        <v>439.9</v>
      </c>
      <c r="AU331" s="3">
        <v>343.4</v>
      </c>
      <c r="AV331" s="3">
        <v>242.8</v>
      </c>
      <c r="AW331" s="3">
        <v>312.8</v>
      </c>
      <c r="AX331" s="3">
        <v>324.10000000000002</v>
      </c>
      <c r="AY331" s="3">
        <v>498.2</v>
      </c>
      <c r="AZ331" s="3">
        <v>364.5</v>
      </c>
      <c r="BA331" s="3">
        <v>225.1</v>
      </c>
      <c r="BB331" s="3">
        <v>338.4</v>
      </c>
      <c r="BC331" s="3">
        <v>318.2</v>
      </c>
      <c r="BD331" s="3">
        <v>302.60000000000002</v>
      </c>
      <c r="BE331" s="3">
        <v>396.8</v>
      </c>
      <c r="BF331" s="3">
        <v>449.9</v>
      </c>
      <c r="BG331" s="3">
        <v>239.8</v>
      </c>
      <c r="BH331" s="3">
        <v>220</v>
      </c>
      <c r="BI331" s="3">
        <v>71.400000000000006</v>
      </c>
      <c r="BJ331" s="3">
        <v>192.6</v>
      </c>
      <c r="BK331" s="3">
        <v>211.6</v>
      </c>
      <c r="BL331" s="3">
        <v>233.7</v>
      </c>
      <c r="BM331" s="3">
        <v>392.1</v>
      </c>
      <c r="BN331" s="3">
        <v>100</v>
      </c>
      <c r="BO331" s="3">
        <v>366.2</v>
      </c>
      <c r="BP331" s="3">
        <v>420.8</v>
      </c>
      <c r="BQ331" s="3">
        <v>139.6</v>
      </c>
      <c r="BR331" s="3">
        <v>95.2</v>
      </c>
      <c r="BS331" s="3">
        <v>130.6</v>
      </c>
      <c r="BT331" s="3">
        <v>195.8</v>
      </c>
      <c r="BU331" s="3">
        <v>133.19999999999999</v>
      </c>
      <c r="BV331" s="3">
        <v>185.8</v>
      </c>
      <c r="BW331" s="3">
        <v>222.7</v>
      </c>
      <c r="BX331" s="3">
        <v>471.6</v>
      </c>
      <c r="BY331" s="3">
        <v>96.5</v>
      </c>
      <c r="BZ331" s="3">
        <v>400.7</v>
      </c>
      <c r="CA331" s="3">
        <v>381.7</v>
      </c>
      <c r="CB331" s="3">
        <v>533</v>
      </c>
      <c r="CC331" s="3">
        <v>378.5</v>
      </c>
      <c r="CD331" s="3">
        <v>378.4</v>
      </c>
      <c r="CE331" s="3">
        <v>312.60000000000002</v>
      </c>
      <c r="CF331" s="3">
        <v>8.3000000000000007</v>
      </c>
      <c r="CG331" s="3">
        <v>112</v>
      </c>
      <c r="CH331" s="3">
        <v>85.3</v>
      </c>
      <c r="CI331" s="3">
        <v>350.6</v>
      </c>
      <c r="CJ331" s="3">
        <v>174.3</v>
      </c>
      <c r="CK331" s="3">
        <v>193.3</v>
      </c>
      <c r="CL331" s="3">
        <v>504.4</v>
      </c>
      <c r="CM331" s="3">
        <v>234.4</v>
      </c>
      <c r="CN331" s="3">
        <v>211.5</v>
      </c>
    </row>
    <row r="332" spans="1:92" x14ac:dyDescent="0.25">
      <c r="A332" s="4">
        <v>41821</v>
      </c>
      <c r="B332" s="3">
        <v>224</v>
      </c>
      <c r="C332" s="3">
        <v>210.7</v>
      </c>
      <c r="D332" s="3">
        <v>253</v>
      </c>
      <c r="E332" s="3">
        <v>221</v>
      </c>
      <c r="F332" s="3">
        <v>292.8</v>
      </c>
      <c r="G332" s="3">
        <v>308.8</v>
      </c>
      <c r="H332" s="3">
        <v>239.6</v>
      </c>
      <c r="I332" s="3">
        <v>222.6</v>
      </c>
      <c r="J332" s="3">
        <v>145.6</v>
      </c>
      <c r="K332" s="3">
        <v>191.9</v>
      </c>
      <c r="L332" s="3">
        <v>254.6</v>
      </c>
      <c r="M332" s="3">
        <v>265.3</v>
      </c>
      <c r="N332" s="3">
        <v>241.1</v>
      </c>
      <c r="O332" s="3">
        <v>333.9</v>
      </c>
      <c r="P332" s="3">
        <v>196.3</v>
      </c>
      <c r="Q332" s="3">
        <v>249.3</v>
      </c>
      <c r="R332" s="3">
        <v>249.7</v>
      </c>
      <c r="S332" s="3">
        <v>242.1</v>
      </c>
      <c r="T332" s="3">
        <v>186.5</v>
      </c>
      <c r="U332" s="3">
        <v>225.4</v>
      </c>
      <c r="V332" s="3">
        <v>171.4</v>
      </c>
      <c r="W332" s="3">
        <v>260.39999999999998</v>
      </c>
      <c r="X332" s="3">
        <v>198</v>
      </c>
      <c r="Y332" s="3">
        <v>291.8</v>
      </c>
      <c r="Z332" s="3">
        <v>240.6</v>
      </c>
      <c r="AA332" s="3">
        <v>232.1</v>
      </c>
      <c r="AB332" s="3">
        <v>231.1</v>
      </c>
      <c r="AC332" s="3">
        <v>179.1</v>
      </c>
      <c r="AD332" s="3">
        <v>156.5</v>
      </c>
      <c r="AE332" s="3">
        <v>257.2</v>
      </c>
      <c r="AF332" s="3">
        <v>202.5</v>
      </c>
      <c r="AG332" s="3">
        <v>191.5</v>
      </c>
      <c r="AH332" s="3">
        <v>258.8</v>
      </c>
      <c r="AI332" s="3">
        <v>191.4</v>
      </c>
      <c r="AJ332" s="3">
        <v>311.2</v>
      </c>
      <c r="AK332" s="3">
        <v>370.5</v>
      </c>
      <c r="AL332" s="3">
        <v>303.2</v>
      </c>
      <c r="AM332" s="3">
        <v>298.7</v>
      </c>
      <c r="AN332" s="3">
        <v>331.9</v>
      </c>
      <c r="AO332" s="3">
        <v>167</v>
      </c>
      <c r="AP332" s="3">
        <v>250.5</v>
      </c>
      <c r="AQ332" s="3">
        <v>319.89999999999998</v>
      </c>
      <c r="AR332" s="3">
        <v>203.9</v>
      </c>
      <c r="AS332" s="3">
        <v>611.79999999999995</v>
      </c>
      <c r="AT332" s="3">
        <v>440.2</v>
      </c>
      <c r="AU332" s="3">
        <v>345.5</v>
      </c>
      <c r="AV332" s="3">
        <v>243.6</v>
      </c>
      <c r="AW332" s="3">
        <v>316.5</v>
      </c>
      <c r="AX332" s="3">
        <v>324.10000000000002</v>
      </c>
      <c r="AY332" s="3">
        <v>498.2</v>
      </c>
      <c r="AZ332" s="3">
        <v>364.9</v>
      </c>
      <c r="BA332" s="3">
        <v>224</v>
      </c>
      <c r="BB332" s="3">
        <v>343.3</v>
      </c>
      <c r="BC332" s="3">
        <v>317.89999999999998</v>
      </c>
      <c r="BD332" s="3">
        <v>302.60000000000002</v>
      </c>
      <c r="BE332" s="3">
        <v>396.8</v>
      </c>
      <c r="BF332" s="3">
        <v>446.5</v>
      </c>
      <c r="BG332" s="3">
        <v>229.8</v>
      </c>
      <c r="BH332" s="3">
        <v>216.2</v>
      </c>
      <c r="BI332" s="3">
        <v>71.5</v>
      </c>
      <c r="BJ332" s="3">
        <v>190.7</v>
      </c>
      <c r="BK332" s="3">
        <v>213.4</v>
      </c>
      <c r="BL332" s="3">
        <v>234.3</v>
      </c>
      <c r="BM332" s="3">
        <v>392.1</v>
      </c>
      <c r="BN332" s="3">
        <v>100.1</v>
      </c>
      <c r="BO332" s="3">
        <v>366.7</v>
      </c>
      <c r="BP332" s="3">
        <v>418.6</v>
      </c>
      <c r="BQ332" s="3">
        <v>133.4</v>
      </c>
      <c r="BR332" s="3">
        <v>87.8</v>
      </c>
      <c r="BS332" s="3">
        <v>122.8</v>
      </c>
      <c r="BT332" s="3">
        <v>190.8</v>
      </c>
      <c r="BU332" s="3">
        <v>131.19999999999999</v>
      </c>
      <c r="BV332" s="3">
        <v>183.8</v>
      </c>
      <c r="BW332" s="3">
        <v>222.3</v>
      </c>
      <c r="BX332" s="3">
        <v>473.3</v>
      </c>
      <c r="BY332" s="3">
        <v>96.8</v>
      </c>
      <c r="BZ332" s="3">
        <v>400.7</v>
      </c>
      <c r="CA332" s="3">
        <v>384.6</v>
      </c>
      <c r="CB332" s="3">
        <v>535.1</v>
      </c>
      <c r="CC332" s="3">
        <v>379.4</v>
      </c>
      <c r="CD332" s="3">
        <v>383.2</v>
      </c>
      <c r="CE332" s="3">
        <v>334.7</v>
      </c>
      <c r="CF332" s="3">
        <v>8.1</v>
      </c>
      <c r="CG332" s="3">
        <v>108.1</v>
      </c>
      <c r="CH332" s="3">
        <v>84.8</v>
      </c>
      <c r="CI332" s="3">
        <v>357.1</v>
      </c>
      <c r="CJ332" s="3">
        <v>172</v>
      </c>
      <c r="CK332" s="3">
        <v>195.7</v>
      </c>
      <c r="CL332" s="3">
        <v>502.6</v>
      </c>
      <c r="CM332" s="3">
        <v>235.2</v>
      </c>
      <c r="CN332" s="3">
        <v>212.8</v>
      </c>
    </row>
    <row r="333" spans="1:92" x14ac:dyDescent="0.25">
      <c r="A333" s="4">
        <v>41852</v>
      </c>
      <c r="B333" s="3">
        <v>223.3</v>
      </c>
      <c r="C333" s="3">
        <v>213</v>
      </c>
      <c r="D333" s="3">
        <v>254.9</v>
      </c>
      <c r="E333" s="3">
        <v>217.9</v>
      </c>
      <c r="F333" s="3">
        <v>290.2</v>
      </c>
      <c r="G333" s="3">
        <v>304.5</v>
      </c>
      <c r="H333" s="3">
        <v>240.2</v>
      </c>
      <c r="I333" s="3">
        <v>230.3</v>
      </c>
      <c r="J333" s="3">
        <v>143.30000000000001</v>
      </c>
      <c r="K333" s="3">
        <v>191.2</v>
      </c>
      <c r="L333" s="3">
        <v>254.2</v>
      </c>
      <c r="M333" s="3">
        <v>265.3</v>
      </c>
      <c r="N333" s="3">
        <v>240.3</v>
      </c>
      <c r="O333" s="3">
        <v>333.9</v>
      </c>
      <c r="P333" s="3">
        <v>183.4</v>
      </c>
      <c r="Q333" s="3">
        <v>251.7</v>
      </c>
      <c r="R333" s="3">
        <v>245</v>
      </c>
      <c r="S333" s="3">
        <v>241.2</v>
      </c>
      <c r="T333" s="3">
        <v>183.3</v>
      </c>
      <c r="U333" s="3">
        <v>221.2</v>
      </c>
      <c r="V333" s="3">
        <v>170.1</v>
      </c>
      <c r="W333" s="3">
        <v>258.2</v>
      </c>
      <c r="X333" s="3">
        <v>192.8</v>
      </c>
      <c r="Y333" s="3">
        <v>291.89999999999998</v>
      </c>
      <c r="Z333" s="3">
        <v>239</v>
      </c>
      <c r="AA333" s="3">
        <v>229.3</v>
      </c>
      <c r="AB333" s="3">
        <v>230.5</v>
      </c>
      <c r="AC333" s="3">
        <v>177.2</v>
      </c>
      <c r="AD333" s="3">
        <v>154.1</v>
      </c>
      <c r="AE333" s="3">
        <v>258.10000000000002</v>
      </c>
      <c r="AF333" s="3">
        <v>203.4</v>
      </c>
      <c r="AG333" s="3">
        <v>192.1</v>
      </c>
      <c r="AH333" s="3">
        <v>261.39999999999998</v>
      </c>
      <c r="AI333" s="3">
        <v>193.9</v>
      </c>
      <c r="AJ333" s="3">
        <v>311.10000000000002</v>
      </c>
      <c r="AK333" s="3">
        <v>370.3</v>
      </c>
      <c r="AL333" s="3">
        <v>303.5</v>
      </c>
      <c r="AM333" s="3">
        <v>299.60000000000002</v>
      </c>
      <c r="AN333" s="3">
        <v>332.3</v>
      </c>
      <c r="AO333" s="3">
        <v>168.7</v>
      </c>
      <c r="AP333" s="3">
        <v>253.2</v>
      </c>
      <c r="AQ333" s="3">
        <v>320.2</v>
      </c>
      <c r="AR333" s="3">
        <v>208.5</v>
      </c>
      <c r="AS333" s="3">
        <v>613.20000000000005</v>
      </c>
      <c r="AT333" s="3">
        <v>441.5</v>
      </c>
      <c r="AU333" s="3">
        <v>345.9</v>
      </c>
      <c r="AV333" s="3">
        <v>244</v>
      </c>
      <c r="AW333" s="3">
        <v>321.2</v>
      </c>
      <c r="AX333" s="3">
        <v>324.10000000000002</v>
      </c>
      <c r="AY333" s="3">
        <v>498.2</v>
      </c>
      <c r="AZ333" s="3">
        <v>365</v>
      </c>
      <c r="BA333" s="3">
        <v>224.5</v>
      </c>
      <c r="BB333" s="3">
        <v>343.9</v>
      </c>
      <c r="BC333" s="3">
        <v>317.3</v>
      </c>
      <c r="BD333" s="3">
        <v>302.60000000000002</v>
      </c>
      <c r="BE333" s="3">
        <v>396.8</v>
      </c>
      <c r="BF333" s="3">
        <v>447</v>
      </c>
      <c r="BG333" s="3">
        <v>235.5</v>
      </c>
      <c r="BH333" s="3">
        <v>220.2</v>
      </c>
      <c r="BI333" s="3">
        <v>73</v>
      </c>
      <c r="BJ333" s="3">
        <v>192.7</v>
      </c>
      <c r="BK333" s="3">
        <v>211</v>
      </c>
      <c r="BL333" s="3">
        <v>234.3</v>
      </c>
      <c r="BM333" s="3">
        <v>392.1</v>
      </c>
      <c r="BN333" s="3">
        <v>99.9</v>
      </c>
      <c r="BO333" s="3">
        <v>367.4</v>
      </c>
      <c r="BP333" s="3">
        <v>421.1</v>
      </c>
      <c r="BQ333" s="3">
        <v>135</v>
      </c>
      <c r="BR333" s="3">
        <v>92.6</v>
      </c>
      <c r="BS333" s="3">
        <v>128.1</v>
      </c>
      <c r="BT333" s="3">
        <v>193.3</v>
      </c>
      <c r="BU333" s="3">
        <v>130.6</v>
      </c>
      <c r="BV333" s="3">
        <v>185.6</v>
      </c>
      <c r="BW333" s="3">
        <v>223.1</v>
      </c>
      <c r="BX333" s="3">
        <v>473.3</v>
      </c>
      <c r="BY333" s="3">
        <v>97</v>
      </c>
      <c r="BZ333" s="3">
        <v>402.3</v>
      </c>
      <c r="CA333" s="3">
        <v>379.2</v>
      </c>
      <c r="CB333" s="3">
        <v>534</v>
      </c>
      <c r="CC333" s="3">
        <v>376.8</v>
      </c>
      <c r="CD333" s="3">
        <v>383.1</v>
      </c>
      <c r="CE333" s="3">
        <v>355.3</v>
      </c>
      <c r="CF333" s="3">
        <v>8</v>
      </c>
      <c r="CG333" s="3">
        <v>108.5</v>
      </c>
      <c r="CH333" s="3">
        <v>84.9</v>
      </c>
      <c r="CI333" s="3">
        <v>360</v>
      </c>
      <c r="CJ333" s="3">
        <v>170</v>
      </c>
      <c r="CK333" s="3">
        <v>195.7</v>
      </c>
      <c r="CL333" s="3">
        <v>505.4</v>
      </c>
      <c r="CM333" s="3">
        <v>236.5</v>
      </c>
      <c r="CN333" s="3">
        <v>211.7</v>
      </c>
    </row>
    <row r="334" spans="1:92" x14ac:dyDescent="0.25">
      <c r="A334" s="4">
        <v>41883</v>
      </c>
      <c r="B334" s="3">
        <v>222.8</v>
      </c>
      <c r="C334" s="3">
        <v>207.8</v>
      </c>
      <c r="D334" s="3">
        <v>255.1</v>
      </c>
      <c r="E334" s="3">
        <v>218.8</v>
      </c>
      <c r="F334" s="3">
        <v>303.5</v>
      </c>
      <c r="G334" s="3">
        <v>330.6</v>
      </c>
      <c r="H334" s="3">
        <v>234.5</v>
      </c>
      <c r="I334" s="3">
        <v>230.2</v>
      </c>
      <c r="J334" s="3">
        <v>142.6</v>
      </c>
      <c r="K334" s="3">
        <v>191.4</v>
      </c>
      <c r="L334" s="3">
        <v>246.5</v>
      </c>
      <c r="M334" s="3">
        <v>258.89999999999998</v>
      </c>
      <c r="N334" s="3">
        <v>231.4</v>
      </c>
      <c r="O334" s="3">
        <v>325.2</v>
      </c>
      <c r="P334" s="3">
        <v>185</v>
      </c>
      <c r="Q334" s="3">
        <v>252.3</v>
      </c>
      <c r="R334" s="3">
        <v>250.8</v>
      </c>
      <c r="S334" s="3">
        <v>241.1</v>
      </c>
      <c r="T334" s="3">
        <v>188.8</v>
      </c>
      <c r="U334" s="3">
        <v>217.7</v>
      </c>
      <c r="V334" s="3">
        <v>170.6</v>
      </c>
      <c r="W334" s="3">
        <v>257</v>
      </c>
      <c r="X334" s="3">
        <v>196.9</v>
      </c>
      <c r="Y334" s="3">
        <v>294</v>
      </c>
      <c r="Z334" s="3">
        <v>235.6</v>
      </c>
      <c r="AA334" s="3">
        <v>224.6</v>
      </c>
      <c r="AB334" s="3">
        <v>228</v>
      </c>
      <c r="AC334" s="3">
        <v>178.1</v>
      </c>
      <c r="AD334" s="3">
        <v>155.6</v>
      </c>
      <c r="AE334" s="3">
        <v>255.5</v>
      </c>
      <c r="AF334" s="3">
        <v>203.5</v>
      </c>
      <c r="AG334" s="3">
        <v>192.5</v>
      </c>
      <c r="AH334" s="3">
        <v>259.7</v>
      </c>
      <c r="AI334" s="3">
        <v>190.7</v>
      </c>
      <c r="AJ334" s="3">
        <v>311.10000000000002</v>
      </c>
      <c r="AK334" s="3">
        <v>369</v>
      </c>
      <c r="AL334" s="3">
        <v>304.2</v>
      </c>
      <c r="AM334" s="3">
        <v>300.39999999999998</v>
      </c>
      <c r="AN334" s="3">
        <v>332.5</v>
      </c>
      <c r="AO334" s="3">
        <v>170.9</v>
      </c>
      <c r="AP334" s="3">
        <v>253.3</v>
      </c>
      <c r="AQ334" s="3">
        <v>320.60000000000002</v>
      </c>
      <c r="AR334" s="3">
        <v>208.3</v>
      </c>
      <c r="AS334" s="3">
        <v>619.29999999999995</v>
      </c>
      <c r="AT334" s="3">
        <v>446.8</v>
      </c>
      <c r="AU334" s="3">
        <v>346.2</v>
      </c>
      <c r="AV334" s="3">
        <v>244.7</v>
      </c>
      <c r="AW334" s="3">
        <v>326</v>
      </c>
      <c r="AX334" s="3">
        <v>324.10000000000002</v>
      </c>
      <c r="AY334" s="3">
        <v>498.2</v>
      </c>
      <c r="AZ334" s="3">
        <v>365</v>
      </c>
      <c r="BA334" s="3">
        <v>224.6</v>
      </c>
      <c r="BB334" s="3">
        <v>347.5</v>
      </c>
      <c r="BC334" s="3">
        <v>318.7</v>
      </c>
      <c r="BD334" s="3">
        <v>302.60000000000002</v>
      </c>
      <c r="BE334" s="3">
        <v>396.8</v>
      </c>
      <c r="BF334" s="3">
        <v>441.4</v>
      </c>
      <c r="BG334" s="3">
        <v>237.9</v>
      </c>
      <c r="BH334" s="3">
        <v>221.8</v>
      </c>
      <c r="BI334" s="3">
        <v>73.3</v>
      </c>
      <c r="BJ334" s="3">
        <v>192.8</v>
      </c>
      <c r="BK334" s="3">
        <v>213</v>
      </c>
      <c r="BL334" s="3">
        <v>234.3</v>
      </c>
      <c r="BM334" s="3">
        <v>392.1</v>
      </c>
      <c r="BN334" s="3">
        <v>100</v>
      </c>
      <c r="BO334" s="3">
        <v>368.7</v>
      </c>
      <c r="BP334" s="3">
        <v>421.9</v>
      </c>
      <c r="BQ334" s="3">
        <v>142.9</v>
      </c>
      <c r="BR334" s="3">
        <v>97.2</v>
      </c>
      <c r="BS334" s="3">
        <v>132.30000000000001</v>
      </c>
      <c r="BT334" s="3">
        <v>198.3</v>
      </c>
      <c r="BU334" s="3">
        <v>133.19999999999999</v>
      </c>
      <c r="BV334" s="3">
        <v>185.9</v>
      </c>
      <c r="BW334" s="3">
        <v>223.9</v>
      </c>
      <c r="BX334" s="3">
        <v>473.7</v>
      </c>
      <c r="BY334" s="3">
        <v>96.3</v>
      </c>
      <c r="BZ334" s="3">
        <v>401.4</v>
      </c>
      <c r="CA334" s="3">
        <v>376.3</v>
      </c>
      <c r="CB334" s="3">
        <v>543.6</v>
      </c>
      <c r="CC334" s="3">
        <v>377.1</v>
      </c>
      <c r="CD334" s="3">
        <v>380.2</v>
      </c>
      <c r="CE334" s="3">
        <v>313.3</v>
      </c>
      <c r="CF334" s="3">
        <v>7.8</v>
      </c>
      <c r="CG334" s="3">
        <v>110.1</v>
      </c>
      <c r="CH334" s="3">
        <v>84.4</v>
      </c>
      <c r="CI334" s="3">
        <v>356.6</v>
      </c>
      <c r="CJ334" s="3">
        <v>170.9</v>
      </c>
      <c r="CK334" s="3">
        <v>195.7</v>
      </c>
      <c r="CL334" s="3">
        <v>513.1</v>
      </c>
      <c r="CM334" s="3">
        <v>236.8</v>
      </c>
      <c r="CN334" s="3">
        <v>213.2</v>
      </c>
    </row>
    <row r="335" spans="1:92" x14ac:dyDescent="0.25">
      <c r="A335" s="4">
        <v>41913</v>
      </c>
      <c r="B335" s="3">
        <v>223.9</v>
      </c>
      <c r="C335" s="3">
        <v>209.7</v>
      </c>
      <c r="D335" s="3">
        <v>258.10000000000002</v>
      </c>
      <c r="E335" s="3">
        <v>217.6</v>
      </c>
      <c r="F335" s="3">
        <v>291.2</v>
      </c>
      <c r="G335" s="3">
        <v>307.3</v>
      </c>
      <c r="H335" s="3">
        <v>237.1</v>
      </c>
      <c r="I335" s="3">
        <v>229</v>
      </c>
      <c r="J335" s="3">
        <v>145.1</v>
      </c>
      <c r="K335" s="3">
        <v>188.6</v>
      </c>
      <c r="L335" s="3">
        <v>258</v>
      </c>
      <c r="M335" s="3">
        <v>273</v>
      </c>
      <c r="N335" s="3">
        <v>240.3</v>
      </c>
      <c r="O335" s="3">
        <v>331.6</v>
      </c>
      <c r="P335" s="3">
        <v>189.6</v>
      </c>
      <c r="Q335" s="3">
        <v>245.5</v>
      </c>
      <c r="R335" s="3">
        <v>250.1</v>
      </c>
      <c r="S335" s="3">
        <v>242.3</v>
      </c>
      <c r="T335" s="3">
        <v>191.3</v>
      </c>
      <c r="U335" s="3">
        <v>217.1</v>
      </c>
      <c r="V335" s="3">
        <v>168.3</v>
      </c>
      <c r="W335" s="3">
        <v>259.2</v>
      </c>
      <c r="X335" s="3">
        <v>194.7</v>
      </c>
      <c r="Y335" s="3">
        <v>288.60000000000002</v>
      </c>
      <c r="Z335" s="3">
        <v>234.1</v>
      </c>
      <c r="AA335" s="3">
        <v>225.5</v>
      </c>
      <c r="AB335" s="3">
        <v>225.1</v>
      </c>
      <c r="AC335" s="3">
        <v>175.8</v>
      </c>
      <c r="AD335" s="3">
        <v>154.4</v>
      </c>
      <c r="AE335" s="3">
        <v>247.4</v>
      </c>
      <c r="AF335" s="3">
        <v>212.7</v>
      </c>
      <c r="AG335" s="3">
        <v>202.5</v>
      </c>
      <c r="AH335" s="3">
        <v>261.60000000000002</v>
      </c>
      <c r="AI335" s="3">
        <v>189.5</v>
      </c>
      <c r="AJ335" s="3">
        <v>312.39999999999998</v>
      </c>
      <c r="AK335" s="3">
        <v>369.3</v>
      </c>
      <c r="AL335" s="3">
        <v>305</v>
      </c>
      <c r="AM335" s="3">
        <v>300.89999999999998</v>
      </c>
      <c r="AN335" s="3">
        <v>334.2</v>
      </c>
      <c r="AO335" s="3">
        <v>168.7</v>
      </c>
      <c r="AP335" s="3">
        <v>254.8</v>
      </c>
      <c r="AQ335" s="3">
        <v>322.8</v>
      </c>
      <c r="AR335" s="3">
        <v>209.4</v>
      </c>
      <c r="AS335" s="3">
        <v>626</v>
      </c>
      <c r="AT335" s="3">
        <v>451.9</v>
      </c>
      <c r="AU335" s="3">
        <v>347.2</v>
      </c>
      <c r="AV335" s="3">
        <v>243.9</v>
      </c>
      <c r="AW335" s="3">
        <v>327.5</v>
      </c>
      <c r="AX335" s="3">
        <v>324.10000000000002</v>
      </c>
      <c r="AY335" s="3">
        <v>498.2</v>
      </c>
      <c r="AZ335" s="3">
        <v>364.5</v>
      </c>
      <c r="BA335" s="3">
        <v>223.7</v>
      </c>
      <c r="BB335" s="3">
        <v>344.7</v>
      </c>
      <c r="BC335" s="3">
        <v>325.10000000000002</v>
      </c>
      <c r="BD335" s="3">
        <v>302.60000000000002</v>
      </c>
      <c r="BE335" s="3">
        <v>396.8</v>
      </c>
      <c r="BF335" s="3">
        <v>423</v>
      </c>
      <c r="BG335" s="3">
        <v>229.4</v>
      </c>
      <c r="BH335" s="3">
        <v>219.2</v>
      </c>
      <c r="BI335" s="3">
        <v>74.3</v>
      </c>
      <c r="BJ335" s="3">
        <v>191</v>
      </c>
      <c r="BK335" s="3">
        <v>211.9</v>
      </c>
      <c r="BL335" s="3">
        <v>233.9</v>
      </c>
      <c r="BM335" s="3">
        <v>392.1</v>
      </c>
      <c r="BN335" s="3">
        <v>99.9</v>
      </c>
      <c r="BO335" s="3">
        <v>370.4</v>
      </c>
      <c r="BP335" s="3">
        <v>442.2</v>
      </c>
      <c r="BQ335" s="3">
        <v>143.4</v>
      </c>
      <c r="BR335" s="3">
        <v>98.6</v>
      </c>
      <c r="BS335" s="3">
        <v>135.1</v>
      </c>
      <c r="BT335" s="3">
        <v>199.3</v>
      </c>
      <c r="BU335" s="3">
        <v>133.69999999999999</v>
      </c>
      <c r="BV335" s="3">
        <v>184.7</v>
      </c>
      <c r="BW335" s="3">
        <v>223.3</v>
      </c>
      <c r="BX335" s="3">
        <v>469.7</v>
      </c>
      <c r="BY335" s="3">
        <v>95.5</v>
      </c>
      <c r="BZ335" s="3">
        <v>402.6</v>
      </c>
      <c r="CA335" s="3">
        <v>370.9</v>
      </c>
      <c r="CB335" s="3">
        <v>542.79999999999995</v>
      </c>
      <c r="CC335" s="3">
        <v>377.5</v>
      </c>
      <c r="CD335" s="3">
        <v>378.1</v>
      </c>
      <c r="CE335" s="3">
        <v>303.60000000000002</v>
      </c>
      <c r="CF335" s="3">
        <v>7.8</v>
      </c>
      <c r="CG335" s="3">
        <v>113.2</v>
      </c>
      <c r="CH335" s="3">
        <v>85.3</v>
      </c>
      <c r="CI335" s="3">
        <v>356.4</v>
      </c>
      <c r="CJ335" s="3">
        <v>170.3</v>
      </c>
      <c r="CK335" s="3">
        <v>197.1</v>
      </c>
      <c r="CL335" s="3">
        <v>512.9</v>
      </c>
      <c r="CM335" s="3">
        <v>236.9</v>
      </c>
      <c r="CN335" s="3">
        <v>213.1</v>
      </c>
    </row>
    <row r="336" spans="1:92" x14ac:dyDescent="0.25">
      <c r="A336" s="4">
        <v>41944</v>
      </c>
      <c r="B336" s="3">
        <v>218.3</v>
      </c>
      <c r="C336" s="3">
        <v>211.8</v>
      </c>
      <c r="D336" s="3">
        <v>251.5</v>
      </c>
      <c r="E336" s="3">
        <v>218.8</v>
      </c>
      <c r="F336" s="3">
        <v>284.89999999999998</v>
      </c>
      <c r="G336" s="3">
        <v>302.3</v>
      </c>
      <c r="H336" s="3">
        <v>235.3</v>
      </c>
      <c r="I336" s="3">
        <v>227.7</v>
      </c>
      <c r="J336" s="3">
        <v>141.4</v>
      </c>
      <c r="K336" s="3">
        <v>188.5</v>
      </c>
      <c r="L336" s="3">
        <v>252.4</v>
      </c>
      <c r="M336" s="3">
        <v>267.8</v>
      </c>
      <c r="N336" s="3">
        <v>234.4</v>
      </c>
      <c r="O336" s="3">
        <v>323.60000000000002</v>
      </c>
      <c r="P336" s="3">
        <v>190.3</v>
      </c>
      <c r="Q336" s="3">
        <v>253.6</v>
      </c>
      <c r="R336" s="3">
        <v>247</v>
      </c>
      <c r="S336" s="3">
        <v>240.3</v>
      </c>
      <c r="T336" s="3">
        <v>191.9</v>
      </c>
      <c r="U336" s="3">
        <v>214.1</v>
      </c>
      <c r="V336" s="3">
        <v>168.9</v>
      </c>
      <c r="W336" s="3">
        <v>256.5</v>
      </c>
      <c r="X336" s="3">
        <v>188.4</v>
      </c>
      <c r="Y336" s="3">
        <v>289.39999999999998</v>
      </c>
      <c r="Z336" s="3">
        <v>230.6</v>
      </c>
      <c r="AA336" s="3">
        <v>222.2</v>
      </c>
      <c r="AB336" s="3">
        <v>221.6</v>
      </c>
      <c r="AC336" s="3">
        <v>176.5</v>
      </c>
      <c r="AD336" s="3">
        <v>153</v>
      </c>
      <c r="AE336" s="3">
        <v>259.7</v>
      </c>
      <c r="AF336" s="3">
        <v>216.6</v>
      </c>
      <c r="AG336" s="3">
        <v>206.5</v>
      </c>
      <c r="AH336" s="3">
        <v>264.2</v>
      </c>
      <c r="AI336" s="3">
        <v>185.9</v>
      </c>
      <c r="AJ336" s="3">
        <v>313</v>
      </c>
      <c r="AK336" s="3">
        <v>368.5</v>
      </c>
      <c r="AL336" s="3">
        <v>305.5</v>
      </c>
      <c r="AM336" s="3">
        <v>300.89999999999998</v>
      </c>
      <c r="AN336" s="3">
        <v>334.7</v>
      </c>
      <c r="AO336" s="3">
        <v>167.5</v>
      </c>
      <c r="AP336" s="3">
        <v>250</v>
      </c>
      <c r="AQ336" s="3">
        <v>323.5</v>
      </c>
      <c r="AR336" s="3">
        <v>200</v>
      </c>
      <c r="AS336" s="3">
        <v>628.79999999999995</v>
      </c>
      <c r="AT336" s="3">
        <v>451.9</v>
      </c>
      <c r="AU336" s="3">
        <v>347.6</v>
      </c>
      <c r="AV336" s="3">
        <v>243.8</v>
      </c>
      <c r="AW336" s="3">
        <v>327.9</v>
      </c>
      <c r="AX336" s="3">
        <v>324.10000000000002</v>
      </c>
      <c r="AY336" s="3">
        <v>498.2</v>
      </c>
      <c r="AZ336" s="3">
        <v>364.6</v>
      </c>
      <c r="BA336" s="3">
        <v>224.5</v>
      </c>
      <c r="BB336" s="3">
        <v>351.2</v>
      </c>
      <c r="BC336" s="3">
        <v>325.10000000000002</v>
      </c>
      <c r="BD336" s="3">
        <v>302.60000000000002</v>
      </c>
      <c r="BE336" s="3">
        <v>396.8</v>
      </c>
      <c r="BF336" s="3">
        <v>418.6</v>
      </c>
      <c r="BG336" s="3">
        <v>231</v>
      </c>
      <c r="BH336" s="3">
        <v>221.5</v>
      </c>
      <c r="BI336" s="3">
        <v>73.3</v>
      </c>
      <c r="BJ336" s="3">
        <v>189.9</v>
      </c>
      <c r="BK336" s="3">
        <v>212.1</v>
      </c>
      <c r="BL336" s="3">
        <v>234.9</v>
      </c>
      <c r="BM336" s="3">
        <v>390.6</v>
      </c>
      <c r="BN336" s="3">
        <v>99.7</v>
      </c>
      <c r="BO336" s="3">
        <v>371.1</v>
      </c>
      <c r="BP336" s="3">
        <v>440.6</v>
      </c>
      <c r="BQ336" s="3">
        <v>145</v>
      </c>
      <c r="BR336" s="3">
        <v>99.5</v>
      </c>
      <c r="BS336" s="3">
        <v>137.19999999999999</v>
      </c>
      <c r="BT336" s="3">
        <v>200</v>
      </c>
      <c r="BU336" s="3">
        <v>133.80000000000001</v>
      </c>
      <c r="BV336" s="3">
        <v>184.8</v>
      </c>
      <c r="BW336" s="3">
        <v>223.1</v>
      </c>
      <c r="BX336" s="3">
        <v>470.4</v>
      </c>
      <c r="BY336" s="3">
        <v>95</v>
      </c>
      <c r="BZ336" s="3">
        <v>402.9</v>
      </c>
      <c r="CA336" s="3">
        <v>360.8</v>
      </c>
      <c r="CB336" s="3">
        <v>544.5</v>
      </c>
      <c r="CC336" s="3">
        <v>380.1</v>
      </c>
      <c r="CD336" s="3">
        <v>377.9</v>
      </c>
      <c r="CE336" s="3">
        <v>287.3</v>
      </c>
      <c r="CF336" s="3">
        <v>7.6</v>
      </c>
      <c r="CG336" s="3">
        <v>110.3</v>
      </c>
      <c r="CH336" s="3">
        <v>86</v>
      </c>
      <c r="CI336" s="3">
        <v>353.3</v>
      </c>
      <c r="CJ336" s="3">
        <v>173.2</v>
      </c>
      <c r="CK336" s="3">
        <v>197.1</v>
      </c>
      <c r="CL336" s="3">
        <v>514.4</v>
      </c>
      <c r="CM336" s="3">
        <v>236.7</v>
      </c>
      <c r="CN336" s="3">
        <v>212.6</v>
      </c>
    </row>
    <row r="337" spans="1:92" x14ac:dyDescent="0.25">
      <c r="A337" s="4">
        <v>41974</v>
      </c>
      <c r="B337" s="3">
        <v>219.8</v>
      </c>
      <c r="C337" s="3">
        <v>210.5</v>
      </c>
      <c r="D337" s="3">
        <v>255.5</v>
      </c>
      <c r="E337" s="3">
        <v>218.5</v>
      </c>
      <c r="F337" s="3">
        <v>287.89999999999998</v>
      </c>
      <c r="G337" s="3">
        <v>287</v>
      </c>
      <c r="H337" s="3">
        <v>236.6</v>
      </c>
      <c r="I337" s="3">
        <v>228.3</v>
      </c>
      <c r="J337" s="3">
        <v>144.30000000000001</v>
      </c>
      <c r="K337" s="3">
        <v>188.2</v>
      </c>
      <c r="L337" s="3">
        <v>255.4</v>
      </c>
      <c r="M337" s="3">
        <v>272.10000000000002</v>
      </c>
      <c r="N337" s="3">
        <v>236</v>
      </c>
      <c r="O337" s="3">
        <v>333.8</v>
      </c>
      <c r="P337" s="3">
        <v>188.7</v>
      </c>
      <c r="Q337" s="3">
        <v>251.4</v>
      </c>
      <c r="R337" s="3">
        <v>246.7</v>
      </c>
      <c r="S337" s="3">
        <v>240.9</v>
      </c>
      <c r="T337" s="3">
        <v>191.6</v>
      </c>
      <c r="U337" s="3">
        <v>214.4</v>
      </c>
      <c r="V337" s="3">
        <v>168.9</v>
      </c>
      <c r="W337" s="3">
        <v>252.4</v>
      </c>
      <c r="X337" s="3">
        <v>193.1</v>
      </c>
      <c r="Y337" s="3">
        <v>289.3</v>
      </c>
      <c r="Z337" s="3">
        <v>233.8</v>
      </c>
      <c r="AA337" s="3">
        <v>221.7</v>
      </c>
      <c r="AB337" s="3">
        <v>226.9</v>
      </c>
      <c r="AC337" s="3">
        <v>177.1</v>
      </c>
      <c r="AD337" s="3">
        <v>154.19999999999999</v>
      </c>
      <c r="AE337" s="3">
        <v>256.8</v>
      </c>
      <c r="AF337" s="3">
        <v>218.7</v>
      </c>
      <c r="AG337" s="3">
        <v>209.8</v>
      </c>
      <c r="AH337" s="3">
        <v>257.39999999999998</v>
      </c>
      <c r="AI337" s="3">
        <v>189.8</v>
      </c>
      <c r="AJ337" s="3">
        <v>313.2</v>
      </c>
      <c r="AK337" s="3">
        <v>368.4</v>
      </c>
      <c r="AL337" s="3">
        <v>306.10000000000002</v>
      </c>
      <c r="AM337" s="3">
        <v>299.8</v>
      </c>
      <c r="AN337" s="3">
        <v>334.9</v>
      </c>
      <c r="AO337" s="3">
        <v>163.9</v>
      </c>
      <c r="AP337" s="3">
        <v>249.7</v>
      </c>
      <c r="AQ337" s="3">
        <v>323.3</v>
      </c>
      <c r="AR337" s="3">
        <v>199.6</v>
      </c>
      <c r="AS337" s="3">
        <v>630</v>
      </c>
      <c r="AT337" s="3">
        <v>451.6</v>
      </c>
      <c r="AU337" s="3">
        <v>348.1</v>
      </c>
      <c r="AV337" s="3">
        <v>244.1</v>
      </c>
      <c r="AW337" s="3">
        <v>328</v>
      </c>
      <c r="AX337" s="3">
        <v>324.10000000000002</v>
      </c>
      <c r="AY337" s="3">
        <v>498.2</v>
      </c>
      <c r="AZ337" s="3">
        <v>365.2</v>
      </c>
      <c r="BA337" s="3">
        <v>225.7</v>
      </c>
      <c r="BB337" s="3">
        <v>346.9</v>
      </c>
      <c r="BC337" s="3">
        <v>325.10000000000002</v>
      </c>
      <c r="BD337" s="3">
        <v>302.60000000000002</v>
      </c>
      <c r="BE337" s="3">
        <v>396.8</v>
      </c>
      <c r="BF337" s="3">
        <v>390</v>
      </c>
      <c r="BG337" s="3">
        <v>243.5</v>
      </c>
      <c r="BH337" s="3">
        <v>225.1</v>
      </c>
      <c r="BI337" s="3">
        <v>72.5</v>
      </c>
      <c r="BJ337" s="3">
        <v>192.8</v>
      </c>
      <c r="BK337" s="3">
        <v>211.4</v>
      </c>
      <c r="BL337" s="3">
        <v>234.3</v>
      </c>
      <c r="BM337" s="3">
        <v>390.6</v>
      </c>
      <c r="BN337" s="3">
        <v>100.3</v>
      </c>
      <c r="BO337" s="3">
        <v>371.7</v>
      </c>
      <c r="BP337" s="3">
        <v>438.4</v>
      </c>
      <c r="BQ337" s="3">
        <v>144.19999999999999</v>
      </c>
      <c r="BR337" s="3">
        <v>97.9</v>
      </c>
      <c r="BS337" s="3">
        <v>135.80000000000001</v>
      </c>
      <c r="BT337" s="3">
        <v>198.8</v>
      </c>
      <c r="BU337" s="3">
        <v>133</v>
      </c>
      <c r="BV337" s="3">
        <v>186</v>
      </c>
      <c r="BW337" s="3">
        <v>223.8</v>
      </c>
      <c r="BX337" s="3">
        <v>469.5</v>
      </c>
      <c r="BY337" s="3">
        <v>94.9</v>
      </c>
      <c r="BZ337" s="3">
        <v>403.1</v>
      </c>
      <c r="CA337" s="3">
        <v>352.1</v>
      </c>
      <c r="CB337" s="3">
        <v>550.70000000000005</v>
      </c>
      <c r="CC337" s="3">
        <v>378</v>
      </c>
      <c r="CD337" s="3">
        <v>382.6</v>
      </c>
      <c r="CE337" s="3">
        <v>310.2</v>
      </c>
      <c r="CF337" s="3">
        <v>7.6</v>
      </c>
      <c r="CG337" s="3">
        <v>111.8</v>
      </c>
      <c r="CH337" s="3">
        <v>84.8</v>
      </c>
      <c r="CI337" s="3">
        <v>354.6</v>
      </c>
      <c r="CJ337" s="3">
        <v>174.6</v>
      </c>
      <c r="CK337" s="3">
        <v>197.1</v>
      </c>
      <c r="CL337" s="3">
        <v>515</v>
      </c>
      <c r="CM337" s="3">
        <v>236.7</v>
      </c>
      <c r="CN337" s="3">
        <v>212.9</v>
      </c>
    </row>
    <row r="338" spans="1:92" x14ac:dyDescent="0.25">
      <c r="A338" s="4">
        <v>42005</v>
      </c>
      <c r="B338" s="3">
        <v>215.9</v>
      </c>
      <c r="C338" s="3">
        <v>205.2</v>
      </c>
      <c r="D338" s="3">
        <v>253.9</v>
      </c>
      <c r="E338" s="3">
        <v>221.7</v>
      </c>
      <c r="F338" s="3">
        <v>294.39999999999998</v>
      </c>
      <c r="G338" s="3">
        <v>310.8</v>
      </c>
      <c r="H338" s="3">
        <v>229.7</v>
      </c>
      <c r="I338" s="3">
        <v>221.4</v>
      </c>
      <c r="J338" s="3">
        <v>139.9</v>
      </c>
      <c r="K338" s="3">
        <v>189.6</v>
      </c>
      <c r="L338" s="3">
        <v>254.2</v>
      </c>
      <c r="M338" s="3">
        <v>265</v>
      </c>
      <c r="N338" s="3">
        <v>240.6</v>
      </c>
      <c r="O338" s="3">
        <v>321.5</v>
      </c>
      <c r="P338" s="3">
        <v>188.4</v>
      </c>
      <c r="Q338" s="3">
        <v>252</v>
      </c>
      <c r="R338" s="3">
        <v>240</v>
      </c>
      <c r="S338" s="3">
        <v>231.9</v>
      </c>
      <c r="T338" s="3">
        <v>190</v>
      </c>
      <c r="U338" s="3">
        <v>214.3</v>
      </c>
      <c r="V338" s="3">
        <v>169.5</v>
      </c>
      <c r="W338" s="3">
        <v>257.89999999999998</v>
      </c>
      <c r="X338" s="3">
        <v>192.7</v>
      </c>
      <c r="Y338" s="3">
        <v>293.2</v>
      </c>
      <c r="Z338" s="3">
        <v>234.7</v>
      </c>
      <c r="AA338" s="3">
        <v>222.7</v>
      </c>
      <c r="AB338" s="3">
        <v>227.8</v>
      </c>
      <c r="AC338" s="3">
        <v>176.6</v>
      </c>
      <c r="AD338" s="3">
        <v>154.69999999999999</v>
      </c>
      <c r="AE338" s="3">
        <v>251.2</v>
      </c>
      <c r="AF338" s="3">
        <v>212.8</v>
      </c>
      <c r="AG338" s="3">
        <v>202.1</v>
      </c>
      <c r="AH338" s="3">
        <v>265.39999999999998</v>
      </c>
      <c r="AI338" s="3">
        <v>187.4</v>
      </c>
      <c r="AJ338" s="3">
        <v>313.10000000000002</v>
      </c>
      <c r="AK338" s="3">
        <v>367.9</v>
      </c>
      <c r="AL338" s="3">
        <v>305.8</v>
      </c>
      <c r="AM338" s="3">
        <v>299.5</v>
      </c>
      <c r="AN338" s="3">
        <v>334.6</v>
      </c>
      <c r="AO338" s="3">
        <v>163.69999999999999</v>
      </c>
      <c r="AP338" s="3">
        <v>255.5</v>
      </c>
      <c r="AQ338" s="3">
        <v>323.8</v>
      </c>
      <c r="AR338" s="3">
        <v>209.8</v>
      </c>
      <c r="AS338" s="3">
        <v>629.5</v>
      </c>
      <c r="AT338" s="3">
        <v>451.5</v>
      </c>
      <c r="AU338" s="3">
        <v>348.6</v>
      </c>
      <c r="AV338" s="3">
        <v>244.5</v>
      </c>
      <c r="AW338" s="3">
        <v>328.7</v>
      </c>
      <c r="AX338" s="3">
        <v>324.10000000000002</v>
      </c>
      <c r="AY338" s="3">
        <v>498.2</v>
      </c>
      <c r="AZ338" s="3">
        <v>365.3</v>
      </c>
      <c r="BA338" s="3">
        <v>222.6</v>
      </c>
      <c r="BB338" s="3">
        <v>345.2</v>
      </c>
      <c r="BC338" s="3">
        <v>324.39999999999998</v>
      </c>
      <c r="BD338" s="3">
        <v>302.60000000000002</v>
      </c>
      <c r="BE338" s="3">
        <v>394.9</v>
      </c>
      <c r="BF338" s="3">
        <v>348.5</v>
      </c>
      <c r="BG338" s="3">
        <v>228.3</v>
      </c>
      <c r="BH338" s="3">
        <v>218.3</v>
      </c>
      <c r="BI338" s="3">
        <v>72.2</v>
      </c>
      <c r="BJ338" s="3">
        <v>190.3</v>
      </c>
      <c r="BK338" s="3">
        <v>212.5</v>
      </c>
      <c r="BL338" s="3">
        <v>232.8</v>
      </c>
      <c r="BM338" s="3">
        <v>390.6</v>
      </c>
      <c r="BN338" s="3">
        <v>100.2</v>
      </c>
      <c r="BO338" s="3">
        <v>373</v>
      </c>
      <c r="BP338" s="3">
        <v>435.8</v>
      </c>
      <c r="BQ338" s="3">
        <v>139.30000000000001</v>
      </c>
      <c r="BR338" s="3">
        <v>93.7</v>
      </c>
      <c r="BS338" s="3">
        <v>131.9</v>
      </c>
      <c r="BT338" s="3">
        <v>196.7</v>
      </c>
      <c r="BU338" s="3">
        <v>130.30000000000001</v>
      </c>
      <c r="BV338" s="3">
        <v>182.4</v>
      </c>
      <c r="BW338" s="3">
        <v>223.7</v>
      </c>
      <c r="BX338" s="3">
        <v>474</v>
      </c>
      <c r="BY338" s="3">
        <v>95.4</v>
      </c>
      <c r="BZ338" s="3">
        <v>405.1</v>
      </c>
      <c r="CA338" s="3">
        <v>322.8</v>
      </c>
      <c r="CB338" s="3">
        <v>545.20000000000005</v>
      </c>
      <c r="CC338" s="3">
        <v>381.7</v>
      </c>
      <c r="CD338" s="3">
        <v>377.9</v>
      </c>
      <c r="CE338" s="3">
        <v>286.8</v>
      </c>
      <c r="CF338" s="3">
        <v>7.5</v>
      </c>
      <c r="CG338" s="3">
        <v>102.6</v>
      </c>
      <c r="CH338" s="3">
        <v>84.6</v>
      </c>
      <c r="CI338" s="3">
        <v>354.4</v>
      </c>
      <c r="CJ338" s="3">
        <v>172.9</v>
      </c>
      <c r="CK338" s="3">
        <v>197.1</v>
      </c>
      <c r="CL338" s="3">
        <v>505.1</v>
      </c>
      <c r="CM338" s="3">
        <v>237.1</v>
      </c>
      <c r="CN338" s="3">
        <v>212.8</v>
      </c>
    </row>
    <row r="339" spans="1:92" x14ac:dyDescent="0.25">
      <c r="A339" s="4">
        <v>42036</v>
      </c>
      <c r="B339" s="3">
        <v>215.5</v>
      </c>
      <c r="C339" s="3">
        <v>205.4</v>
      </c>
      <c r="D339" s="3">
        <v>254.6</v>
      </c>
      <c r="E339" s="3">
        <v>222.7</v>
      </c>
      <c r="F339" s="3">
        <v>295.89999999999998</v>
      </c>
      <c r="G339" s="3">
        <v>313.7</v>
      </c>
      <c r="H339" s="3">
        <v>233</v>
      </c>
      <c r="I339" s="3">
        <v>223.1</v>
      </c>
      <c r="J339" s="3">
        <v>139</v>
      </c>
      <c r="K339" s="3">
        <v>189.3</v>
      </c>
      <c r="L339" s="3">
        <v>254.4</v>
      </c>
      <c r="M339" s="3">
        <v>271.8</v>
      </c>
      <c r="N339" s="3">
        <v>234.7</v>
      </c>
      <c r="O339" s="3">
        <v>326.8</v>
      </c>
      <c r="P339" s="3">
        <v>187.8</v>
      </c>
      <c r="Q339" s="3">
        <v>242.6</v>
      </c>
      <c r="R339" s="3">
        <v>234.8</v>
      </c>
      <c r="S339" s="3">
        <v>228.8</v>
      </c>
      <c r="T339" s="3">
        <v>188.2</v>
      </c>
      <c r="U339" s="3">
        <v>216.4</v>
      </c>
      <c r="V339" s="3">
        <v>171.6</v>
      </c>
      <c r="W339" s="3">
        <v>258.39999999999998</v>
      </c>
      <c r="X339" s="3">
        <v>190.4</v>
      </c>
      <c r="Y339" s="3">
        <v>289.7</v>
      </c>
      <c r="Z339" s="3">
        <v>227.6</v>
      </c>
      <c r="AA339" s="3">
        <v>223.9</v>
      </c>
      <c r="AB339" s="3">
        <v>215.5</v>
      </c>
      <c r="AC339" s="3">
        <v>180.2</v>
      </c>
      <c r="AD339" s="3">
        <v>158.6</v>
      </c>
      <c r="AE339" s="3">
        <v>252.6</v>
      </c>
      <c r="AF339" s="3">
        <v>211.5</v>
      </c>
      <c r="AG339" s="3">
        <v>200.3</v>
      </c>
      <c r="AH339" s="3">
        <v>266.2</v>
      </c>
      <c r="AI339" s="3">
        <v>191.6</v>
      </c>
      <c r="AJ339" s="3">
        <v>313.60000000000002</v>
      </c>
      <c r="AK339" s="3">
        <v>367.7</v>
      </c>
      <c r="AL339" s="3">
        <v>306.60000000000002</v>
      </c>
      <c r="AM339" s="3">
        <v>300.39999999999998</v>
      </c>
      <c r="AN339" s="3">
        <v>335.8</v>
      </c>
      <c r="AO339" s="3">
        <v>163.80000000000001</v>
      </c>
      <c r="AP339" s="3">
        <v>253.3</v>
      </c>
      <c r="AQ339" s="3">
        <v>324.5</v>
      </c>
      <c r="AR339" s="3">
        <v>205.2</v>
      </c>
      <c r="AS339" s="3">
        <v>631.79999999999995</v>
      </c>
      <c r="AT339" s="3">
        <v>452.2</v>
      </c>
      <c r="AU339" s="3">
        <v>349.1</v>
      </c>
      <c r="AV339" s="3">
        <v>244.3</v>
      </c>
      <c r="AW339" s="3">
        <v>329.7</v>
      </c>
      <c r="AX339" s="3">
        <v>324.10000000000002</v>
      </c>
      <c r="AY339" s="3">
        <v>498.2</v>
      </c>
      <c r="AZ339" s="3">
        <v>365.8</v>
      </c>
      <c r="BA339" s="3">
        <v>223.5</v>
      </c>
      <c r="BB339" s="3">
        <v>344.5</v>
      </c>
      <c r="BC339" s="3">
        <v>324.5</v>
      </c>
      <c r="BD339" s="3">
        <v>302.60000000000002</v>
      </c>
      <c r="BE339" s="3">
        <v>392.2</v>
      </c>
      <c r="BF339" s="3">
        <v>363.8</v>
      </c>
      <c r="BG339" s="3">
        <v>240.4</v>
      </c>
      <c r="BH339" s="3">
        <v>221.7</v>
      </c>
      <c r="BI339" s="3">
        <v>72.099999999999994</v>
      </c>
      <c r="BJ339" s="3">
        <v>195.4</v>
      </c>
      <c r="BK339" s="3">
        <v>214.2</v>
      </c>
      <c r="BL339" s="3">
        <v>234.7</v>
      </c>
      <c r="BM339" s="3">
        <v>390.6</v>
      </c>
      <c r="BN339" s="3">
        <v>101.4</v>
      </c>
      <c r="BO339" s="3">
        <v>374.1</v>
      </c>
      <c r="BP339" s="3">
        <v>438</v>
      </c>
      <c r="BQ339" s="3">
        <v>142</v>
      </c>
      <c r="BR339" s="3">
        <v>102.3</v>
      </c>
      <c r="BS339" s="3">
        <v>133.4</v>
      </c>
      <c r="BT339" s="3">
        <v>199.5</v>
      </c>
      <c r="BU339" s="3">
        <v>134.30000000000001</v>
      </c>
      <c r="BV339" s="3">
        <v>186</v>
      </c>
      <c r="BW339" s="3">
        <v>223.6</v>
      </c>
      <c r="BX339" s="3">
        <v>474.7</v>
      </c>
      <c r="BY339" s="3">
        <v>95.4</v>
      </c>
      <c r="BZ339" s="3">
        <v>406</v>
      </c>
      <c r="CA339" s="3">
        <v>318.3</v>
      </c>
      <c r="CB339" s="3">
        <v>549.5</v>
      </c>
      <c r="CC339" s="3">
        <v>386.9</v>
      </c>
      <c r="CD339" s="3">
        <v>389.7</v>
      </c>
      <c r="CE339" s="3">
        <v>295.60000000000002</v>
      </c>
      <c r="CF339" s="3">
        <v>7.5</v>
      </c>
      <c r="CG339" s="3">
        <v>108.1</v>
      </c>
      <c r="CH339" s="3">
        <v>84.9</v>
      </c>
      <c r="CI339" s="3">
        <v>359.8</v>
      </c>
      <c r="CJ339" s="3">
        <v>174</v>
      </c>
      <c r="CK339" s="3">
        <v>197.1</v>
      </c>
      <c r="CL339" s="3">
        <v>505.6</v>
      </c>
      <c r="CM339" s="3">
        <v>237.2</v>
      </c>
      <c r="CN339" s="3">
        <v>213.6</v>
      </c>
    </row>
    <row r="340" spans="1:92" x14ac:dyDescent="0.25">
      <c r="A340" s="4">
        <v>42064</v>
      </c>
      <c r="B340" s="3">
        <v>214.1</v>
      </c>
      <c r="C340" s="3">
        <v>205.4</v>
      </c>
      <c r="D340" s="3">
        <v>254.6</v>
      </c>
      <c r="E340" s="3">
        <v>219.3</v>
      </c>
      <c r="F340" s="3">
        <v>292.5</v>
      </c>
      <c r="G340" s="3">
        <v>309.60000000000002</v>
      </c>
      <c r="H340" s="3">
        <v>233</v>
      </c>
      <c r="I340" s="3">
        <v>221.4</v>
      </c>
      <c r="J340" s="3">
        <v>138.9</v>
      </c>
      <c r="K340" s="3">
        <v>188.8</v>
      </c>
      <c r="L340" s="3">
        <v>247.5</v>
      </c>
      <c r="M340" s="3">
        <v>263.5</v>
      </c>
      <c r="N340" s="3">
        <v>229.3</v>
      </c>
      <c r="O340" s="3">
        <v>312.7</v>
      </c>
      <c r="P340" s="3">
        <v>185.8</v>
      </c>
      <c r="Q340" s="3">
        <v>248</v>
      </c>
      <c r="R340" s="3">
        <v>232</v>
      </c>
      <c r="S340" s="3">
        <v>231.6</v>
      </c>
      <c r="T340" s="3">
        <v>189.9</v>
      </c>
      <c r="U340" s="3">
        <v>209.8</v>
      </c>
      <c r="V340" s="3">
        <v>169</v>
      </c>
      <c r="W340" s="3">
        <v>259.10000000000002</v>
      </c>
      <c r="X340" s="3">
        <v>183.3</v>
      </c>
      <c r="Y340" s="3">
        <v>293.3</v>
      </c>
      <c r="Z340" s="3">
        <v>224.8</v>
      </c>
      <c r="AA340" s="3">
        <v>220.8</v>
      </c>
      <c r="AB340" s="3">
        <v>213</v>
      </c>
      <c r="AC340" s="3">
        <v>181.2</v>
      </c>
      <c r="AD340" s="3">
        <v>158</v>
      </c>
      <c r="AE340" s="3">
        <v>261.5</v>
      </c>
      <c r="AF340" s="3">
        <v>210.9</v>
      </c>
      <c r="AG340" s="3">
        <v>200.4</v>
      </c>
      <c r="AH340" s="3">
        <v>262.5</v>
      </c>
      <c r="AI340" s="3">
        <v>188.8</v>
      </c>
      <c r="AJ340" s="3">
        <v>314</v>
      </c>
      <c r="AK340" s="3">
        <v>366.6</v>
      </c>
      <c r="AL340" s="3">
        <v>306.60000000000002</v>
      </c>
      <c r="AM340" s="3">
        <v>301.3</v>
      </c>
      <c r="AN340" s="3">
        <v>337.1</v>
      </c>
      <c r="AO340" s="3">
        <v>163.69999999999999</v>
      </c>
      <c r="AP340" s="3">
        <v>253.5</v>
      </c>
      <c r="AQ340" s="3">
        <v>325.2</v>
      </c>
      <c r="AR340" s="3">
        <v>204.9</v>
      </c>
      <c r="AS340" s="3">
        <v>631.4</v>
      </c>
      <c r="AT340" s="3">
        <v>452</v>
      </c>
      <c r="AU340" s="3">
        <v>349.4</v>
      </c>
      <c r="AV340" s="3">
        <v>243.6</v>
      </c>
      <c r="AW340" s="3">
        <v>329.5</v>
      </c>
      <c r="AX340" s="3">
        <v>324.10000000000002</v>
      </c>
      <c r="AY340" s="3">
        <v>498.2</v>
      </c>
      <c r="AZ340" s="3">
        <v>366.4</v>
      </c>
      <c r="BA340" s="3">
        <v>223.9</v>
      </c>
      <c r="BB340" s="3">
        <v>341.3</v>
      </c>
      <c r="BC340" s="3">
        <v>325</v>
      </c>
      <c r="BD340" s="3">
        <v>302.60000000000002</v>
      </c>
      <c r="BE340" s="3">
        <v>381.7</v>
      </c>
      <c r="BF340" s="3">
        <v>354.6</v>
      </c>
      <c r="BG340" s="3">
        <v>244.4</v>
      </c>
      <c r="BH340" s="3">
        <v>221</v>
      </c>
      <c r="BI340" s="3">
        <v>73.599999999999994</v>
      </c>
      <c r="BJ340" s="3">
        <v>196.6</v>
      </c>
      <c r="BK340" s="3">
        <v>213.2</v>
      </c>
      <c r="BL340" s="3">
        <v>233.7</v>
      </c>
      <c r="BM340" s="3">
        <v>390.6</v>
      </c>
      <c r="BN340" s="3">
        <v>101.4</v>
      </c>
      <c r="BO340" s="3">
        <v>375</v>
      </c>
      <c r="BP340" s="3">
        <v>436.7</v>
      </c>
      <c r="BQ340" s="3">
        <v>143.80000000000001</v>
      </c>
      <c r="BR340" s="3">
        <v>103</v>
      </c>
      <c r="BS340" s="3">
        <v>136.80000000000001</v>
      </c>
      <c r="BT340" s="3">
        <v>200.1</v>
      </c>
      <c r="BU340" s="3">
        <v>137.1</v>
      </c>
      <c r="BV340" s="3">
        <v>187.4</v>
      </c>
      <c r="BW340" s="3">
        <v>224.9</v>
      </c>
      <c r="BX340" s="3">
        <v>475.3</v>
      </c>
      <c r="BY340" s="3">
        <v>95</v>
      </c>
      <c r="BZ340" s="3">
        <v>406.4</v>
      </c>
      <c r="CA340" s="3">
        <v>328.9</v>
      </c>
      <c r="CB340" s="3">
        <v>552.79999999999995</v>
      </c>
      <c r="CC340" s="3">
        <v>384.1</v>
      </c>
      <c r="CD340" s="3">
        <v>384.5</v>
      </c>
      <c r="CE340" s="3">
        <v>300.5</v>
      </c>
      <c r="CF340" s="3">
        <v>7.5</v>
      </c>
      <c r="CG340" s="3">
        <v>108.9</v>
      </c>
      <c r="CH340" s="3">
        <v>86.6</v>
      </c>
      <c r="CI340" s="3">
        <v>359.1</v>
      </c>
      <c r="CJ340" s="3">
        <v>174.1</v>
      </c>
      <c r="CK340" s="3">
        <v>197.1</v>
      </c>
      <c r="CL340" s="3">
        <v>509.1</v>
      </c>
      <c r="CM340" s="3">
        <v>237</v>
      </c>
      <c r="CN340" s="3">
        <v>214.6</v>
      </c>
    </row>
    <row r="341" spans="1:92" x14ac:dyDescent="0.25">
      <c r="A341" s="4">
        <v>42095</v>
      </c>
      <c r="B341" s="3">
        <v>207.2</v>
      </c>
      <c r="C341" s="3">
        <v>206.3</v>
      </c>
      <c r="D341" s="3">
        <v>256.10000000000002</v>
      </c>
      <c r="E341" s="3">
        <v>218.3</v>
      </c>
      <c r="F341" s="3">
        <v>304.60000000000002</v>
      </c>
      <c r="G341" s="3">
        <v>336</v>
      </c>
      <c r="H341" s="3">
        <v>235.1</v>
      </c>
      <c r="I341" s="3">
        <v>222.7</v>
      </c>
      <c r="J341" s="3">
        <v>136.4</v>
      </c>
      <c r="K341" s="3">
        <v>187.1</v>
      </c>
      <c r="L341" s="3">
        <v>249.4</v>
      </c>
      <c r="M341" s="3">
        <v>257.7</v>
      </c>
      <c r="N341" s="3">
        <v>238.1</v>
      </c>
      <c r="O341" s="3">
        <v>325.3</v>
      </c>
      <c r="P341" s="3">
        <v>178.2</v>
      </c>
      <c r="Q341" s="3">
        <v>246.3</v>
      </c>
      <c r="R341" s="3">
        <v>232.8</v>
      </c>
      <c r="S341" s="3">
        <v>231</v>
      </c>
      <c r="T341" s="3">
        <v>188.3</v>
      </c>
      <c r="U341" s="3">
        <v>210.7</v>
      </c>
      <c r="V341" s="3">
        <v>171.9</v>
      </c>
      <c r="W341" s="3">
        <v>257.5</v>
      </c>
      <c r="X341" s="3">
        <v>184.3</v>
      </c>
      <c r="Y341" s="3">
        <v>292.3</v>
      </c>
      <c r="Z341" s="3">
        <v>224.1</v>
      </c>
      <c r="AA341" s="3">
        <v>220.9</v>
      </c>
      <c r="AB341" s="3">
        <v>211.8</v>
      </c>
      <c r="AC341" s="3">
        <v>179.7</v>
      </c>
      <c r="AD341" s="3">
        <v>157.4</v>
      </c>
      <c r="AE341" s="3">
        <v>255.5</v>
      </c>
      <c r="AF341" s="3">
        <v>210.6</v>
      </c>
      <c r="AG341" s="3">
        <v>199</v>
      </c>
      <c r="AH341" s="3">
        <v>266.39999999999998</v>
      </c>
      <c r="AI341" s="3">
        <v>188.6</v>
      </c>
      <c r="AJ341" s="3">
        <v>314.8</v>
      </c>
      <c r="AK341" s="3">
        <v>366.7</v>
      </c>
      <c r="AL341" s="3">
        <v>307.3</v>
      </c>
      <c r="AM341" s="3">
        <v>300.60000000000002</v>
      </c>
      <c r="AN341" s="3">
        <v>336.6</v>
      </c>
      <c r="AO341" s="3">
        <v>163</v>
      </c>
      <c r="AP341" s="3">
        <v>252.2</v>
      </c>
      <c r="AQ341" s="3">
        <v>325.39999999999998</v>
      </c>
      <c r="AR341" s="3">
        <v>202.3</v>
      </c>
      <c r="AS341" s="3">
        <v>641.70000000000005</v>
      </c>
      <c r="AT341" s="3">
        <v>457.7</v>
      </c>
      <c r="AU341" s="3">
        <v>352.3</v>
      </c>
      <c r="AV341" s="3">
        <v>243.8</v>
      </c>
      <c r="AW341" s="3">
        <v>332.1</v>
      </c>
      <c r="AX341" s="3">
        <v>327.8</v>
      </c>
      <c r="AY341" s="3">
        <v>494.9</v>
      </c>
      <c r="AZ341" s="3">
        <v>366.7</v>
      </c>
      <c r="BA341" s="3">
        <v>224</v>
      </c>
      <c r="BB341" s="3">
        <v>341.1</v>
      </c>
      <c r="BC341" s="3">
        <v>325.39999999999998</v>
      </c>
      <c r="BD341" s="3">
        <v>302</v>
      </c>
      <c r="BE341" s="3">
        <v>381.7</v>
      </c>
      <c r="BF341" s="3">
        <v>353.7</v>
      </c>
      <c r="BG341" s="3">
        <v>238.8</v>
      </c>
      <c r="BH341" s="3">
        <v>216.4</v>
      </c>
      <c r="BI341" s="3">
        <v>73.599999999999994</v>
      </c>
      <c r="BJ341" s="3">
        <v>197.1</v>
      </c>
      <c r="BK341" s="3">
        <v>210</v>
      </c>
      <c r="BL341" s="3">
        <v>235.4</v>
      </c>
      <c r="BM341" s="3">
        <v>397.2</v>
      </c>
      <c r="BN341" s="3">
        <v>101.5</v>
      </c>
      <c r="BO341" s="3">
        <v>375.6</v>
      </c>
      <c r="BP341" s="3">
        <v>438.8</v>
      </c>
      <c r="BQ341" s="3">
        <v>146.1</v>
      </c>
      <c r="BR341" s="3">
        <v>105.1</v>
      </c>
      <c r="BS341" s="3">
        <v>137.19999999999999</v>
      </c>
      <c r="BT341" s="3">
        <v>201.9</v>
      </c>
      <c r="BU341" s="3">
        <v>137.4</v>
      </c>
      <c r="BV341" s="3">
        <v>186.8</v>
      </c>
      <c r="BW341" s="3">
        <v>223.9</v>
      </c>
      <c r="BX341" s="3">
        <v>480.4</v>
      </c>
      <c r="BY341" s="3">
        <v>95.6</v>
      </c>
      <c r="BZ341" s="3">
        <v>407.1</v>
      </c>
      <c r="CA341" s="3">
        <v>332.7</v>
      </c>
      <c r="CB341" s="3">
        <v>554.20000000000005</v>
      </c>
      <c r="CC341" s="3">
        <v>386.9</v>
      </c>
      <c r="CD341" s="3">
        <v>390.8</v>
      </c>
      <c r="CE341" s="3">
        <v>307.5</v>
      </c>
      <c r="CF341" s="3">
        <v>7.4</v>
      </c>
      <c r="CG341" s="3">
        <v>109.8</v>
      </c>
      <c r="CH341" s="3">
        <v>85.1</v>
      </c>
      <c r="CI341" s="3">
        <v>365</v>
      </c>
      <c r="CJ341" s="3">
        <v>174.8</v>
      </c>
      <c r="CK341" s="3">
        <v>197.1</v>
      </c>
      <c r="CL341" s="3">
        <v>521.20000000000005</v>
      </c>
      <c r="CM341" s="3">
        <v>237.7</v>
      </c>
      <c r="CN341" s="3">
        <v>217.4</v>
      </c>
    </row>
    <row r="342" spans="1:92" x14ac:dyDescent="0.25">
      <c r="A342" s="4">
        <v>42125</v>
      </c>
      <c r="B342" s="3">
        <v>208.6</v>
      </c>
      <c r="C342" s="3">
        <v>206.4</v>
      </c>
      <c r="D342" s="3">
        <v>253.4</v>
      </c>
      <c r="E342" s="3">
        <v>219.4</v>
      </c>
      <c r="F342" s="3">
        <v>299</v>
      </c>
      <c r="G342" s="3">
        <v>321.89999999999998</v>
      </c>
      <c r="H342" s="3">
        <v>233.8</v>
      </c>
      <c r="I342" s="3">
        <v>220.3</v>
      </c>
      <c r="J342" s="3">
        <v>136.6</v>
      </c>
      <c r="K342" s="3">
        <v>186.7</v>
      </c>
      <c r="L342" s="3">
        <v>245.1</v>
      </c>
      <c r="M342" s="3">
        <v>255.4</v>
      </c>
      <c r="N342" s="3">
        <v>232.1</v>
      </c>
      <c r="O342" s="3">
        <v>331.1</v>
      </c>
      <c r="P342" s="3">
        <v>187.9</v>
      </c>
      <c r="Q342" s="3">
        <v>243</v>
      </c>
      <c r="R342" s="3">
        <v>233.2</v>
      </c>
      <c r="S342" s="3">
        <v>231.1</v>
      </c>
      <c r="T342" s="3">
        <v>188.8</v>
      </c>
      <c r="U342" s="3">
        <v>207.9</v>
      </c>
      <c r="V342" s="3">
        <v>168.4</v>
      </c>
      <c r="W342" s="3">
        <v>254.8</v>
      </c>
      <c r="X342" s="3">
        <v>183.6</v>
      </c>
      <c r="Y342" s="3">
        <v>294</v>
      </c>
      <c r="Z342" s="3">
        <v>223.7</v>
      </c>
      <c r="AA342" s="3">
        <v>224.2</v>
      </c>
      <c r="AB342" s="3">
        <v>208.9</v>
      </c>
      <c r="AC342" s="3">
        <v>180</v>
      </c>
      <c r="AD342" s="3">
        <v>156.9</v>
      </c>
      <c r="AE342" s="3">
        <v>260</v>
      </c>
      <c r="AF342" s="3">
        <v>211.1</v>
      </c>
      <c r="AG342" s="3">
        <v>199.6</v>
      </c>
      <c r="AH342" s="3">
        <v>266.7</v>
      </c>
      <c r="AI342" s="3">
        <v>188.7</v>
      </c>
      <c r="AJ342" s="3">
        <v>314.89999999999998</v>
      </c>
      <c r="AK342" s="3">
        <v>366.3</v>
      </c>
      <c r="AL342" s="3">
        <v>308</v>
      </c>
      <c r="AM342" s="3">
        <v>302.2</v>
      </c>
      <c r="AN342" s="3">
        <v>336.7</v>
      </c>
      <c r="AO342" s="3">
        <v>166.9</v>
      </c>
      <c r="AP342" s="3">
        <v>253.1</v>
      </c>
      <c r="AQ342" s="3">
        <v>325.8</v>
      </c>
      <c r="AR342" s="3">
        <v>203.7</v>
      </c>
      <c r="AS342" s="3">
        <v>642.6</v>
      </c>
      <c r="AT342" s="3">
        <v>458.6</v>
      </c>
      <c r="AU342" s="3">
        <v>353.1</v>
      </c>
      <c r="AV342" s="3">
        <v>243</v>
      </c>
      <c r="AW342" s="3">
        <v>332.9</v>
      </c>
      <c r="AX342" s="3">
        <v>327.8</v>
      </c>
      <c r="AY342" s="3">
        <v>494.9</v>
      </c>
      <c r="AZ342" s="3">
        <v>366.7</v>
      </c>
      <c r="BA342" s="3">
        <v>224.6</v>
      </c>
      <c r="BB342" s="3">
        <v>340.8</v>
      </c>
      <c r="BC342" s="3">
        <v>318.7</v>
      </c>
      <c r="BD342" s="3">
        <v>302</v>
      </c>
      <c r="BE342" s="3">
        <v>379.2</v>
      </c>
      <c r="BF342" s="3">
        <v>358.3</v>
      </c>
      <c r="BG342" s="3">
        <v>240.3</v>
      </c>
      <c r="BH342" s="3">
        <v>219.5</v>
      </c>
      <c r="BI342" s="3">
        <v>73.400000000000006</v>
      </c>
      <c r="BJ342" s="3">
        <v>198.4</v>
      </c>
      <c r="BK342" s="3">
        <v>210.7</v>
      </c>
      <c r="BL342" s="3">
        <v>235.3</v>
      </c>
      <c r="BM342" s="3">
        <v>397.2</v>
      </c>
      <c r="BN342" s="3">
        <v>101.5</v>
      </c>
      <c r="BO342" s="3">
        <v>376.6</v>
      </c>
      <c r="BP342" s="3">
        <v>439.3</v>
      </c>
      <c r="BQ342" s="3">
        <v>146</v>
      </c>
      <c r="BR342" s="3">
        <v>105.9</v>
      </c>
      <c r="BS342" s="3">
        <v>139.30000000000001</v>
      </c>
      <c r="BT342" s="3">
        <v>202.2</v>
      </c>
      <c r="BU342" s="3">
        <v>138</v>
      </c>
      <c r="BV342" s="3">
        <v>187.2</v>
      </c>
      <c r="BW342" s="3">
        <v>222.5</v>
      </c>
      <c r="BX342" s="3">
        <v>480.8</v>
      </c>
      <c r="BY342" s="3">
        <v>95</v>
      </c>
      <c r="BZ342" s="3">
        <v>408.1</v>
      </c>
      <c r="CA342" s="3">
        <v>339.1</v>
      </c>
      <c r="CB342" s="3">
        <v>555.29999999999995</v>
      </c>
      <c r="CC342" s="3">
        <v>383.4</v>
      </c>
      <c r="CD342" s="3">
        <v>385.7</v>
      </c>
      <c r="CE342" s="3">
        <v>322.7</v>
      </c>
      <c r="CF342" s="3">
        <v>7.3</v>
      </c>
      <c r="CG342" s="3">
        <v>107.9</v>
      </c>
      <c r="CH342" s="3">
        <v>85.8</v>
      </c>
      <c r="CI342" s="3">
        <v>361.9</v>
      </c>
      <c r="CJ342" s="3">
        <v>174.7</v>
      </c>
      <c r="CK342" s="3">
        <v>197.1</v>
      </c>
      <c r="CL342" s="3">
        <v>523.4</v>
      </c>
      <c r="CM342" s="3">
        <v>237.9</v>
      </c>
      <c r="CN342" s="3">
        <v>218.8</v>
      </c>
    </row>
    <row r="343" spans="1:92" x14ac:dyDescent="0.25">
      <c r="A343" s="4">
        <v>42156</v>
      </c>
      <c r="B343" s="3">
        <v>207.7</v>
      </c>
      <c r="C343" s="3">
        <v>203.6</v>
      </c>
      <c r="D343" s="3">
        <v>254.6</v>
      </c>
      <c r="E343" s="3">
        <v>219.2</v>
      </c>
      <c r="F343" s="3">
        <v>303.8</v>
      </c>
      <c r="G343" s="3">
        <v>330.7</v>
      </c>
      <c r="H343" s="3">
        <v>229.3</v>
      </c>
      <c r="I343" s="3">
        <v>221.2</v>
      </c>
      <c r="J343" s="3">
        <v>135.4</v>
      </c>
      <c r="K343" s="3">
        <v>187.4</v>
      </c>
      <c r="L343" s="3">
        <v>247.6</v>
      </c>
      <c r="M343" s="3">
        <v>255.3</v>
      </c>
      <c r="N343" s="3">
        <v>236.9</v>
      </c>
      <c r="O343" s="3">
        <v>321.3</v>
      </c>
      <c r="P343" s="3">
        <v>176.9</v>
      </c>
      <c r="Q343" s="3">
        <v>249.6</v>
      </c>
      <c r="R343" s="3">
        <v>230.5</v>
      </c>
      <c r="S343" s="3">
        <v>229.6</v>
      </c>
      <c r="T343" s="3">
        <v>191.7</v>
      </c>
      <c r="U343" s="3">
        <v>206.8</v>
      </c>
      <c r="V343" s="3">
        <v>172</v>
      </c>
      <c r="W343" s="3">
        <v>256.89999999999998</v>
      </c>
      <c r="X343" s="3">
        <v>185.4</v>
      </c>
      <c r="Y343" s="3">
        <v>290.10000000000002</v>
      </c>
      <c r="Z343" s="3">
        <v>230.1</v>
      </c>
      <c r="AA343" s="3">
        <v>224.2</v>
      </c>
      <c r="AB343" s="3">
        <v>219.2</v>
      </c>
      <c r="AC343" s="3">
        <v>178.5</v>
      </c>
      <c r="AD343" s="3">
        <v>157.1</v>
      </c>
      <c r="AE343" s="3">
        <v>250</v>
      </c>
      <c r="AF343" s="3">
        <v>207.7</v>
      </c>
      <c r="AG343" s="3">
        <v>195.6</v>
      </c>
      <c r="AH343" s="3">
        <v>265.39999999999998</v>
      </c>
      <c r="AI343" s="3">
        <v>187.6</v>
      </c>
      <c r="AJ343" s="3">
        <v>315.2</v>
      </c>
      <c r="AK343" s="3">
        <v>366.5</v>
      </c>
      <c r="AL343" s="3">
        <v>308.3</v>
      </c>
      <c r="AM343" s="3">
        <v>302.7</v>
      </c>
      <c r="AN343" s="3">
        <v>337.6</v>
      </c>
      <c r="AO343" s="3">
        <v>166.4</v>
      </c>
      <c r="AP343" s="3">
        <v>254.2</v>
      </c>
      <c r="AQ343" s="3">
        <v>326.89999999999998</v>
      </c>
      <c r="AR343" s="3">
        <v>204.7</v>
      </c>
      <c r="AS343" s="3">
        <v>643.6</v>
      </c>
      <c r="AT343" s="3">
        <v>459</v>
      </c>
      <c r="AU343" s="3">
        <v>353.5</v>
      </c>
      <c r="AV343" s="3">
        <v>243.2</v>
      </c>
      <c r="AW343" s="3">
        <v>334.2</v>
      </c>
      <c r="AX343" s="3">
        <v>327.8</v>
      </c>
      <c r="AY343" s="3">
        <v>494.9</v>
      </c>
      <c r="AZ343" s="3">
        <v>366.6</v>
      </c>
      <c r="BA343" s="3">
        <v>224.6</v>
      </c>
      <c r="BB343" s="3">
        <v>340.2</v>
      </c>
      <c r="BC343" s="3">
        <v>317.5</v>
      </c>
      <c r="BD343" s="3">
        <v>301.89999999999998</v>
      </c>
      <c r="BE343" s="3">
        <v>379.2</v>
      </c>
      <c r="BF343" s="3">
        <v>350.7</v>
      </c>
      <c r="BG343" s="3">
        <v>247.1</v>
      </c>
      <c r="BH343" s="3">
        <v>219.2</v>
      </c>
      <c r="BI343" s="3">
        <v>72.7</v>
      </c>
      <c r="BJ343" s="3">
        <v>198</v>
      </c>
      <c r="BK343" s="3">
        <v>210.8</v>
      </c>
      <c r="BL343" s="3">
        <v>235</v>
      </c>
      <c r="BM343" s="3">
        <v>397.2</v>
      </c>
      <c r="BN343" s="3">
        <v>100.8</v>
      </c>
      <c r="BO343" s="3">
        <v>378.2</v>
      </c>
      <c r="BP343" s="3">
        <v>439</v>
      </c>
      <c r="BQ343" s="3">
        <v>146.1</v>
      </c>
      <c r="BR343" s="3">
        <v>105</v>
      </c>
      <c r="BS343" s="3">
        <v>140.69999999999999</v>
      </c>
      <c r="BT343" s="3">
        <v>201.2</v>
      </c>
      <c r="BU343" s="3">
        <v>138</v>
      </c>
      <c r="BV343" s="3">
        <v>187.3</v>
      </c>
      <c r="BW343" s="3">
        <v>222</v>
      </c>
      <c r="BX343" s="3">
        <v>481.1</v>
      </c>
      <c r="BY343" s="3">
        <v>94.6</v>
      </c>
      <c r="BZ343" s="3">
        <v>408.6</v>
      </c>
      <c r="CA343" s="3">
        <v>342.1</v>
      </c>
      <c r="CB343" s="3">
        <v>558.79999999999995</v>
      </c>
      <c r="CC343" s="3">
        <v>384.1</v>
      </c>
      <c r="CD343" s="3">
        <v>387.2</v>
      </c>
      <c r="CE343" s="3">
        <v>323.5</v>
      </c>
      <c r="CF343" s="3">
        <v>7.4</v>
      </c>
      <c r="CG343" s="3">
        <v>108.9</v>
      </c>
      <c r="CH343" s="3">
        <v>84.5</v>
      </c>
      <c r="CI343" s="3">
        <v>362.7</v>
      </c>
      <c r="CJ343" s="3">
        <v>174.3</v>
      </c>
      <c r="CK343" s="3">
        <v>201.1</v>
      </c>
      <c r="CL343" s="3">
        <v>524.1</v>
      </c>
      <c r="CM343" s="3">
        <v>237.9</v>
      </c>
      <c r="CN343" s="3">
        <v>220.9</v>
      </c>
    </row>
    <row r="344" spans="1:92" x14ac:dyDescent="0.25">
      <c r="A344" s="4">
        <v>42186</v>
      </c>
      <c r="B344" s="3">
        <v>205.5</v>
      </c>
      <c r="C344" s="3">
        <v>204.5</v>
      </c>
      <c r="D344" s="3">
        <v>253.2</v>
      </c>
      <c r="E344" s="3">
        <v>217.5</v>
      </c>
      <c r="F344" s="3">
        <v>304.7</v>
      </c>
      <c r="G344" s="3">
        <v>330.7</v>
      </c>
      <c r="H344" s="3">
        <v>232.8</v>
      </c>
      <c r="I344" s="3">
        <v>218.1</v>
      </c>
      <c r="J344" s="3">
        <v>135.80000000000001</v>
      </c>
      <c r="K344" s="3">
        <v>188.5</v>
      </c>
      <c r="L344" s="3">
        <v>243.7</v>
      </c>
      <c r="M344" s="3">
        <v>266.3</v>
      </c>
      <c r="N344" s="3">
        <v>219.6</v>
      </c>
      <c r="O344" s="3">
        <v>315.8</v>
      </c>
      <c r="P344" s="3">
        <v>181.2</v>
      </c>
      <c r="Q344" s="3">
        <v>244.8</v>
      </c>
      <c r="R344" s="3">
        <v>227.4</v>
      </c>
      <c r="S344" s="3">
        <v>223.8</v>
      </c>
      <c r="T344" s="3">
        <v>185.3</v>
      </c>
      <c r="U344" s="3">
        <v>209.6</v>
      </c>
      <c r="V344" s="3">
        <v>171.6</v>
      </c>
      <c r="W344" s="3">
        <v>253.6</v>
      </c>
      <c r="X344" s="3">
        <v>181.8</v>
      </c>
      <c r="Y344" s="3">
        <v>289.5</v>
      </c>
      <c r="Z344" s="3">
        <v>226.4</v>
      </c>
      <c r="AA344" s="3">
        <v>217.7</v>
      </c>
      <c r="AB344" s="3">
        <v>217.7</v>
      </c>
      <c r="AC344" s="3">
        <v>175.1</v>
      </c>
      <c r="AD344" s="3">
        <v>152.80000000000001</v>
      </c>
      <c r="AE344" s="3">
        <v>251.6</v>
      </c>
      <c r="AF344" s="3">
        <v>204.8</v>
      </c>
      <c r="AG344" s="3">
        <v>192.7</v>
      </c>
      <c r="AH344" s="3">
        <v>262.3</v>
      </c>
      <c r="AI344" s="3">
        <v>188.2</v>
      </c>
      <c r="AJ344" s="3">
        <v>315.7</v>
      </c>
      <c r="AK344" s="3">
        <v>366.7</v>
      </c>
      <c r="AL344" s="3">
        <v>308.60000000000002</v>
      </c>
      <c r="AM344" s="3">
        <v>300.89999999999998</v>
      </c>
      <c r="AN344" s="3">
        <v>337.6</v>
      </c>
      <c r="AO344" s="3">
        <v>161.80000000000001</v>
      </c>
      <c r="AP344" s="3">
        <v>251.2</v>
      </c>
      <c r="AQ344" s="3">
        <v>326.8</v>
      </c>
      <c r="AR344" s="3">
        <v>199.3</v>
      </c>
      <c r="AS344" s="3">
        <v>644.5</v>
      </c>
      <c r="AT344" s="3">
        <v>459.2</v>
      </c>
      <c r="AU344" s="3">
        <v>355.7</v>
      </c>
      <c r="AV344" s="3">
        <v>242.3</v>
      </c>
      <c r="AW344" s="3">
        <v>336.1</v>
      </c>
      <c r="AX344" s="3">
        <v>327.8</v>
      </c>
      <c r="AY344" s="3">
        <v>494.9</v>
      </c>
      <c r="AZ344" s="3">
        <v>367.1</v>
      </c>
      <c r="BA344" s="3">
        <v>222.1</v>
      </c>
      <c r="BB344" s="3">
        <v>341.2</v>
      </c>
      <c r="BC344" s="3">
        <v>317.5</v>
      </c>
      <c r="BD344" s="3">
        <v>301.89999999999998</v>
      </c>
      <c r="BE344" s="3">
        <v>379.2</v>
      </c>
      <c r="BF344" s="3">
        <v>338.5</v>
      </c>
      <c r="BG344" s="3">
        <v>235.7</v>
      </c>
      <c r="BH344" s="3">
        <v>218.6</v>
      </c>
      <c r="BI344" s="3">
        <v>72.099999999999994</v>
      </c>
      <c r="BJ344" s="3">
        <v>191.6</v>
      </c>
      <c r="BK344" s="3">
        <v>210.2</v>
      </c>
      <c r="BL344" s="3">
        <v>235.3</v>
      </c>
      <c r="BM344" s="3">
        <v>397.2</v>
      </c>
      <c r="BN344" s="3">
        <v>101.2</v>
      </c>
      <c r="BO344" s="3">
        <v>378.7</v>
      </c>
      <c r="BP344" s="3">
        <v>441.4</v>
      </c>
      <c r="BQ344" s="3">
        <v>143.19999999999999</v>
      </c>
      <c r="BR344" s="3">
        <v>101.2</v>
      </c>
      <c r="BS344" s="3">
        <v>135.30000000000001</v>
      </c>
      <c r="BT344" s="3">
        <v>197.4</v>
      </c>
      <c r="BU344" s="3">
        <v>134.5</v>
      </c>
      <c r="BV344" s="3">
        <v>185.1</v>
      </c>
      <c r="BW344" s="3">
        <v>222.6</v>
      </c>
      <c r="BX344" s="3">
        <v>482.2</v>
      </c>
      <c r="BY344" s="3">
        <v>93.7</v>
      </c>
      <c r="BZ344" s="3">
        <v>409.1</v>
      </c>
      <c r="CA344" s="3">
        <v>340.1</v>
      </c>
      <c r="CB344" s="3">
        <v>563</v>
      </c>
      <c r="CC344" s="3">
        <v>389.2</v>
      </c>
      <c r="CD344" s="3">
        <v>397.9</v>
      </c>
      <c r="CE344" s="3">
        <v>360.6</v>
      </c>
      <c r="CF344" s="3">
        <v>7.2</v>
      </c>
      <c r="CG344" s="3">
        <v>110.8</v>
      </c>
      <c r="CH344" s="3">
        <v>85.1</v>
      </c>
      <c r="CI344" s="3">
        <v>370.5</v>
      </c>
      <c r="CJ344" s="3">
        <v>173.4</v>
      </c>
      <c r="CK344" s="3">
        <v>201.1</v>
      </c>
      <c r="CL344" s="3">
        <v>525.6</v>
      </c>
      <c r="CM344" s="3">
        <v>238.4</v>
      </c>
      <c r="CN344" s="3">
        <v>221.7</v>
      </c>
    </row>
    <row r="345" spans="1:92" x14ac:dyDescent="0.25">
      <c r="A345" s="4">
        <v>42217</v>
      </c>
      <c r="B345" s="3">
        <v>206.7</v>
      </c>
      <c r="C345" s="3">
        <v>203.1</v>
      </c>
      <c r="D345" s="3">
        <v>254.2</v>
      </c>
      <c r="E345" s="3">
        <v>215.3</v>
      </c>
      <c r="F345" s="3">
        <v>298.2</v>
      </c>
      <c r="G345" s="3">
        <v>319</v>
      </c>
      <c r="H345" s="3">
        <v>233.8</v>
      </c>
      <c r="I345" s="3">
        <v>215.7</v>
      </c>
      <c r="J345" s="3">
        <v>135.19999999999999</v>
      </c>
      <c r="K345" s="3">
        <v>184.9</v>
      </c>
      <c r="L345" s="3">
        <v>241.9</v>
      </c>
      <c r="M345" s="3">
        <v>254.8</v>
      </c>
      <c r="N345" s="3">
        <v>226.5</v>
      </c>
      <c r="O345" s="3">
        <v>324.7</v>
      </c>
      <c r="P345" s="3">
        <v>176.7</v>
      </c>
      <c r="Q345" s="3">
        <v>240.7</v>
      </c>
      <c r="R345" s="3">
        <v>227.7</v>
      </c>
      <c r="S345" s="3">
        <v>224.3</v>
      </c>
      <c r="T345" s="3">
        <v>189.6</v>
      </c>
      <c r="U345" s="3">
        <v>207.4</v>
      </c>
      <c r="V345" s="3">
        <v>170</v>
      </c>
      <c r="W345" s="3">
        <v>259.89999999999998</v>
      </c>
      <c r="X345" s="3">
        <v>179.5</v>
      </c>
      <c r="Y345" s="3">
        <v>289.10000000000002</v>
      </c>
      <c r="Z345" s="3">
        <v>222.6</v>
      </c>
      <c r="AA345" s="3">
        <v>223.1</v>
      </c>
      <c r="AB345" s="3">
        <v>207.8</v>
      </c>
      <c r="AC345" s="3">
        <v>176.3</v>
      </c>
      <c r="AD345" s="3">
        <v>153.19999999999999</v>
      </c>
      <c r="AE345" s="3">
        <v>256.7</v>
      </c>
      <c r="AF345" s="3">
        <v>204.2</v>
      </c>
      <c r="AG345" s="3">
        <v>191.3</v>
      </c>
      <c r="AH345" s="3">
        <v>265.2</v>
      </c>
      <c r="AI345" s="3">
        <v>194</v>
      </c>
      <c r="AJ345" s="3">
        <v>315.5</v>
      </c>
      <c r="AK345" s="3">
        <v>366.8</v>
      </c>
      <c r="AL345" s="3">
        <v>309.5</v>
      </c>
      <c r="AM345" s="3">
        <v>301.5</v>
      </c>
      <c r="AN345" s="3">
        <v>337.9</v>
      </c>
      <c r="AO345" s="3">
        <v>162.80000000000001</v>
      </c>
      <c r="AP345" s="3">
        <v>255.2</v>
      </c>
      <c r="AQ345" s="3">
        <v>327.39999999999998</v>
      </c>
      <c r="AR345" s="3">
        <v>206.4</v>
      </c>
      <c r="AS345" s="3">
        <v>645</v>
      </c>
      <c r="AT345" s="3">
        <v>459.3</v>
      </c>
      <c r="AU345" s="3">
        <v>356.6</v>
      </c>
      <c r="AV345" s="3">
        <v>241.8</v>
      </c>
      <c r="AW345" s="3">
        <v>339.5</v>
      </c>
      <c r="AX345" s="3">
        <v>327.8</v>
      </c>
      <c r="AY345" s="3">
        <v>494.9</v>
      </c>
      <c r="AZ345" s="3">
        <v>366.8</v>
      </c>
      <c r="BA345" s="3">
        <v>223.6</v>
      </c>
      <c r="BB345" s="3">
        <v>337.1</v>
      </c>
      <c r="BC345" s="3">
        <v>317.39999999999998</v>
      </c>
      <c r="BD345" s="3">
        <v>301.89999999999998</v>
      </c>
      <c r="BE345" s="3">
        <v>379.2</v>
      </c>
      <c r="BF345" s="3">
        <v>306.89999999999998</v>
      </c>
      <c r="BG345" s="3">
        <v>247.8</v>
      </c>
      <c r="BH345" s="3">
        <v>222.3</v>
      </c>
      <c r="BI345" s="3">
        <v>72.5</v>
      </c>
      <c r="BJ345" s="3">
        <v>195.8</v>
      </c>
      <c r="BK345" s="3">
        <v>210.3</v>
      </c>
      <c r="BL345" s="3">
        <v>232.5</v>
      </c>
      <c r="BM345" s="3">
        <v>397.2</v>
      </c>
      <c r="BN345" s="3">
        <v>100.9</v>
      </c>
      <c r="BO345" s="3">
        <v>380.3</v>
      </c>
      <c r="BP345" s="3">
        <v>440.2</v>
      </c>
      <c r="BQ345" s="3">
        <v>144</v>
      </c>
      <c r="BR345" s="3">
        <v>103.2</v>
      </c>
      <c r="BS345" s="3">
        <v>138.1</v>
      </c>
      <c r="BT345" s="3">
        <v>202.1</v>
      </c>
      <c r="BU345" s="3">
        <v>136.1</v>
      </c>
      <c r="BV345" s="3">
        <v>188</v>
      </c>
      <c r="BW345" s="3">
        <v>222.2</v>
      </c>
      <c r="BX345" s="3">
        <v>482.7</v>
      </c>
      <c r="BY345" s="3">
        <v>93.1</v>
      </c>
      <c r="BZ345" s="3">
        <v>409.2</v>
      </c>
      <c r="CA345" s="3">
        <v>334.2</v>
      </c>
      <c r="CB345" s="3">
        <v>573.20000000000005</v>
      </c>
      <c r="CC345" s="3">
        <v>386.2</v>
      </c>
      <c r="CD345" s="3">
        <v>397.7</v>
      </c>
      <c r="CE345" s="3">
        <v>390.2</v>
      </c>
      <c r="CF345" s="3">
        <v>7.2</v>
      </c>
      <c r="CG345" s="3">
        <v>110.3</v>
      </c>
      <c r="CH345" s="3">
        <v>84.6</v>
      </c>
      <c r="CI345" s="3">
        <v>367</v>
      </c>
      <c r="CJ345" s="3">
        <v>173.8</v>
      </c>
      <c r="CK345" s="3">
        <v>201.1</v>
      </c>
      <c r="CL345" s="3">
        <v>524.1</v>
      </c>
      <c r="CM345" s="3">
        <v>239.3</v>
      </c>
      <c r="CN345" s="3">
        <v>221.3</v>
      </c>
    </row>
    <row r="346" spans="1:92" x14ac:dyDescent="0.25">
      <c r="A346" s="4">
        <v>42248</v>
      </c>
      <c r="B346" s="3">
        <v>207.6</v>
      </c>
      <c r="C346" s="3">
        <v>202.7</v>
      </c>
      <c r="D346" s="3">
        <v>253.8</v>
      </c>
      <c r="E346" s="3">
        <v>219.6</v>
      </c>
      <c r="F346" s="3">
        <v>301.89999999999998</v>
      </c>
      <c r="G346" s="3">
        <v>325.60000000000002</v>
      </c>
      <c r="H346" s="3">
        <v>230.2</v>
      </c>
      <c r="I346" s="3">
        <v>215.6</v>
      </c>
      <c r="J346" s="3">
        <v>135.9</v>
      </c>
      <c r="K346" s="3">
        <v>185.2</v>
      </c>
      <c r="L346" s="3">
        <v>244.5</v>
      </c>
      <c r="M346" s="3">
        <v>260</v>
      </c>
      <c r="N346" s="3">
        <v>226.8</v>
      </c>
      <c r="O346" s="3">
        <v>327.3</v>
      </c>
      <c r="P346" s="3">
        <v>197.1</v>
      </c>
      <c r="Q346" s="3">
        <v>241.5</v>
      </c>
      <c r="R346" s="3">
        <v>227.2</v>
      </c>
      <c r="S346" s="3">
        <v>223.4</v>
      </c>
      <c r="T346" s="3">
        <v>185.6</v>
      </c>
      <c r="U346" s="3">
        <v>210.4</v>
      </c>
      <c r="V346" s="3">
        <v>170.8</v>
      </c>
      <c r="W346" s="3">
        <v>256.60000000000002</v>
      </c>
      <c r="X346" s="3">
        <v>180.9</v>
      </c>
      <c r="Y346" s="3">
        <v>291</v>
      </c>
      <c r="Z346" s="3">
        <v>226.3</v>
      </c>
      <c r="AA346" s="3">
        <v>222.3</v>
      </c>
      <c r="AB346" s="3">
        <v>214.4</v>
      </c>
      <c r="AC346" s="3">
        <v>175.4</v>
      </c>
      <c r="AD346" s="3">
        <v>153.19999999999999</v>
      </c>
      <c r="AE346" s="3">
        <v>251.6</v>
      </c>
      <c r="AF346" s="3">
        <v>204.4</v>
      </c>
      <c r="AG346" s="3">
        <v>191.5</v>
      </c>
      <c r="AH346" s="3">
        <v>265.39999999999998</v>
      </c>
      <c r="AI346" s="3">
        <v>190.9</v>
      </c>
      <c r="AJ346" s="3">
        <v>315.7</v>
      </c>
      <c r="AK346" s="3">
        <v>367.7</v>
      </c>
      <c r="AL346" s="3">
        <v>310.10000000000002</v>
      </c>
      <c r="AM346" s="3">
        <v>303.10000000000002</v>
      </c>
      <c r="AN346" s="3">
        <v>338.3</v>
      </c>
      <c r="AO346" s="3">
        <v>166.2</v>
      </c>
      <c r="AP346" s="3">
        <v>253.7</v>
      </c>
      <c r="AQ346" s="3">
        <v>327.39999999999998</v>
      </c>
      <c r="AR346" s="3">
        <v>203.5</v>
      </c>
      <c r="AS346" s="3">
        <v>646</v>
      </c>
      <c r="AT346" s="3">
        <v>460.8</v>
      </c>
      <c r="AU346" s="3">
        <v>357</v>
      </c>
      <c r="AV346" s="3">
        <v>241.5</v>
      </c>
      <c r="AW346" s="3">
        <v>343.3</v>
      </c>
      <c r="AX346" s="3">
        <v>327.8</v>
      </c>
      <c r="AY346" s="3">
        <v>494.9</v>
      </c>
      <c r="AZ346" s="3">
        <v>367.1</v>
      </c>
      <c r="BA346" s="3">
        <v>222.4</v>
      </c>
      <c r="BB346" s="3">
        <v>339.8</v>
      </c>
      <c r="BC346" s="3">
        <v>318.39999999999998</v>
      </c>
      <c r="BD346" s="3">
        <v>301.89999999999998</v>
      </c>
      <c r="BE346" s="3">
        <v>371</v>
      </c>
      <c r="BF346" s="3">
        <v>311.10000000000002</v>
      </c>
      <c r="BG346" s="3">
        <v>250.2</v>
      </c>
      <c r="BH346" s="3">
        <v>223.8</v>
      </c>
      <c r="BI346" s="3">
        <v>72.8</v>
      </c>
      <c r="BJ346" s="3">
        <v>197.2</v>
      </c>
      <c r="BK346" s="3">
        <v>209.8</v>
      </c>
      <c r="BL346" s="3">
        <v>233.3</v>
      </c>
      <c r="BM346" s="3">
        <v>397.2</v>
      </c>
      <c r="BN346" s="3">
        <v>101.3</v>
      </c>
      <c r="BO346" s="3">
        <v>381.1</v>
      </c>
      <c r="BP346" s="3">
        <v>443.6</v>
      </c>
      <c r="BQ346" s="3">
        <v>149.30000000000001</v>
      </c>
      <c r="BR346" s="3">
        <v>108.3</v>
      </c>
      <c r="BS346" s="3">
        <v>140.6</v>
      </c>
      <c r="BT346" s="3">
        <v>203.4</v>
      </c>
      <c r="BU346" s="3">
        <v>138.19999999999999</v>
      </c>
      <c r="BV346" s="3">
        <v>188.8</v>
      </c>
      <c r="BW346" s="3">
        <v>222.2</v>
      </c>
      <c r="BX346" s="3">
        <v>483.1</v>
      </c>
      <c r="BY346" s="3">
        <v>92.6</v>
      </c>
      <c r="BZ346" s="3">
        <v>409.1</v>
      </c>
      <c r="CA346" s="3">
        <v>320.7</v>
      </c>
      <c r="CB346" s="3">
        <v>578.29999999999995</v>
      </c>
      <c r="CC346" s="3">
        <v>384.1</v>
      </c>
      <c r="CD346" s="3">
        <v>395.2</v>
      </c>
      <c r="CE346" s="3">
        <v>341.4</v>
      </c>
      <c r="CF346" s="3">
        <v>7.1</v>
      </c>
      <c r="CG346" s="3">
        <v>108.1</v>
      </c>
      <c r="CH346" s="3">
        <v>84.9</v>
      </c>
      <c r="CI346" s="3">
        <v>367.8</v>
      </c>
      <c r="CJ346" s="3">
        <v>174</v>
      </c>
      <c r="CK346" s="3">
        <v>201.1</v>
      </c>
      <c r="CL346" s="3">
        <v>533</v>
      </c>
      <c r="CM346" s="3">
        <v>240.4</v>
      </c>
      <c r="CN346" s="3">
        <v>224.3</v>
      </c>
    </row>
    <row r="347" spans="1:92" x14ac:dyDescent="0.25">
      <c r="A347" s="4">
        <v>42278</v>
      </c>
      <c r="B347" s="3">
        <v>207.3</v>
      </c>
      <c r="C347" s="3">
        <v>203.4</v>
      </c>
      <c r="D347" s="3">
        <v>257.39999999999998</v>
      </c>
      <c r="E347" s="3">
        <v>219.7</v>
      </c>
      <c r="F347" s="3">
        <v>286.7</v>
      </c>
      <c r="G347" s="3">
        <v>302.39999999999998</v>
      </c>
      <c r="H347" s="3">
        <v>231.3</v>
      </c>
      <c r="I347" s="3">
        <v>214.3</v>
      </c>
      <c r="J347" s="3">
        <v>133.9</v>
      </c>
      <c r="K347" s="3">
        <v>182.1</v>
      </c>
      <c r="L347" s="3">
        <v>244.4</v>
      </c>
      <c r="M347" s="3">
        <v>255.7</v>
      </c>
      <c r="N347" s="3">
        <v>230.6</v>
      </c>
      <c r="O347" s="3">
        <v>304.89999999999998</v>
      </c>
      <c r="P347" s="3">
        <v>189.5</v>
      </c>
      <c r="Q347" s="3">
        <v>237.9</v>
      </c>
      <c r="R347" s="3">
        <v>228.6</v>
      </c>
      <c r="S347" s="3">
        <v>222.8</v>
      </c>
      <c r="T347" s="3">
        <v>187.1</v>
      </c>
      <c r="U347" s="3">
        <v>210.4</v>
      </c>
      <c r="V347" s="3">
        <v>169.5</v>
      </c>
      <c r="W347" s="3">
        <v>256.5</v>
      </c>
      <c r="X347" s="3">
        <v>182.1</v>
      </c>
      <c r="Y347" s="3">
        <v>290.7</v>
      </c>
      <c r="Z347" s="3">
        <v>224.5</v>
      </c>
      <c r="AA347" s="3">
        <v>222.4</v>
      </c>
      <c r="AB347" s="3">
        <v>211.4</v>
      </c>
      <c r="AC347" s="3">
        <v>174.1</v>
      </c>
      <c r="AD347" s="3">
        <v>152.6</v>
      </c>
      <c r="AE347" s="3">
        <v>247.5</v>
      </c>
      <c r="AF347" s="3">
        <v>209.5</v>
      </c>
      <c r="AG347" s="3">
        <v>198.2</v>
      </c>
      <c r="AH347" s="3">
        <v>264</v>
      </c>
      <c r="AI347" s="3">
        <v>186.2</v>
      </c>
      <c r="AJ347" s="3">
        <v>316.39999999999998</v>
      </c>
      <c r="AK347" s="3">
        <v>368.2</v>
      </c>
      <c r="AL347" s="3">
        <v>310.39999999999998</v>
      </c>
      <c r="AM347" s="3">
        <v>302.10000000000002</v>
      </c>
      <c r="AN347" s="3">
        <v>338.7</v>
      </c>
      <c r="AO347" s="3">
        <v>162.69999999999999</v>
      </c>
      <c r="AP347" s="3">
        <v>251.4</v>
      </c>
      <c r="AQ347" s="3">
        <v>327.7</v>
      </c>
      <c r="AR347" s="3">
        <v>198.8</v>
      </c>
      <c r="AS347" s="3">
        <v>652.20000000000005</v>
      </c>
      <c r="AT347" s="3">
        <v>464.5</v>
      </c>
      <c r="AU347" s="3">
        <v>358</v>
      </c>
      <c r="AV347" s="3">
        <v>240.9</v>
      </c>
      <c r="AW347" s="3">
        <v>345.5</v>
      </c>
      <c r="AX347" s="3">
        <v>327.8</v>
      </c>
      <c r="AY347" s="3">
        <v>494.9</v>
      </c>
      <c r="AZ347" s="3">
        <v>368.2</v>
      </c>
      <c r="BA347" s="3">
        <v>222.4</v>
      </c>
      <c r="BB347" s="3">
        <v>340.1</v>
      </c>
      <c r="BC347" s="3">
        <v>322.5</v>
      </c>
      <c r="BD347" s="3">
        <v>301.89999999999998</v>
      </c>
      <c r="BE347" s="3">
        <v>371</v>
      </c>
      <c r="BF347" s="3">
        <v>311</v>
      </c>
      <c r="BG347" s="3">
        <v>240.3</v>
      </c>
      <c r="BH347" s="3">
        <v>222.7</v>
      </c>
      <c r="BI347" s="3">
        <v>74</v>
      </c>
      <c r="BJ347" s="3">
        <v>199.3</v>
      </c>
      <c r="BK347" s="3">
        <v>209.7</v>
      </c>
      <c r="BL347" s="3">
        <v>236.1</v>
      </c>
      <c r="BM347" s="3">
        <v>397.2</v>
      </c>
      <c r="BN347" s="3">
        <v>101.8</v>
      </c>
      <c r="BO347" s="3">
        <v>381.3</v>
      </c>
      <c r="BP347" s="3">
        <v>449.4</v>
      </c>
      <c r="BQ347" s="3">
        <v>152.9</v>
      </c>
      <c r="BR347" s="3">
        <v>110.5</v>
      </c>
      <c r="BS347" s="3">
        <v>146.1</v>
      </c>
      <c r="BT347" s="3">
        <v>206.4</v>
      </c>
      <c r="BU347" s="3">
        <v>138.30000000000001</v>
      </c>
      <c r="BV347" s="3">
        <v>186.8</v>
      </c>
      <c r="BW347" s="3">
        <v>222.4</v>
      </c>
      <c r="BX347" s="3">
        <v>479.3</v>
      </c>
      <c r="BY347" s="3">
        <v>92.6</v>
      </c>
      <c r="BZ347" s="3">
        <v>409.5</v>
      </c>
      <c r="CA347" s="3">
        <v>318.2</v>
      </c>
      <c r="CB347" s="3">
        <v>585.6</v>
      </c>
      <c r="CC347" s="3">
        <v>383.2</v>
      </c>
      <c r="CD347" s="3">
        <v>390.7</v>
      </c>
      <c r="CE347" s="3">
        <v>317</v>
      </c>
      <c r="CF347" s="3">
        <v>7.2</v>
      </c>
      <c r="CG347" s="3">
        <v>111.2</v>
      </c>
      <c r="CH347" s="3">
        <v>86.6</v>
      </c>
      <c r="CI347" s="3">
        <v>372.7</v>
      </c>
      <c r="CJ347" s="3">
        <v>171.8</v>
      </c>
      <c r="CK347" s="3">
        <v>201.1</v>
      </c>
      <c r="CL347" s="3">
        <v>534.5</v>
      </c>
      <c r="CM347" s="3">
        <v>241.1</v>
      </c>
      <c r="CN347" s="3">
        <v>224.5</v>
      </c>
    </row>
    <row r="348" spans="1:92" x14ac:dyDescent="0.25">
      <c r="A348" s="4">
        <v>42309</v>
      </c>
      <c r="B348" s="3">
        <v>204.5</v>
      </c>
      <c r="C348" s="3">
        <v>203.9</v>
      </c>
      <c r="D348" s="3">
        <v>256.3</v>
      </c>
      <c r="E348" s="3">
        <v>220.7</v>
      </c>
      <c r="F348" s="3">
        <v>287</v>
      </c>
      <c r="G348" s="3">
        <v>298.89999999999998</v>
      </c>
      <c r="H348" s="3">
        <v>230.8</v>
      </c>
      <c r="I348" s="3">
        <v>209.9</v>
      </c>
      <c r="J348" s="3">
        <v>134.5</v>
      </c>
      <c r="K348" s="3">
        <v>182.5</v>
      </c>
      <c r="L348" s="3">
        <v>241</v>
      </c>
      <c r="M348" s="3">
        <v>255.2</v>
      </c>
      <c r="N348" s="3">
        <v>224.5</v>
      </c>
      <c r="O348" s="3">
        <v>326.39999999999998</v>
      </c>
      <c r="P348" s="3">
        <v>186.5</v>
      </c>
      <c r="Q348" s="3">
        <v>241.3</v>
      </c>
      <c r="R348" s="3">
        <v>228.4</v>
      </c>
      <c r="S348" s="3">
        <v>219.5</v>
      </c>
      <c r="T348" s="3">
        <v>185.1</v>
      </c>
      <c r="U348" s="3">
        <v>209.9</v>
      </c>
      <c r="V348" s="3">
        <v>168.8</v>
      </c>
      <c r="W348" s="3">
        <v>255.4</v>
      </c>
      <c r="X348" s="3">
        <v>178.2</v>
      </c>
      <c r="Y348" s="3">
        <v>292.7</v>
      </c>
      <c r="Z348" s="3">
        <v>227</v>
      </c>
      <c r="AA348" s="3">
        <v>223.3</v>
      </c>
      <c r="AB348" s="3">
        <v>215</v>
      </c>
      <c r="AC348" s="3">
        <v>173.3</v>
      </c>
      <c r="AD348" s="3">
        <v>151.19999999999999</v>
      </c>
      <c r="AE348" s="3">
        <v>249.4</v>
      </c>
      <c r="AF348" s="3">
        <v>213.7</v>
      </c>
      <c r="AG348" s="3">
        <v>203.5</v>
      </c>
      <c r="AH348" s="3">
        <v>264.7</v>
      </c>
      <c r="AI348" s="3">
        <v>187.3</v>
      </c>
      <c r="AJ348" s="3">
        <v>316.89999999999998</v>
      </c>
      <c r="AK348" s="3">
        <v>368.5</v>
      </c>
      <c r="AL348" s="3">
        <v>310.39999999999998</v>
      </c>
      <c r="AM348" s="3">
        <v>301.10000000000002</v>
      </c>
      <c r="AN348" s="3">
        <v>339.2</v>
      </c>
      <c r="AO348" s="3">
        <v>159.19999999999999</v>
      </c>
      <c r="AP348" s="3">
        <v>250.7</v>
      </c>
      <c r="AQ348" s="3">
        <v>328.4</v>
      </c>
      <c r="AR348" s="3">
        <v>197</v>
      </c>
      <c r="AS348" s="3">
        <v>657</v>
      </c>
      <c r="AT348" s="3">
        <v>470</v>
      </c>
      <c r="AU348" s="3">
        <v>358.7</v>
      </c>
      <c r="AV348" s="3">
        <v>240.9</v>
      </c>
      <c r="AW348" s="3">
        <v>347.6</v>
      </c>
      <c r="AX348" s="3">
        <v>327.8</v>
      </c>
      <c r="AY348" s="3">
        <v>494.9</v>
      </c>
      <c r="AZ348" s="3">
        <v>368.3</v>
      </c>
      <c r="BA348" s="3">
        <v>224.8</v>
      </c>
      <c r="BB348" s="3">
        <v>346.5</v>
      </c>
      <c r="BC348" s="3">
        <v>323.10000000000002</v>
      </c>
      <c r="BD348" s="3">
        <v>301.89999999999998</v>
      </c>
      <c r="BE348" s="3">
        <v>371</v>
      </c>
      <c r="BF348" s="3">
        <v>302.39999999999998</v>
      </c>
      <c r="BG348" s="3">
        <v>241.1</v>
      </c>
      <c r="BH348" s="3">
        <v>224.3</v>
      </c>
      <c r="BI348" s="3">
        <v>72.2</v>
      </c>
      <c r="BJ348" s="3">
        <v>198.7</v>
      </c>
      <c r="BK348" s="3">
        <v>205.7</v>
      </c>
      <c r="BL348" s="3">
        <v>234</v>
      </c>
      <c r="BM348" s="3">
        <v>397.2</v>
      </c>
      <c r="BN348" s="3">
        <v>102.6</v>
      </c>
      <c r="BO348" s="3">
        <v>382.5</v>
      </c>
      <c r="BP348" s="3">
        <v>452.2</v>
      </c>
      <c r="BQ348" s="3">
        <v>152</v>
      </c>
      <c r="BR348" s="3">
        <v>110.5</v>
      </c>
      <c r="BS348" s="3">
        <v>147.80000000000001</v>
      </c>
      <c r="BT348" s="3">
        <v>205.7</v>
      </c>
      <c r="BU348" s="3">
        <v>138.80000000000001</v>
      </c>
      <c r="BV348" s="3">
        <v>188.3</v>
      </c>
      <c r="BW348" s="3">
        <v>222.1</v>
      </c>
      <c r="BX348" s="3">
        <v>480</v>
      </c>
      <c r="BY348" s="3">
        <v>93.4</v>
      </c>
      <c r="BZ348" s="3">
        <v>410</v>
      </c>
      <c r="CA348" s="3">
        <v>314</v>
      </c>
      <c r="CB348" s="3">
        <v>604.29999999999995</v>
      </c>
      <c r="CC348" s="3">
        <v>383</v>
      </c>
      <c r="CD348" s="3">
        <v>393.5</v>
      </c>
      <c r="CE348" s="3">
        <v>296.3</v>
      </c>
      <c r="CF348" s="3">
        <v>7</v>
      </c>
      <c r="CG348" s="3">
        <v>114.3</v>
      </c>
      <c r="CH348" s="3">
        <v>86.2</v>
      </c>
      <c r="CI348" s="3">
        <v>372.8</v>
      </c>
      <c r="CJ348" s="3">
        <v>171.5</v>
      </c>
      <c r="CK348" s="3">
        <v>201.1</v>
      </c>
      <c r="CL348" s="3">
        <v>536.6</v>
      </c>
      <c r="CM348" s="3">
        <v>241.2</v>
      </c>
      <c r="CN348" s="3">
        <v>225.5</v>
      </c>
    </row>
    <row r="349" spans="1:92" x14ac:dyDescent="0.25">
      <c r="A349" s="4">
        <v>42339</v>
      </c>
      <c r="B349" s="3">
        <v>207.3</v>
      </c>
      <c r="C349" s="3">
        <v>204.9</v>
      </c>
      <c r="D349" s="3">
        <v>257.10000000000002</v>
      </c>
      <c r="E349" s="3">
        <v>217.8</v>
      </c>
      <c r="F349" s="3">
        <v>292.89999999999998</v>
      </c>
      <c r="G349" s="3">
        <v>319</v>
      </c>
      <c r="H349" s="3">
        <v>220.3</v>
      </c>
      <c r="I349" s="3">
        <v>210.4</v>
      </c>
      <c r="J349" s="3">
        <v>133.30000000000001</v>
      </c>
      <c r="K349" s="3">
        <v>184.6</v>
      </c>
      <c r="L349" s="3">
        <v>244.2</v>
      </c>
      <c r="M349" s="3">
        <v>259</v>
      </c>
      <c r="N349" s="3">
        <v>227.2</v>
      </c>
      <c r="O349" s="3">
        <v>315.2</v>
      </c>
      <c r="P349" s="3">
        <v>178.3</v>
      </c>
      <c r="Q349" s="3">
        <v>241.7</v>
      </c>
      <c r="R349" s="3">
        <v>228.2</v>
      </c>
      <c r="S349" s="3">
        <v>221.2</v>
      </c>
      <c r="T349" s="3">
        <v>189.8</v>
      </c>
      <c r="U349" s="3">
        <v>208</v>
      </c>
      <c r="V349" s="3">
        <v>166.8</v>
      </c>
      <c r="W349" s="3">
        <v>250.7</v>
      </c>
      <c r="X349" s="3">
        <v>180.7</v>
      </c>
      <c r="Y349" s="3">
        <v>290.3</v>
      </c>
      <c r="Z349" s="3">
        <v>217.2</v>
      </c>
      <c r="AA349" s="3">
        <v>218.5</v>
      </c>
      <c r="AB349" s="3">
        <v>202.3</v>
      </c>
      <c r="AC349" s="3">
        <v>172.7</v>
      </c>
      <c r="AD349" s="3">
        <v>149.69999999999999</v>
      </c>
      <c r="AE349" s="3">
        <v>253.2</v>
      </c>
      <c r="AF349" s="3">
        <v>215.9</v>
      </c>
      <c r="AG349" s="3">
        <v>206.5</v>
      </c>
      <c r="AH349" s="3">
        <v>263.7</v>
      </c>
      <c r="AI349" s="3">
        <v>190.5</v>
      </c>
      <c r="AJ349" s="3">
        <v>318.10000000000002</v>
      </c>
      <c r="AK349" s="3">
        <v>368.3</v>
      </c>
      <c r="AL349" s="3">
        <v>311.2</v>
      </c>
      <c r="AM349" s="3">
        <v>301.3</v>
      </c>
      <c r="AN349" s="3">
        <v>340.5</v>
      </c>
      <c r="AO349" s="3">
        <v>157.30000000000001</v>
      </c>
      <c r="AP349" s="3">
        <v>247.4</v>
      </c>
      <c r="AQ349" s="3">
        <v>331</v>
      </c>
      <c r="AR349" s="3">
        <v>188.6</v>
      </c>
      <c r="AS349" s="3">
        <v>656.5</v>
      </c>
      <c r="AT349" s="3">
        <v>471.1</v>
      </c>
      <c r="AU349" s="3">
        <v>359</v>
      </c>
      <c r="AV349" s="3">
        <v>240.1</v>
      </c>
      <c r="AW349" s="3">
        <v>349.7</v>
      </c>
      <c r="AX349" s="3">
        <v>327.8</v>
      </c>
      <c r="AY349" s="3">
        <v>494.9</v>
      </c>
      <c r="AZ349" s="3">
        <v>368.7</v>
      </c>
      <c r="BA349" s="3">
        <v>225.3</v>
      </c>
      <c r="BB349" s="3">
        <v>347.1</v>
      </c>
      <c r="BC349" s="3">
        <v>323.2</v>
      </c>
      <c r="BD349" s="3">
        <v>301.89999999999998</v>
      </c>
      <c r="BE349" s="3">
        <v>371</v>
      </c>
      <c r="BF349" s="3">
        <v>283</v>
      </c>
      <c r="BG349" s="3">
        <v>247.3</v>
      </c>
      <c r="BH349" s="3">
        <v>225.6</v>
      </c>
      <c r="BI349" s="3">
        <v>72.5</v>
      </c>
      <c r="BJ349" s="3">
        <v>200.1</v>
      </c>
      <c r="BK349" s="3">
        <v>209.8</v>
      </c>
      <c r="BL349" s="3">
        <v>235.3</v>
      </c>
      <c r="BM349" s="3">
        <v>397.2</v>
      </c>
      <c r="BN349" s="3">
        <v>103.3</v>
      </c>
      <c r="BO349" s="3">
        <v>384</v>
      </c>
      <c r="BP349" s="3">
        <v>452.3</v>
      </c>
      <c r="BQ349" s="3">
        <v>151.5</v>
      </c>
      <c r="BR349" s="3">
        <v>108</v>
      </c>
      <c r="BS349" s="3">
        <v>145.4</v>
      </c>
      <c r="BT349" s="3">
        <v>205.3</v>
      </c>
      <c r="BU349" s="3">
        <v>137.30000000000001</v>
      </c>
      <c r="BV349" s="3">
        <v>189.2</v>
      </c>
      <c r="BW349" s="3">
        <v>219.5</v>
      </c>
      <c r="BX349" s="3">
        <v>480.5</v>
      </c>
      <c r="BY349" s="3">
        <v>93.4</v>
      </c>
      <c r="BZ349" s="3">
        <v>410.7</v>
      </c>
      <c r="CA349" s="3">
        <v>306</v>
      </c>
      <c r="CB349" s="3">
        <v>608.70000000000005</v>
      </c>
      <c r="CC349" s="3">
        <v>383</v>
      </c>
      <c r="CD349" s="3">
        <v>406.6</v>
      </c>
      <c r="CE349" s="3">
        <v>363</v>
      </c>
      <c r="CF349" s="3">
        <v>6.9</v>
      </c>
      <c r="CG349" s="3">
        <v>114.1</v>
      </c>
      <c r="CH349" s="3">
        <v>85.3</v>
      </c>
      <c r="CI349" s="3">
        <v>374.8</v>
      </c>
      <c r="CJ349" s="3">
        <v>174.2</v>
      </c>
      <c r="CK349" s="3">
        <v>201.1</v>
      </c>
      <c r="CL349" s="3">
        <v>534.9</v>
      </c>
      <c r="CM349" s="3">
        <v>241.4</v>
      </c>
      <c r="CN349" s="3">
        <v>222.9</v>
      </c>
    </row>
    <row r="350" spans="1:92" x14ac:dyDescent="0.25">
      <c r="A350" s="4">
        <v>42370</v>
      </c>
      <c r="B350" s="3">
        <v>202.8</v>
      </c>
      <c r="C350" s="3">
        <v>199.4</v>
      </c>
      <c r="D350" s="3">
        <v>256.7</v>
      </c>
      <c r="E350" s="3">
        <v>218</v>
      </c>
      <c r="F350" s="3">
        <v>291.8</v>
      </c>
      <c r="G350" s="3">
        <v>313.7</v>
      </c>
      <c r="H350" s="3">
        <v>224.9</v>
      </c>
      <c r="I350" s="3">
        <v>211.7</v>
      </c>
      <c r="J350" s="3">
        <v>131.19999999999999</v>
      </c>
      <c r="K350" s="3">
        <v>183.5</v>
      </c>
      <c r="L350" s="3">
        <v>238.2</v>
      </c>
      <c r="M350" s="3">
        <v>251.9</v>
      </c>
      <c r="N350" s="3">
        <v>222.2</v>
      </c>
      <c r="O350" s="3">
        <v>309.2</v>
      </c>
      <c r="P350" s="3">
        <v>193.6</v>
      </c>
      <c r="Q350" s="3">
        <v>237.2</v>
      </c>
      <c r="R350" s="3">
        <v>228</v>
      </c>
      <c r="S350" s="3">
        <v>220.8</v>
      </c>
      <c r="T350" s="3">
        <v>187.3</v>
      </c>
      <c r="U350" s="3">
        <v>207.6</v>
      </c>
      <c r="V350" s="3">
        <v>170.6</v>
      </c>
      <c r="W350" s="3">
        <v>254.4</v>
      </c>
      <c r="X350" s="3">
        <v>176.6</v>
      </c>
      <c r="Y350" s="3">
        <v>293.8</v>
      </c>
      <c r="Z350" s="3">
        <v>222.3</v>
      </c>
      <c r="AA350" s="3">
        <v>223.2</v>
      </c>
      <c r="AB350" s="3">
        <v>207.3</v>
      </c>
      <c r="AC350" s="3">
        <v>170.6</v>
      </c>
      <c r="AD350" s="3">
        <v>150.19999999999999</v>
      </c>
      <c r="AE350" s="3">
        <v>238.8</v>
      </c>
      <c r="AF350" s="3">
        <v>210.2</v>
      </c>
      <c r="AG350" s="3">
        <v>199.8</v>
      </c>
      <c r="AH350" s="3">
        <v>261.5</v>
      </c>
      <c r="AI350" s="3">
        <v>185.2</v>
      </c>
      <c r="AJ350" s="3">
        <v>318.39999999999998</v>
      </c>
      <c r="AK350" s="3">
        <v>369.4</v>
      </c>
      <c r="AL350" s="3">
        <v>311.8</v>
      </c>
      <c r="AM350" s="3">
        <v>302.8</v>
      </c>
      <c r="AN350" s="3">
        <v>340</v>
      </c>
      <c r="AO350" s="3">
        <v>162.1</v>
      </c>
      <c r="AP350" s="3">
        <v>253.9</v>
      </c>
      <c r="AQ350" s="3">
        <v>330.6</v>
      </c>
      <c r="AR350" s="3">
        <v>201.1</v>
      </c>
      <c r="AS350" s="3">
        <v>656.9</v>
      </c>
      <c r="AT350" s="3">
        <v>471.9</v>
      </c>
      <c r="AU350" s="3">
        <v>359.4</v>
      </c>
      <c r="AV350" s="3">
        <v>240.2</v>
      </c>
      <c r="AW350" s="3">
        <v>351.2</v>
      </c>
      <c r="AX350" s="3">
        <v>327.8</v>
      </c>
      <c r="AY350" s="3">
        <v>494.9</v>
      </c>
      <c r="AZ350" s="3">
        <v>368.9</v>
      </c>
      <c r="BA350" s="3">
        <v>226</v>
      </c>
      <c r="BB350" s="3">
        <v>353.4</v>
      </c>
      <c r="BC350" s="3">
        <v>322.89999999999998</v>
      </c>
      <c r="BD350" s="3">
        <v>301.89999999999998</v>
      </c>
      <c r="BE350" s="3">
        <v>371</v>
      </c>
      <c r="BF350" s="3">
        <v>263.10000000000002</v>
      </c>
      <c r="BG350" s="3">
        <v>236.7</v>
      </c>
      <c r="BH350" s="3">
        <v>219.5</v>
      </c>
      <c r="BI350" s="3">
        <v>72</v>
      </c>
      <c r="BJ350" s="3">
        <v>195.3</v>
      </c>
      <c r="BK350" s="3">
        <v>206.8</v>
      </c>
      <c r="BL350" s="3">
        <v>233.6</v>
      </c>
      <c r="BM350" s="3">
        <v>397.2</v>
      </c>
      <c r="BN350" s="3">
        <v>102.8</v>
      </c>
      <c r="BO350" s="3">
        <v>384.8</v>
      </c>
      <c r="BP350" s="3">
        <v>453.1</v>
      </c>
      <c r="BQ350" s="3">
        <v>148.1</v>
      </c>
      <c r="BR350" s="3">
        <v>102.4</v>
      </c>
      <c r="BS350" s="3">
        <v>143.5</v>
      </c>
      <c r="BT350" s="3">
        <v>203.1</v>
      </c>
      <c r="BU350" s="3">
        <v>136.19999999999999</v>
      </c>
      <c r="BV350" s="3">
        <v>186.4</v>
      </c>
      <c r="BW350" s="3">
        <v>222.5</v>
      </c>
      <c r="BX350" s="3">
        <v>488</v>
      </c>
      <c r="BY350" s="3">
        <v>93.7</v>
      </c>
      <c r="BZ350" s="3">
        <v>411.5</v>
      </c>
      <c r="CA350" s="3">
        <v>297.60000000000002</v>
      </c>
      <c r="CB350" s="3">
        <v>612.1</v>
      </c>
      <c r="CC350" s="3">
        <v>384.5</v>
      </c>
      <c r="CD350" s="3">
        <v>399.7</v>
      </c>
      <c r="CE350" s="3">
        <v>290.10000000000002</v>
      </c>
      <c r="CF350" s="3">
        <v>6.8</v>
      </c>
      <c r="CG350" s="3">
        <v>108.5</v>
      </c>
      <c r="CH350" s="3">
        <v>85.1</v>
      </c>
      <c r="CI350" s="3">
        <v>370.7</v>
      </c>
      <c r="CJ350" s="3">
        <v>171.3</v>
      </c>
      <c r="CK350" s="3">
        <v>201.1</v>
      </c>
      <c r="CL350" s="3">
        <v>523.5</v>
      </c>
      <c r="CM350" s="3">
        <v>241.6</v>
      </c>
      <c r="CN350" s="3">
        <v>221.2</v>
      </c>
    </row>
    <row r="351" spans="1:92" x14ac:dyDescent="0.25">
      <c r="A351" s="4">
        <v>42401</v>
      </c>
      <c r="B351" s="3">
        <v>207</v>
      </c>
      <c r="C351" s="3">
        <v>202</v>
      </c>
      <c r="D351" s="3">
        <v>252.3</v>
      </c>
      <c r="E351" s="3">
        <v>220.7</v>
      </c>
      <c r="F351" s="3">
        <v>295.89999999999998</v>
      </c>
      <c r="G351" s="3">
        <v>321</v>
      </c>
      <c r="H351" s="3">
        <v>222.7</v>
      </c>
      <c r="I351" s="3">
        <v>205.8</v>
      </c>
      <c r="J351" s="3">
        <v>131</v>
      </c>
      <c r="K351" s="3">
        <v>182.8</v>
      </c>
      <c r="L351" s="3">
        <v>245.4</v>
      </c>
      <c r="M351" s="3">
        <v>257.3</v>
      </c>
      <c r="N351" s="3">
        <v>230.8</v>
      </c>
      <c r="O351" s="3">
        <v>307.5</v>
      </c>
      <c r="P351" s="3">
        <v>196.3</v>
      </c>
      <c r="Q351" s="3">
        <v>240.7</v>
      </c>
      <c r="R351" s="3">
        <v>226.5</v>
      </c>
      <c r="S351" s="3">
        <v>221.3</v>
      </c>
      <c r="T351" s="3">
        <v>181.1</v>
      </c>
      <c r="U351" s="3">
        <v>210.8</v>
      </c>
      <c r="V351" s="3">
        <v>168.9</v>
      </c>
      <c r="W351" s="3">
        <v>256.3</v>
      </c>
      <c r="X351" s="3">
        <v>178.6</v>
      </c>
      <c r="Y351" s="3">
        <v>286.10000000000002</v>
      </c>
      <c r="Z351" s="3">
        <v>230.8</v>
      </c>
      <c r="AA351" s="3">
        <v>223.2</v>
      </c>
      <c r="AB351" s="3">
        <v>219.2</v>
      </c>
      <c r="AC351" s="3">
        <v>171.8</v>
      </c>
      <c r="AD351" s="3">
        <v>149.1</v>
      </c>
      <c r="AE351" s="3">
        <v>250.9</v>
      </c>
      <c r="AF351" s="3">
        <v>210.1</v>
      </c>
      <c r="AG351" s="3">
        <v>199.5</v>
      </c>
      <c r="AH351" s="3">
        <v>263.5</v>
      </c>
      <c r="AI351" s="3">
        <v>188.1</v>
      </c>
      <c r="AJ351" s="3">
        <v>319.10000000000002</v>
      </c>
      <c r="AK351" s="3">
        <v>369.5</v>
      </c>
      <c r="AL351" s="3">
        <v>312.3</v>
      </c>
      <c r="AM351" s="3">
        <v>303.60000000000002</v>
      </c>
      <c r="AN351" s="3">
        <v>341</v>
      </c>
      <c r="AO351" s="3">
        <v>162.5</v>
      </c>
      <c r="AP351" s="3">
        <v>251.7</v>
      </c>
      <c r="AQ351" s="3">
        <v>331.5</v>
      </c>
      <c r="AR351" s="3">
        <v>196.3</v>
      </c>
      <c r="AS351" s="3">
        <v>659</v>
      </c>
      <c r="AT351" s="3">
        <v>472.5</v>
      </c>
      <c r="AU351" s="3">
        <v>359.9</v>
      </c>
      <c r="AV351" s="3">
        <v>240</v>
      </c>
      <c r="AW351" s="3">
        <v>352.2</v>
      </c>
      <c r="AX351" s="3">
        <v>327.8</v>
      </c>
      <c r="AY351" s="3">
        <v>494.9</v>
      </c>
      <c r="AZ351" s="3">
        <v>369.3</v>
      </c>
      <c r="BA351" s="3">
        <v>226.1</v>
      </c>
      <c r="BB351" s="3">
        <v>354.4</v>
      </c>
      <c r="BC351" s="3">
        <v>323.2</v>
      </c>
      <c r="BD351" s="3">
        <v>301.89999999999998</v>
      </c>
      <c r="BE351" s="3">
        <v>368.3</v>
      </c>
      <c r="BF351" s="3">
        <v>254.1</v>
      </c>
      <c r="BG351" s="3">
        <v>246.9</v>
      </c>
      <c r="BH351" s="3">
        <v>224.9</v>
      </c>
      <c r="BI351" s="3">
        <v>74</v>
      </c>
      <c r="BJ351" s="3">
        <v>197.8</v>
      </c>
      <c r="BK351" s="3">
        <v>208.5</v>
      </c>
      <c r="BL351" s="3">
        <v>231.9</v>
      </c>
      <c r="BM351" s="3">
        <v>397.2</v>
      </c>
      <c r="BN351" s="3">
        <v>103.5</v>
      </c>
      <c r="BO351" s="3">
        <v>385.8</v>
      </c>
      <c r="BP351" s="3">
        <v>454.5</v>
      </c>
      <c r="BQ351" s="3">
        <v>151.4</v>
      </c>
      <c r="BR351" s="3">
        <v>110.4</v>
      </c>
      <c r="BS351" s="3">
        <v>145.9</v>
      </c>
      <c r="BT351" s="3">
        <v>206.8</v>
      </c>
      <c r="BU351" s="3">
        <v>139.80000000000001</v>
      </c>
      <c r="BV351" s="3">
        <v>190.3</v>
      </c>
      <c r="BW351" s="3">
        <v>220.6</v>
      </c>
      <c r="BX351" s="3">
        <v>488.1</v>
      </c>
      <c r="BY351" s="3">
        <v>93</v>
      </c>
      <c r="BZ351" s="3">
        <v>412</v>
      </c>
      <c r="CA351" s="3">
        <v>294.60000000000002</v>
      </c>
      <c r="CB351" s="3">
        <v>624.29999999999995</v>
      </c>
      <c r="CC351" s="3">
        <v>386.5</v>
      </c>
      <c r="CD351" s="3">
        <v>397</v>
      </c>
      <c r="CE351" s="3">
        <v>298.7</v>
      </c>
      <c r="CF351" s="3">
        <v>6.9</v>
      </c>
      <c r="CG351" s="3">
        <v>111.1</v>
      </c>
      <c r="CH351" s="3">
        <v>85.2</v>
      </c>
      <c r="CI351" s="3">
        <v>375.2</v>
      </c>
      <c r="CJ351" s="3">
        <v>176.1</v>
      </c>
      <c r="CK351" s="3">
        <v>201.1</v>
      </c>
      <c r="CL351" s="3">
        <v>527.29999999999995</v>
      </c>
      <c r="CM351" s="3">
        <v>241.4</v>
      </c>
      <c r="CN351" s="3">
        <v>223.8</v>
      </c>
    </row>
    <row r="352" spans="1:92" x14ac:dyDescent="0.25">
      <c r="A352" s="4">
        <v>42430</v>
      </c>
      <c r="B352" s="3">
        <v>203.4</v>
      </c>
      <c r="C352" s="3">
        <v>203</v>
      </c>
      <c r="D352" s="3">
        <v>255.1</v>
      </c>
      <c r="E352" s="3">
        <v>214</v>
      </c>
      <c r="F352" s="3">
        <v>289.60000000000002</v>
      </c>
      <c r="G352" s="3">
        <v>305.7</v>
      </c>
      <c r="H352" s="3">
        <v>224.3</v>
      </c>
      <c r="I352" s="3">
        <v>201.2</v>
      </c>
      <c r="J352" s="3">
        <v>130.6</v>
      </c>
      <c r="K352" s="3">
        <v>183.1</v>
      </c>
      <c r="L352" s="3">
        <v>241.9</v>
      </c>
      <c r="M352" s="3">
        <v>249.6</v>
      </c>
      <c r="N352" s="3">
        <v>231</v>
      </c>
      <c r="O352" s="3">
        <v>297.8</v>
      </c>
      <c r="P352" s="3">
        <v>167.9</v>
      </c>
      <c r="Q352" s="3">
        <v>239.7</v>
      </c>
      <c r="R352" s="3">
        <v>211.8</v>
      </c>
      <c r="S352" s="3">
        <v>220.3</v>
      </c>
      <c r="T352" s="3">
        <v>186.8</v>
      </c>
      <c r="U352" s="3">
        <v>210.4</v>
      </c>
      <c r="V352" s="3">
        <v>170.2</v>
      </c>
      <c r="W352" s="3">
        <v>256.5</v>
      </c>
      <c r="X352" s="3">
        <v>174.8</v>
      </c>
      <c r="Y352" s="3">
        <v>283.3</v>
      </c>
      <c r="Z352" s="3">
        <v>221.7</v>
      </c>
      <c r="AA352" s="3">
        <v>217.9</v>
      </c>
      <c r="AB352" s="3">
        <v>209</v>
      </c>
      <c r="AC352" s="3">
        <v>170.3</v>
      </c>
      <c r="AD352" s="3">
        <v>149.80000000000001</v>
      </c>
      <c r="AE352" s="3">
        <v>239.4</v>
      </c>
      <c r="AF352" s="3">
        <v>214.7</v>
      </c>
      <c r="AG352" s="3">
        <v>204.3</v>
      </c>
      <c r="AH352" s="3">
        <v>265.10000000000002</v>
      </c>
      <c r="AI352" s="3">
        <v>189</v>
      </c>
      <c r="AJ352" s="3">
        <v>320</v>
      </c>
      <c r="AK352" s="3">
        <v>369.7</v>
      </c>
      <c r="AL352" s="3">
        <v>312.89999999999998</v>
      </c>
      <c r="AM352" s="3">
        <v>303</v>
      </c>
      <c r="AN352" s="3">
        <v>342.7</v>
      </c>
      <c r="AO352" s="3">
        <v>157.69999999999999</v>
      </c>
      <c r="AP352" s="3">
        <v>252.6</v>
      </c>
      <c r="AQ352" s="3">
        <v>333.8</v>
      </c>
      <c r="AR352" s="3">
        <v>196.2</v>
      </c>
      <c r="AS352" s="3">
        <v>660.2</v>
      </c>
      <c r="AT352" s="3">
        <v>473.2</v>
      </c>
      <c r="AU352" s="3">
        <v>360.4</v>
      </c>
      <c r="AV352" s="3">
        <v>239.7</v>
      </c>
      <c r="AW352" s="3">
        <v>353.3</v>
      </c>
      <c r="AX352" s="3">
        <v>327.8</v>
      </c>
      <c r="AY352" s="3">
        <v>494.9</v>
      </c>
      <c r="AZ352" s="3">
        <v>369.5</v>
      </c>
      <c r="BA352" s="3">
        <v>227.2</v>
      </c>
      <c r="BB352" s="3">
        <v>350.5</v>
      </c>
      <c r="BC352" s="3">
        <v>322.60000000000002</v>
      </c>
      <c r="BD352" s="3">
        <v>301.89999999999998</v>
      </c>
      <c r="BE352" s="3">
        <v>358.4</v>
      </c>
      <c r="BF352" s="3">
        <v>271</v>
      </c>
      <c r="BG352" s="3">
        <v>252.8</v>
      </c>
      <c r="BH352" s="3">
        <v>229.2</v>
      </c>
      <c r="BI352" s="3">
        <v>73.900000000000006</v>
      </c>
      <c r="BJ352" s="3">
        <v>197.5</v>
      </c>
      <c r="BK352" s="3">
        <v>208.3</v>
      </c>
      <c r="BL352" s="3">
        <v>232.9</v>
      </c>
      <c r="BM352" s="3">
        <v>397.2</v>
      </c>
      <c r="BN352" s="3">
        <v>103.2</v>
      </c>
      <c r="BO352" s="3">
        <v>386.1</v>
      </c>
      <c r="BP352" s="3">
        <v>451.5</v>
      </c>
      <c r="BQ352" s="3">
        <v>153.30000000000001</v>
      </c>
      <c r="BR352" s="3">
        <v>113.5</v>
      </c>
      <c r="BS352" s="3">
        <v>148.9</v>
      </c>
      <c r="BT352" s="3">
        <v>209.5</v>
      </c>
      <c r="BU352" s="3">
        <v>142.4</v>
      </c>
      <c r="BV352" s="3">
        <v>189.7</v>
      </c>
      <c r="BW352" s="3">
        <v>221.5</v>
      </c>
      <c r="BX352" s="3">
        <v>489.3</v>
      </c>
      <c r="BY352" s="3">
        <v>93</v>
      </c>
      <c r="BZ352" s="3">
        <v>413.4</v>
      </c>
      <c r="CA352" s="3">
        <v>296.39999999999998</v>
      </c>
      <c r="CB352" s="3">
        <v>629.79999999999995</v>
      </c>
      <c r="CC352" s="3">
        <v>390.1</v>
      </c>
      <c r="CD352" s="3">
        <v>395.7</v>
      </c>
      <c r="CE352" s="3">
        <v>338.1</v>
      </c>
      <c r="CF352" s="3">
        <v>6.9</v>
      </c>
      <c r="CG352" s="3">
        <v>113.6</v>
      </c>
      <c r="CH352" s="3">
        <v>86.5</v>
      </c>
      <c r="CI352" s="3">
        <v>371.4</v>
      </c>
      <c r="CJ352" s="3">
        <v>175.3</v>
      </c>
      <c r="CK352" s="3">
        <v>201.1</v>
      </c>
      <c r="CL352" s="3">
        <v>528.6</v>
      </c>
      <c r="CM352" s="3">
        <v>241.2</v>
      </c>
      <c r="CN352" s="3">
        <v>225.4</v>
      </c>
    </row>
    <row r="353" spans="1:92" x14ac:dyDescent="0.25">
      <c r="A353" s="4">
        <v>42461</v>
      </c>
      <c r="B353" s="3">
        <v>202.8</v>
      </c>
      <c r="C353" s="3">
        <v>200.5</v>
      </c>
      <c r="D353" s="3">
        <v>252.3</v>
      </c>
      <c r="E353" s="3">
        <v>213.4</v>
      </c>
      <c r="F353" s="3">
        <v>291.5</v>
      </c>
      <c r="G353" s="3">
        <v>316.8</v>
      </c>
      <c r="H353" s="3">
        <v>222.2</v>
      </c>
      <c r="I353" s="3">
        <v>203.8</v>
      </c>
      <c r="J353" s="3">
        <v>127.2</v>
      </c>
      <c r="K353" s="3">
        <v>181.7</v>
      </c>
      <c r="L353" s="3">
        <v>242.2</v>
      </c>
      <c r="M353" s="3">
        <v>248.2</v>
      </c>
      <c r="N353" s="3">
        <v>232.9</v>
      </c>
      <c r="O353" s="3">
        <v>310.3</v>
      </c>
      <c r="P353" s="3">
        <v>193</v>
      </c>
      <c r="Q353" s="3">
        <v>234.7</v>
      </c>
      <c r="R353" s="3">
        <v>211.4</v>
      </c>
      <c r="S353" s="3">
        <v>222.3</v>
      </c>
      <c r="T353" s="3">
        <v>179.9</v>
      </c>
      <c r="U353" s="3">
        <v>214.5</v>
      </c>
      <c r="V353" s="3">
        <v>167.4</v>
      </c>
      <c r="W353" s="3">
        <v>253</v>
      </c>
      <c r="X353" s="3">
        <v>175.2</v>
      </c>
      <c r="Y353" s="3">
        <v>293</v>
      </c>
      <c r="Z353" s="3">
        <v>223.9</v>
      </c>
      <c r="AA353" s="3">
        <v>218.2</v>
      </c>
      <c r="AB353" s="3">
        <v>211.9</v>
      </c>
      <c r="AC353" s="3">
        <v>168.7</v>
      </c>
      <c r="AD353" s="3">
        <v>148</v>
      </c>
      <c r="AE353" s="3">
        <v>238.8</v>
      </c>
      <c r="AF353" s="3">
        <v>210.5</v>
      </c>
      <c r="AG353" s="3">
        <v>199.9</v>
      </c>
      <c r="AH353" s="3">
        <v>263.60000000000002</v>
      </c>
      <c r="AI353" s="3">
        <v>191.2</v>
      </c>
      <c r="AJ353" s="3">
        <v>321.10000000000002</v>
      </c>
      <c r="AK353" s="3">
        <v>370.6</v>
      </c>
      <c r="AL353" s="3">
        <v>313.2</v>
      </c>
      <c r="AM353" s="3">
        <v>304.3</v>
      </c>
      <c r="AN353" s="3">
        <v>344</v>
      </c>
      <c r="AO353" s="3">
        <v>159</v>
      </c>
      <c r="AP353" s="3">
        <v>252.1</v>
      </c>
      <c r="AQ353" s="3">
        <v>335</v>
      </c>
      <c r="AR353" s="3">
        <v>194.3</v>
      </c>
      <c r="AS353" s="3">
        <v>671.9</v>
      </c>
      <c r="AT353" s="3">
        <v>481</v>
      </c>
      <c r="AU353" s="3">
        <v>359.9</v>
      </c>
      <c r="AV353" s="3">
        <v>239.4</v>
      </c>
      <c r="AW353" s="3">
        <v>356.7</v>
      </c>
      <c r="AX353" s="3">
        <v>337.1</v>
      </c>
      <c r="AY353" s="3">
        <v>501.9</v>
      </c>
      <c r="AZ353" s="3">
        <v>369.5</v>
      </c>
      <c r="BA353" s="3">
        <v>225.5</v>
      </c>
      <c r="BB353" s="3">
        <v>350.7</v>
      </c>
      <c r="BC353" s="3">
        <v>323.5</v>
      </c>
      <c r="BD353" s="3">
        <v>301.3</v>
      </c>
      <c r="BE353" s="3">
        <v>353.5</v>
      </c>
      <c r="BF353" s="3">
        <v>276</v>
      </c>
      <c r="BG353" s="3">
        <v>245.9</v>
      </c>
      <c r="BH353" s="3">
        <v>226.7</v>
      </c>
      <c r="BI353" s="3">
        <v>72.400000000000006</v>
      </c>
      <c r="BJ353" s="3">
        <v>198.3</v>
      </c>
      <c r="BK353" s="3">
        <v>206.3</v>
      </c>
      <c r="BL353" s="3">
        <v>234</v>
      </c>
      <c r="BM353" s="3">
        <v>403.2</v>
      </c>
      <c r="BN353" s="3">
        <v>103.7</v>
      </c>
      <c r="BO353" s="3">
        <v>387.4</v>
      </c>
      <c r="BP353" s="3">
        <v>455.5</v>
      </c>
      <c r="BQ353" s="3">
        <v>154.6</v>
      </c>
      <c r="BR353" s="3">
        <v>113.2</v>
      </c>
      <c r="BS353" s="3">
        <v>149.4</v>
      </c>
      <c r="BT353" s="3">
        <v>209.5</v>
      </c>
      <c r="BU353" s="3">
        <v>142.69999999999999</v>
      </c>
      <c r="BV353" s="3">
        <v>188.7</v>
      </c>
      <c r="BW353" s="3">
        <v>222.4</v>
      </c>
      <c r="BX353" s="3">
        <v>494.5</v>
      </c>
      <c r="BY353" s="3">
        <v>92</v>
      </c>
      <c r="BZ353" s="3">
        <v>413.8</v>
      </c>
      <c r="CA353" s="3">
        <v>306.8</v>
      </c>
      <c r="CB353" s="3">
        <v>628.9</v>
      </c>
      <c r="CC353" s="3">
        <v>387.1</v>
      </c>
      <c r="CD353" s="3">
        <v>397.7</v>
      </c>
      <c r="CE353" s="3">
        <v>309.7</v>
      </c>
      <c r="CF353" s="3">
        <v>6.8</v>
      </c>
      <c r="CG353" s="3">
        <v>114.8</v>
      </c>
      <c r="CH353" s="3">
        <v>86.8</v>
      </c>
      <c r="CI353" s="3">
        <v>374.1</v>
      </c>
      <c r="CJ353" s="3">
        <v>173.8</v>
      </c>
      <c r="CK353" s="3">
        <v>201.3</v>
      </c>
      <c r="CL353" s="3">
        <v>542.79999999999995</v>
      </c>
      <c r="CM353" s="3">
        <v>241</v>
      </c>
      <c r="CN353" s="3">
        <v>227.1</v>
      </c>
    </row>
    <row r="354" spans="1:92" x14ac:dyDescent="0.25">
      <c r="A354" s="4">
        <v>42491</v>
      </c>
      <c r="B354" s="3">
        <v>201.5</v>
      </c>
      <c r="C354" s="3">
        <v>203.6</v>
      </c>
      <c r="D354" s="3">
        <v>253.5</v>
      </c>
      <c r="E354" s="3">
        <v>215.3</v>
      </c>
      <c r="F354" s="3">
        <v>290.8</v>
      </c>
      <c r="G354" s="3">
        <v>313.89999999999998</v>
      </c>
      <c r="H354" s="3">
        <v>206.8</v>
      </c>
      <c r="I354" s="3">
        <v>202.1</v>
      </c>
      <c r="J354" s="3">
        <v>125.9</v>
      </c>
      <c r="K354" s="3">
        <v>180.4</v>
      </c>
      <c r="L354" s="3">
        <v>236.7</v>
      </c>
      <c r="M354" s="3">
        <v>247.8</v>
      </c>
      <c r="N354" s="3">
        <v>223</v>
      </c>
      <c r="O354" s="3">
        <v>306.7</v>
      </c>
      <c r="P354" s="3">
        <v>186.9</v>
      </c>
      <c r="Q354" s="3">
        <v>241.9</v>
      </c>
      <c r="R354" s="3">
        <v>210.4</v>
      </c>
      <c r="S354" s="3">
        <v>221.3</v>
      </c>
      <c r="T354" s="3">
        <v>181.6</v>
      </c>
      <c r="U354" s="3">
        <v>216.2</v>
      </c>
      <c r="V354" s="3">
        <v>169.8</v>
      </c>
      <c r="W354" s="3">
        <v>254.2</v>
      </c>
      <c r="X354" s="3">
        <v>179</v>
      </c>
      <c r="Y354" s="3">
        <v>290.39999999999998</v>
      </c>
      <c r="Z354" s="3">
        <v>216.3</v>
      </c>
      <c r="AA354" s="3">
        <v>210.2</v>
      </c>
      <c r="AB354" s="3">
        <v>205</v>
      </c>
      <c r="AC354" s="3">
        <v>169.5</v>
      </c>
      <c r="AD354" s="3">
        <v>147.69999999999999</v>
      </c>
      <c r="AE354" s="3">
        <v>244.6</v>
      </c>
      <c r="AF354" s="3">
        <v>211</v>
      </c>
      <c r="AG354" s="3">
        <v>200.2</v>
      </c>
      <c r="AH354" s="3">
        <v>265.89999999999998</v>
      </c>
      <c r="AI354" s="3">
        <v>186.1</v>
      </c>
      <c r="AJ354" s="3">
        <v>321.8</v>
      </c>
      <c r="AK354" s="3">
        <v>372.1</v>
      </c>
      <c r="AL354" s="3">
        <v>313.60000000000002</v>
      </c>
      <c r="AM354" s="3">
        <v>305.10000000000002</v>
      </c>
      <c r="AN354" s="3">
        <v>344.4</v>
      </c>
      <c r="AO354" s="3">
        <v>160.19999999999999</v>
      </c>
      <c r="AP354" s="3">
        <v>252.9</v>
      </c>
      <c r="AQ354" s="3">
        <v>335.9</v>
      </c>
      <c r="AR354" s="3">
        <v>194.9</v>
      </c>
      <c r="AS354" s="3">
        <v>673.4</v>
      </c>
      <c r="AT354" s="3">
        <v>485.2</v>
      </c>
      <c r="AU354" s="3">
        <v>360.5</v>
      </c>
      <c r="AV354" s="3">
        <v>239</v>
      </c>
      <c r="AW354" s="3">
        <v>358.6</v>
      </c>
      <c r="AX354" s="3">
        <v>337.1</v>
      </c>
      <c r="AY354" s="3">
        <v>501.9</v>
      </c>
      <c r="AZ354" s="3">
        <v>369.6</v>
      </c>
      <c r="BA354" s="3">
        <v>224.4</v>
      </c>
      <c r="BB354" s="3">
        <v>354.8</v>
      </c>
      <c r="BC354" s="3">
        <v>319.60000000000002</v>
      </c>
      <c r="BD354" s="3">
        <v>301.3</v>
      </c>
      <c r="BE354" s="3">
        <v>353.5</v>
      </c>
      <c r="BF354" s="3">
        <v>290.8</v>
      </c>
      <c r="BG354" s="3">
        <v>247.4</v>
      </c>
      <c r="BH354" s="3">
        <v>226</v>
      </c>
      <c r="BI354" s="3">
        <v>72.8</v>
      </c>
      <c r="BJ354" s="3">
        <v>198.2</v>
      </c>
      <c r="BK354" s="3">
        <v>207.5</v>
      </c>
      <c r="BL354" s="3">
        <v>231.6</v>
      </c>
      <c r="BM354" s="3">
        <v>403.2</v>
      </c>
      <c r="BN354" s="3">
        <v>104.3</v>
      </c>
      <c r="BO354" s="3">
        <v>388.4</v>
      </c>
      <c r="BP354" s="3">
        <v>455.3</v>
      </c>
      <c r="BQ354" s="3">
        <v>154.6</v>
      </c>
      <c r="BR354" s="3">
        <v>114.3</v>
      </c>
      <c r="BS354" s="3">
        <v>146.19999999999999</v>
      </c>
      <c r="BT354" s="3">
        <v>207.6</v>
      </c>
      <c r="BU354" s="3">
        <v>143.4</v>
      </c>
      <c r="BV354" s="3">
        <v>189.6</v>
      </c>
      <c r="BW354" s="3">
        <v>220</v>
      </c>
      <c r="BX354" s="3">
        <v>495.7</v>
      </c>
      <c r="BY354" s="3">
        <v>91.9</v>
      </c>
      <c r="BZ354" s="3">
        <v>415</v>
      </c>
      <c r="CA354" s="3">
        <v>315.10000000000002</v>
      </c>
      <c r="CB354" s="3">
        <v>648.20000000000005</v>
      </c>
      <c r="CC354" s="3">
        <v>385.9</v>
      </c>
      <c r="CD354" s="3">
        <v>397.7</v>
      </c>
      <c r="CE354" s="3">
        <v>317.2</v>
      </c>
      <c r="CF354" s="3">
        <v>6.7</v>
      </c>
      <c r="CG354" s="3">
        <v>113.9</v>
      </c>
      <c r="CH354" s="3">
        <v>86.2</v>
      </c>
      <c r="CI354" s="3">
        <v>374.2</v>
      </c>
      <c r="CJ354" s="3">
        <v>174.4</v>
      </c>
      <c r="CK354" s="3">
        <v>201.3</v>
      </c>
      <c r="CL354" s="3">
        <v>544.79999999999995</v>
      </c>
      <c r="CM354" s="3">
        <v>240.1</v>
      </c>
      <c r="CN354" s="3">
        <v>230.7</v>
      </c>
    </row>
    <row r="355" spans="1:92" x14ac:dyDescent="0.25">
      <c r="A355" s="4">
        <v>42522</v>
      </c>
      <c r="B355" s="3">
        <v>204.7</v>
      </c>
      <c r="C355" s="3">
        <v>198.2</v>
      </c>
      <c r="D355" s="3">
        <v>252.4</v>
      </c>
      <c r="E355" s="3">
        <v>213.4</v>
      </c>
      <c r="F355" s="3">
        <v>297.3</v>
      </c>
      <c r="G355" s="3">
        <v>324.10000000000002</v>
      </c>
      <c r="H355" s="3">
        <v>220.9</v>
      </c>
      <c r="I355" s="3">
        <v>200</v>
      </c>
      <c r="J355" s="3">
        <v>126.3</v>
      </c>
      <c r="K355" s="3">
        <v>182.9</v>
      </c>
      <c r="L355" s="3">
        <v>237.6</v>
      </c>
      <c r="M355" s="3">
        <v>245.6</v>
      </c>
      <c r="N355" s="3">
        <v>226.7</v>
      </c>
      <c r="O355" s="3">
        <v>302.39999999999998</v>
      </c>
      <c r="P355" s="3">
        <v>191.1</v>
      </c>
      <c r="Q355" s="3">
        <v>235</v>
      </c>
      <c r="R355" s="3">
        <v>207.4</v>
      </c>
      <c r="S355" s="3">
        <v>222.1</v>
      </c>
      <c r="T355" s="3">
        <v>174.8</v>
      </c>
      <c r="U355" s="3">
        <v>211.2</v>
      </c>
      <c r="V355" s="3">
        <v>170.7</v>
      </c>
      <c r="W355" s="3">
        <v>254</v>
      </c>
      <c r="X355" s="3">
        <v>179.3</v>
      </c>
      <c r="Y355" s="3">
        <v>283.8</v>
      </c>
      <c r="Z355" s="3">
        <v>217.9</v>
      </c>
      <c r="AA355" s="3">
        <v>216.8</v>
      </c>
      <c r="AB355" s="3">
        <v>204.2</v>
      </c>
      <c r="AC355" s="3">
        <v>166.5</v>
      </c>
      <c r="AD355" s="3">
        <v>145.4</v>
      </c>
      <c r="AE355" s="3">
        <v>238.8</v>
      </c>
      <c r="AF355" s="3">
        <v>207.7</v>
      </c>
      <c r="AG355" s="3">
        <v>196.7</v>
      </c>
      <c r="AH355" s="3">
        <v>265.5</v>
      </c>
      <c r="AI355" s="3">
        <v>191.2</v>
      </c>
      <c r="AJ355" s="3">
        <v>322.39999999999998</v>
      </c>
      <c r="AK355" s="3">
        <v>372.9</v>
      </c>
      <c r="AL355" s="3">
        <v>314.2</v>
      </c>
      <c r="AM355" s="3">
        <v>303.8</v>
      </c>
      <c r="AN355" s="3">
        <v>344.8</v>
      </c>
      <c r="AO355" s="3">
        <v>156.19999999999999</v>
      </c>
      <c r="AP355" s="3">
        <v>252.9</v>
      </c>
      <c r="AQ355" s="3">
        <v>336.6</v>
      </c>
      <c r="AR355" s="3">
        <v>194.4</v>
      </c>
      <c r="AS355" s="3">
        <v>673.6</v>
      </c>
      <c r="AT355" s="3">
        <v>487.5</v>
      </c>
      <c r="AU355" s="3">
        <v>360.7</v>
      </c>
      <c r="AV355" s="3">
        <v>238.5</v>
      </c>
      <c r="AW355" s="3">
        <v>361.3</v>
      </c>
      <c r="AX355" s="3">
        <v>337.1</v>
      </c>
      <c r="AY355" s="3">
        <v>501.9</v>
      </c>
      <c r="AZ355" s="3">
        <v>369.6</v>
      </c>
      <c r="BA355" s="3">
        <v>225.1</v>
      </c>
      <c r="BB355" s="3">
        <v>357.2</v>
      </c>
      <c r="BC355" s="3">
        <v>317.10000000000002</v>
      </c>
      <c r="BD355" s="3">
        <v>301.3</v>
      </c>
      <c r="BE355" s="3">
        <v>353.5</v>
      </c>
      <c r="BF355" s="3">
        <v>311.39999999999998</v>
      </c>
      <c r="BG355" s="3">
        <v>248.7</v>
      </c>
      <c r="BH355" s="3">
        <v>225.5</v>
      </c>
      <c r="BI355" s="3">
        <v>71.7</v>
      </c>
      <c r="BJ355" s="3">
        <v>196.2</v>
      </c>
      <c r="BK355" s="3">
        <v>209.3</v>
      </c>
      <c r="BL355" s="3">
        <v>232.4</v>
      </c>
      <c r="BM355" s="3">
        <v>403.2</v>
      </c>
      <c r="BN355" s="3">
        <v>105</v>
      </c>
      <c r="BO355" s="3">
        <v>390.1</v>
      </c>
      <c r="BP355" s="3">
        <v>456.6</v>
      </c>
      <c r="BQ355" s="3">
        <v>155.9</v>
      </c>
      <c r="BR355" s="3">
        <v>113</v>
      </c>
      <c r="BS355" s="3">
        <v>148.4</v>
      </c>
      <c r="BT355" s="3">
        <v>205.9</v>
      </c>
      <c r="BU355" s="3">
        <v>141.5</v>
      </c>
      <c r="BV355" s="3">
        <v>189.5</v>
      </c>
      <c r="BW355" s="3">
        <v>218.6</v>
      </c>
      <c r="BX355" s="3">
        <v>496.6</v>
      </c>
      <c r="BY355" s="3">
        <v>91.7</v>
      </c>
      <c r="BZ355" s="3">
        <v>415.5</v>
      </c>
      <c r="CA355" s="3">
        <v>323.39999999999998</v>
      </c>
      <c r="CB355" s="3">
        <v>659.1</v>
      </c>
      <c r="CC355" s="3">
        <v>379.2</v>
      </c>
      <c r="CD355" s="3">
        <v>403</v>
      </c>
      <c r="CE355" s="3">
        <v>338</v>
      </c>
      <c r="CF355" s="3">
        <v>6.8</v>
      </c>
      <c r="CG355" s="3">
        <v>115.5</v>
      </c>
      <c r="CH355" s="3">
        <v>86.6</v>
      </c>
      <c r="CI355" s="3">
        <v>379</v>
      </c>
      <c r="CJ355" s="3">
        <v>173.8</v>
      </c>
      <c r="CK355" s="3">
        <v>205.8</v>
      </c>
      <c r="CL355" s="3">
        <v>549.70000000000005</v>
      </c>
      <c r="CM355" s="3">
        <v>239.8</v>
      </c>
      <c r="CN355" s="3">
        <v>232.8</v>
      </c>
    </row>
    <row r="356" spans="1:92" x14ac:dyDescent="0.25">
      <c r="A356" s="4">
        <v>42552</v>
      </c>
      <c r="B356" s="3">
        <v>200.6</v>
      </c>
      <c r="C356" s="3">
        <v>198.3</v>
      </c>
      <c r="D356" s="3">
        <v>255.8</v>
      </c>
      <c r="E356" s="3">
        <v>207.8</v>
      </c>
      <c r="F356" s="3">
        <v>284.10000000000002</v>
      </c>
      <c r="G356" s="3">
        <v>303.39999999999998</v>
      </c>
      <c r="H356" s="3">
        <v>219.7</v>
      </c>
      <c r="I356" s="3">
        <v>201</v>
      </c>
      <c r="J356" s="3">
        <v>125.9</v>
      </c>
      <c r="K356" s="3">
        <v>180.7</v>
      </c>
      <c r="L356" s="3">
        <v>243.5</v>
      </c>
      <c r="M356" s="3">
        <v>259.2</v>
      </c>
      <c r="N356" s="3">
        <v>225.7</v>
      </c>
      <c r="O356" s="3">
        <v>303.10000000000002</v>
      </c>
      <c r="P356" s="3">
        <v>185.4</v>
      </c>
      <c r="Q356" s="3">
        <v>239.6</v>
      </c>
      <c r="R356" s="3">
        <v>208</v>
      </c>
      <c r="S356" s="3">
        <v>223.7</v>
      </c>
      <c r="T356" s="3">
        <v>179.6</v>
      </c>
      <c r="U356" s="3">
        <v>215.5</v>
      </c>
      <c r="V356" s="3">
        <v>169.5</v>
      </c>
      <c r="W356" s="3">
        <v>250.4</v>
      </c>
      <c r="X356" s="3">
        <v>176.3</v>
      </c>
      <c r="Y356" s="3">
        <v>285.10000000000002</v>
      </c>
      <c r="Z356" s="3">
        <v>221.9</v>
      </c>
      <c r="AA356" s="3">
        <v>216.3</v>
      </c>
      <c r="AB356" s="3">
        <v>210</v>
      </c>
      <c r="AC356" s="3">
        <v>167.6</v>
      </c>
      <c r="AD356" s="3">
        <v>145.4</v>
      </c>
      <c r="AE356" s="3">
        <v>244.7</v>
      </c>
      <c r="AF356" s="3">
        <v>204.2</v>
      </c>
      <c r="AG356" s="3">
        <v>192.9</v>
      </c>
      <c r="AH356" s="3">
        <v>265.60000000000002</v>
      </c>
      <c r="AI356" s="3">
        <v>186</v>
      </c>
      <c r="AJ356" s="3">
        <v>322.7</v>
      </c>
      <c r="AK356" s="3">
        <v>373</v>
      </c>
      <c r="AL356" s="3">
        <v>315</v>
      </c>
      <c r="AM356" s="3">
        <v>304.5</v>
      </c>
      <c r="AN356" s="3">
        <v>345</v>
      </c>
      <c r="AO356" s="3">
        <v>157.5</v>
      </c>
      <c r="AP356" s="3">
        <v>253.7</v>
      </c>
      <c r="AQ356" s="3">
        <v>337.2</v>
      </c>
      <c r="AR356" s="3">
        <v>195.4</v>
      </c>
      <c r="AS356" s="3">
        <v>674.5</v>
      </c>
      <c r="AT356" s="3">
        <v>488.9</v>
      </c>
      <c r="AU356" s="3">
        <v>361</v>
      </c>
      <c r="AV356" s="3">
        <v>238.3</v>
      </c>
      <c r="AW356" s="3">
        <v>364.8</v>
      </c>
      <c r="AX356" s="3">
        <v>337.1</v>
      </c>
      <c r="AY356" s="3">
        <v>501.9</v>
      </c>
      <c r="AZ356" s="3">
        <v>369.7</v>
      </c>
      <c r="BA356" s="3">
        <v>226.8</v>
      </c>
      <c r="BB356" s="3">
        <v>359.2</v>
      </c>
      <c r="BC356" s="3">
        <v>314.7</v>
      </c>
      <c r="BD356" s="3">
        <v>301.3</v>
      </c>
      <c r="BE356" s="3">
        <v>353.5</v>
      </c>
      <c r="BF356" s="3">
        <v>312.2</v>
      </c>
      <c r="BG356" s="3">
        <v>239.3</v>
      </c>
      <c r="BH356" s="3">
        <v>224.7</v>
      </c>
      <c r="BI356" s="3">
        <v>71.2</v>
      </c>
      <c r="BJ356" s="3">
        <v>192.5</v>
      </c>
      <c r="BK356" s="3">
        <v>204.4</v>
      </c>
      <c r="BL356" s="3">
        <v>234</v>
      </c>
      <c r="BM356" s="3">
        <v>403.2</v>
      </c>
      <c r="BN356" s="3">
        <v>105.5</v>
      </c>
      <c r="BO356" s="3">
        <v>390.9</v>
      </c>
      <c r="BP356" s="3">
        <v>457.8</v>
      </c>
      <c r="BQ356" s="3">
        <v>153.4</v>
      </c>
      <c r="BR356" s="3">
        <v>107.6</v>
      </c>
      <c r="BS356" s="3">
        <v>144.5</v>
      </c>
      <c r="BT356" s="3">
        <v>202.2</v>
      </c>
      <c r="BU356" s="3">
        <v>139.1</v>
      </c>
      <c r="BV356" s="3">
        <v>186.6</v>
      </c>
      <c r="BW356" s="3">
        <v>220.1</v>
      </c>
      <c r="BX356" s="3">
        <v>498.1</v>
      </c>
      <c r="BY356" s="3">
        <v>91.6</v>
      </c>
      <c r="BZ356" s="3">
        <v>414.6</v>
      </c>
      <c r="CA356" s="3">
        <v>326.10000000000002</v>
      </c>
      <c r="CB356" s="3">
        <v>668.2</v>
      </c>
      <c r="CC356" s="3">
        <v>388.1</v>
      </c>
      <c r="CD356" s="3">
        <v>408</v>
      </c>
      <c r="CE356" s="3">
        <v>371.3</v>
      </c>
      <c r="CF356" s="3">
        <v>6.9</v>
      </c>
      <c r="CG356" s="3">
        <v>114.3</v>
      </c>
      <c r="CH356" s="3">
        <v>86</v>
      </c>
      <c r="CI356" s="3">
        <v>386.9</v>
      </c>
      <c r="CJ356" s="3">
        <v>174.1</v>
      </c>
      <c r="CK356" s="3">
        <v>205.8</v>
      </c>
      <c r="CL356" s="3">
        <v>551</v>
      </c>
      <c r="CM356" s="3">
        <v>239.2</v>
      </c>
      <c r="CN356" s="3">
        <v>236.5</v>
      </c>
    </row>
    <row r="357" spans="1:92" x14ac:dyDescent="0.25">
      <c r="A357" s="4">
        <v>42583</v>
      </c>
      <c r="B357" s="3">
        <v>203.6</v>
      </c>
      <c r="C357" s="3">
        <v>200.8</v>
      </c>
      <c r="D357" s="3">
        <v>256.10000000000002</v>
      </c>
      <c r="E357" s="3">
        <v>210</v>
      </c>
      <c r="F357" s="3">
        <v>284</v>
      </c>
      <c r="G357" s="3">
        <v>310.39999999999998</v>
      </c>
      <c r="H357" s="3">
        <v>221.8</v>
      </c>
      <c r="I357" s="3">
        <v>196.5</v>
      </c>
      <c r="J357" s="3">
        <v>125.8</v>
      </c>
      <c r="K357" s="3">
        <v>182.4</v>
      </c>
      <c r="L357" s="3">
        <v>240.4</v>
      </c>
      <c r="M357" s="3">
        <v>248.7</v>
      </c>
      <c r="N357" s="3">
        <v>229.1</v>
      </c>
      <c r="O357" s="3">
        <v>295.5</v>
      </c>
      <c r="P357" s="3">
        <v>199.3</v>
      </c>
      <c r="Q357" s="3">
        <v>235.7</v>
      </c>
      <c r="R357" s="3">
        <v>207.1</v>
      </c>
      <c r="S357" s="3">
        <v>223.4</v>
      </c>
      <c r="T357" s="3">
        <v>181.7</v>
      </c>
      <c r="U357" s="3">
        <v>220.5</v>
      </c>
      <c r="V357" s="3">
        <v>169.8</v>
      </c>
      <c r="W357" s="3">
        <v>246.3</v>
      </c>
      <c r="X357" s="3">
        <v>181.9</v>
      </c>
      <c r="Y357" s="3">
        <v>292.8</v>
      </c>
      <c r="Z357" s="3">
        <v>216.6</v>
      </c>
      <c r="AA357" s="3">
        <v>216.3</v>
      </c>
      <c r="AB357" s="3">
        <v>202.6</v>
      </c>
      <c r="AC357" s="3">
        <v>166.3</v>
      </c>
      <c r="AD357" s="3">
        <v>145.19999999999999</v>
      </c>
      <c r="AE357" s="3">
        <v>238.6</v>
      </c>
      <c r="AF357" s="3">
        <v>206.2</v>
      </c>
      <c r="AG357" s="3">
        <v>195.1</v>
      </c>
      <c r="AH357" s="3">
        <v>264.5</v>
      </c>
      <c r="AI357" s="3">
        <v>190</v>
      </c>
      <c r="AJ357" s="3">
        <v>323.10000000000002</v>
      </c>
      <c r="AK357" s="3">
        <v>372.8</v>
      </c>
      <c r="AL357" s="3">
        <v>315.8</v>
      </c>
      <c r="AM357" s="3">
        <v>304.10000000000002</v>
      </c>
      <c r="AN357" s="3">
        <v>345.7</v>
      </c>
      <c r="AO357" s="3">
        <v>155.5</v>
      </c>
      <c r="AP357" s="3">
        <v>254.7</v>
      </c>
      <c r="AQ357" s="3">
        <v>337.4</v>
      </c>
      <c r="AR357" s="3">
        <v>197</v>
      </c>
      <c r="AS357" s="3">
        <v>682.1</v>
      </c>
      <c r="AT357" s="3">
        <v>491</v>
      </c>
      <c r="AU357" s="3">
        <v>361.7</v>
      </c>
      <c r="AV357" s="3">
        <v>229.1</v>
      </c>
      <c r="AW357" s="3">
        <v>368.4</v>
      </c>
      <c r="AX357" s="3">
        <v>337.1</v>
      </c>
      <c r="AY357" s="3">
        <v>501.9</v>
      </c>
      <c r="AZ357" s="3">
        <v>370.4</v>
      </c>
      <c r="BA357" s="3">
        <v>227.2</v>
      </c>
      <c r="BB357" s="3">
        <v>365.1</v>
      </c>
      <c r="BC357" s="3">
        <v>315</v>
      </c>
      <c r="BD357" s="3">
        <v>301.3</v>
      </c>
      <c r="BE357" s="3">
        <v>353.5</v>
      </c>
      <c r="BF357" s="3">
        <v>307.2</v>
      </c>
      <c r="BG357" s="3">
        <v>247.6</v>
      </c>
      <c r="BH357" s="3">
        <v>229</v>
      </c>
      <c r="BI357" s="3">
        <v>71.3</v>
      </c>
      <c r="BJ357" s="3">
        <v>198.1</v>
      </c>
      <c r="BK357" s="3">
        <v>204.1</v>
      </c>
      <c r="BL357" s="3">
        <v>232.8</v>
      </c>
      <c r="BM357" s="3">
        <v>403.2</v>
      </c>
      <c r="BN357" s="3">
        <v>105.5</v>
      </c>
      <c r="BO357" s="3">
        <v>391.8</v>
      </c>
      <c r="BP357" s="3">
        <v>456.6</v>
      </c>
      <c r="BQ357" s="3">
        <v>153.80000000000001</v>
      </c>
      <c r="BR357" s="3">
        <v>110.5</v>
      </c>
      <c r="BS357" s="3">
        <v>146.30000000000001</v>
      </c>
      <c r="BT357" s="3">
        <v>205.7</v>
      </c>
      <c r="BU357" s="3">
        <v>140.30000000000001</v>
      </c>
      <c r="BV357" s="3">
        <v>189.4</v>
      </c>
      <c r="BW357" s="3">
        <v>220.1</v>
      </c>
      <c r="BX357" s="3">
        <v>498.6</v>
      </c>
      <c r="BY357" s="3">
        <v>90.9</v>
      </c>
      <c r="BZ357" s="3">
        <v>414.9</v>
      </c>
      <c r="CA357" s="3">
        <v>319.2</v>
      </c>
      <c r="CB357" s="3">
        <v>675.5</v>
      </c>
      <c r="CC357" s="3">
        <v>385.3</v>
      </c>
      <c r="CD357" s="3">
        <v>415.1</v>
      </c>
      <c r="CE357" s="3">
        <v>406.2</v>
      </c>
      <c r="CF357" s="3">
        <v>6.8</v>
      </c>
      <c r="CG357" s="3">
        <v>112.5</v>
      </c>
      <c r="CH357" s="3">
        <v>85.6</v>
      </c>
      <c r="CI357" s="3">
        <v>383.1</v>
      </c>
      <c r="CJ357" s="3">
        <v>174.1</v>
      </c>
      <c r="CK357" s="3">
        <v>205.8</v>
      </c>
      <c r="CL357" s="3">
        <v>552</v>
      </c>
      <c r="CM357" s="3">
        <v>240</v>
      </c>
      <c r="CN357" s="3">
        <v>236</v>
      </c>
    </row>
    <row r="358" spans="1:92" x14ac:dyDescent="0.25">
      <c r="A358" s="4">
        <v>42614</v>
      </c>
      <c r="B358" s="3">
        <v>203.6</v>
      </c>
      <c r="C358" s="3">
        <v>198.4</v>
      </c>
      <c r="D358" s="3">
        <v>254.2</v>
      </c>
      <c r="E358" s="3">
        <v>208.2</v>
      </c>
      <c r="F358" s="3">
        <v>292.5</v>
      </c>
      <c r="G358" s="3">
        <v>318.3</v>
      </c>
      <c r="H358" s="3">
        <v>220.2</v>
      </c>
      <c r="I358" s="3">
        <v>201</v>
      </c>
      <c r="J358" s="3">
        <v>124.3</v>
      </c>
      <c r="K358" s="3">
        <v>182.3</v>
      </c>
      <c r="L358" s="3">
        <v>239.7</v>
      </c>
      <c r="M358" s="3">
        <v>249</v>
      </c>
      <c r="N358" s="3">
        <v>227.5</v>
      </c>
      <c r="O358" s="3">
        <v>292.89999999999998</v>
      </c>
      <c r="P358" s="3">
        <v>193</v>
      </c>
      <c r="Q358" s="3">
        <v>231.2</v>
      </c>
      <c r="R358" s="3">
        <v>208.5</v>
      </c>
      <c r="S358" s="3">
        <v>222.1</v>
      </c>
      <c r="T358" s="3">
        <v>179.9</v>
      </c>
      <c r="U358" s="3">
        <v>213.8</v>
      </c>
      <c r="V358" s="3">
        <v>169.5</v>
      </c>
      <c r="W358" s="3">
        <v>252.1</v>
      </c>
      <c r="X358" s="3">
        <v>183.2</v>
      </c>
      <c r="Y358" s="3">
        <v>282.2</v>
      </c>
      <c r="Z358" s="3">
        <v>221.8</v>
      </c>
      <c r="AA358" s="3">
        <v>218.5</v>
      </c>
      <c r="AB358" s="3">
        <v>208.8</v>
      </c>
      <c r="AC358" s="3">
        <v>166.9</v>
      </c>
      <c r="AD358" s="3">
        <v>144.5</v>
      </c>
      <c r="AE358" s="3">
        <v>245.4</v>
      </c>
      <c r="AF358" s="3">
        <v>210.6</v>
      </c>
      <c r="AG358" s="3">
        <v>199.5</v>
      </c>
      <c r="AH358" s="3">
        <v>267.8</v>
      </c>
      <c r="AI358" s="3">
        <v>190.1</v>
      </c>
      <c r="AJ358" s="3">
        <v>323.5</v>
      </c>
      <c r="AK358" s="3">
        <v>374.3</v>
      </c>
      <c r="AL358" s="3">
        <v>316.3</v>
      </c>
      <c r="AM358" s="3">
        <v>306.2</v>
      </c>
      <c r="AN358" s="3">
        <v>346.5</v>
      </c>
      <c r="AO358" s="3">
        <v>159.30000000000001</v>
      </c>
      <c r="AP358" s="3">
        <v>254.6</v>
      </c>
      <c r="AQ358" s="3">
        <v>338</v>
      </c>
      <c r="AR358" s="3">
        <v>196.4</v>
      </c>
      <c r="AS358" s="3">
        <v>684.3</v>
      </c>
      <c r="AT358" s="3">
        <v>491.1</v>
      </c>
      <c r="AU358" s="3">
        <v>362.1</v>
      </c>
      <c r="AV358" s="3">
        <v>235.1</v>
      </c>
      <c r="AW358" s="3">
        <v>371.1</v>
      </c>
      <c r="AX358" s="3">
        <v>337.1</v>
      </c>
      <c r="AY358" s="3">
        <v>501.9</v>
      </c>
      <c r="AZ358" s="3">
        <v>370.7</v>
      </c>
      <c r="BA358" s="3">
        <v>225.4</v>
      </c>
      <c r="BB358" s="3">
        <v>366.3</v>
      </c>
      <c r="BC358" s="3">
        <v>317.2</v>
      </c>
      <c r="BD358" s="3">
        <v>301.3</v>
      </c>
      <c r="BE358" s="3">
        <v>353.5</v>
      </c>
      <c r="BF358" s="3">
        <v>318.8</v>
      </c>
      <c r="BG358" s="3">
        <v>249.8</v>
      </c>
      <c r="BH358" s="3">
        <v>230</v>
      </c>
      <c r="BI358" s="3">
        <v>72.2</v>
      </c>
      <c r="BJ358" s="3">
        <v>196.3</v>
      </c>
      <c r="BK358" s="3">
        <v>206</v>
      </c>
      <c r="BL358" s="3">
        <v>234.6</v>
      </c>
      <c r="BM358" s="3">
        <v>403.2</v>
      </c>
      <c r="BN358" s="3">
        <v>105.4</v>
      </c>
      <c r="BO358" s="3">
        <v>392.7</v>
      </c>
      <c r="BP358" s="3">
        <v>462.5</v>
      </c>
      <c r="BQ358" s="3">
        <v>159.30000000000001</v>
      </c>
      <c r="BR358" s="3">
        <v>118.7</v>
      </c>
      <c r="BS358" s="3">
        <v>151.69999999999999</v>
      </c>
      <c r="BT358" s="3">
        <v>211.6</v>
      </c>
      <c r="BU358" s="3">
        <v>144.5</v>
      </c>
      <c r="BV358" s="3">
        <v>191.6</v>
      </c>
      <c r="BW358" s="3">
        <v>220.6</v>
      </c>
      <c r="BX358" s="3">
        <v>498.9</v>
      </c>
      <c r="BY358" s="3">
        <v>90.7</v>
      </c>
      <c r="BZ358" s="3">
        <v>416.1</v>
      </c>
      <c r="CA358" s="3">
        <v>325.39999999999998</v>
      </c>
      <c r="CB358" s="3">
        <v>683.6</v>
      </c>
      <c r="CC358" s="3">
        <v>385.6</v>
      </c>
      <c r="CD358" s="3">
        <v>409</v>
      </c>
      <c r="CE358" s="3">
        <v>339.2</v>
      </c>
      <c r="CF358" s="3">
        <v>6.8</v>
      </c>
      <c r="CG358" s="3">
        <v>112.9</v>
      </c>
      <c r="CH358" s="3">
        <v>86.1</v>
      </c>
      <c r="CI358" s="3">
        <v>380.9</v>
      </c>
      <c r="CJ358" s="3">
        <v>175.2</v>
      </c>
      <c r="CK358" s="3">
        <v>205.8</v>
      </c>
      <c r="CL358" s="3">
        <v>557.70000000000005</v>
      </c>
      <c r="CM358" s="3">
        <v>238.8</v>
      </c>
      <c r="CN358" s="3">
        <v>241.2</v>
      </c>
    </row>
    <row r="359" spans="1:92" x14ac:dyDescent="0.25">
      <c r="A359" s="4">
        <v>42644</v>
      </c>
      <c r="B359" s="3">
        <v>203.4</v>
      </c>
      <c r="C359" s="3">
        <v>200.3</v>
      </c>
      <c r="D359" s="3">
        <v>254.1</v>
      </c>
      <c r="E359" s="3">
        <v>212.2</v>
      </c>
      <c r="F359" s="3">
        <v>295.8</v>
      </c>
      <c r="G359" s="3">
        <v>320.10000000000002</v>
      </c>
      <c r="H359" s="3">
        <v>220.2</v>
      </c>
      <c r="I359" s="3">
        <v>194.8</v>
      </c>
      <c r="J359" s="3">
        <v>127.2</v>
      </c>
      <c r="K359" s="3">
        <v>179.4</v>
      </c>
      <c r="L359" s="3">
        <v>247</v>
      </c>
      <c r="M359" s="3">
        <v>260.60000000000002</v>
      </c>
      <c r="N359" s="3">
        <v>230.8</v>
      </c>
      <c r="O359" s="3">
        <v>303</v>
      </c>
      <c r="P359" s="3">
        <v>186.8</v>
      </c>
      <c r="Q359" s="3">
        <v>236.1</v>
      </c>
      <c r="R359" s="3">
        <v>205</v>
      </c>
      <c r="S359" s="3">
        <v>222.5</v>
      </c>
      <c r="T359" s="3">
        <v>176.3</v>
      </c>
      <c r="U359" s="3">
        <v>210.8</v>
      </c>
      <c r="V359" s="3">
        <v>167.3</v>
      </c>
      <c r="W359" s="3">
        <v>243</v>
      </c>
      <c r="X359" s="3">
        <v>181.9</v>
      </c>
      <c r="Y359" s="3">
        <v>284.89999999999998</v>
      </c>
      <c r="Z359" s="3">
        <v>217.8</v>
      </c>
      <c r="AA359" s="3">
        <v>212.7</v>
      </c>
      <c r="AB359" s="3">
        <v>205.9</v>
      </c>
      <c r="AC359" s="3">
        <v>164.7</v>
      </c>
      <c r="AD359" s="3">
        <v>143.30000000000001</v>
      </c>
      <c r="AE359" s="3">
        <v>238.4</v>
      </c>
      <c r="AF359" s="3">
        <v>214</v>
      </c>
      <c r="AG359" s="3">
        <v>203.3</v>
      </c>
      <c r="AH359" s="3">
        <v>267.7</v>
      </c>
      <c r="AI359" s="3">
        <v>185.8</v>
      </c>
      <c r="AJ359" s="3">
        <v>324.2</v>
      </c>
      <c r="AK359" s="3">
        <v>374.5</v>
      </c>
      <c r="AL359" s="3">
        <v>316.89999999999998</v>
      </c>
      <c r="AM359" s="3">
        <v>306.2</v>
      </c>
      <c r="AN359" s="3">
        <v>347.1</v>
      </c>
      <c r="AO359" s="3">
        <v>158.19999999999999</v>
      </c>
      <c r="AP359" s="3">
        <v>254.6</v>
      </c>
      <c r="AQ359" s="3">
        <v>339.8</v>
      </c>
      <c r="AR359" s="3">
        <v>195</v>
      </c>
      <c r="AS359" s="3">
        <v>685.3</v>
      </c>
      <c r="AT359" s="3">
        <v>492.5</v>
      </c>
      <c r="AU359" s="3">
        <v>362.5</v>
      </c>
      <c r="AV359" s="3">
        <v>228.5</v>
      </c>
      <c r="AW359" s="3">
        <v>371.3</v>
      </c>
      <c r="AX359" s="3">
        <v>337.1</v>
      </c>
      <c r="AY359" s="3">
        <v>501.9</v>
      </c>
      <c r="AZ359" s="3">
        <v>371.5</v>
      </c>
      <c r="BA359" s="3">
        <v>223</v>
      </c>
      <c r="BB359" s="3">
        <v>369</v>
      </c>
      <c r="BC359" s="3">
        <v>322.8</v>
      </c>
      <c r="BD359" s="3">
        <v>301.3</v>
      </c>
      <c r="BE359" s="3">
        <v>353.5</v>
      </c>
      <c r="BF359" s="3">
        <v>357.5</v>
      </c>
      <c r="BG359" s="3">
        <v>246.9</v>
      </c>
      <c r="BH359" s="3">
        <v>231.8</v>
      </c>
      <c r="BI359" s="3">
        <v>73.900000000000006</v>
      </c>
      <c r="BJ359" s="3">
        <v>196.7</v>
      </c>
      <c r="BK359" s="3">
        <v>209</v>
      </c>
      <c r="BL359" s="3">
        <v>235.8</v>
      </c>
      <c r="BM359" s="3">
        <v>403.2</v>
      </c>
      <c r="BN359" s="3">
        <v>105.4</v>
      </c>
      <c r="BO359" s="3">
        <v>393.6</v>
      </c>
      <c r="BP359" s="3">
        <v>466.3</v>
      </c>
      <c r="BQ359" s="3">
        <v>160.30000000000001</v>
      </c>
      <c r="BR359" s="3">
        <v>118.2</v>
      </c>
      <c r="BS359" s="3">
        <v>154.9</v>
      </c>
      <c r="BT359" s="3">
        <v>211.7</v>
      </c>
      <c r="BU359" s="3">
        <v>144.80000000000001</v>
      </c>
      <c r="BV359" s="3">
        <v>189.5</v>
      </c>
      <c r="BW359" s="3">
        <v>222.5</v>
      </c>
      <c r="BX359" s="3">
        <v>495.1</v>
      </c>
      <c r="BY359" s="3">
        <v>90.8</v>
      </c>
      <c r="BZ359" s="3">
        <v>417</v>
      </c>
      <c r="CA359" s="3">
        <v>328.3</v>
      </c>
      <c r="CB359" s="3">
        <v>685.6</v>
      </c>
      <c r="CC359" s="3">
        <v>383.9</v>
      </c>
      <c r="CD359" s="3">
        <v>411.1</v>
      </c>
      <c r="CE359" s="3">
        <v>323.3</v>
      </c>
      <c r="CF359" s="3">
        <v>6.9</v>
      </c>
      <c r="CG359" s="3">
        <v>108.7</v>
      </c>
      <c r="CH359" s="3">
        <v>86.3</v>
      </c>
      <c r="CI359" s="3">
        <v>387.8</v>
      </c>
      <c r="CJ359" s="3">
        <v>175.7</v>
      </c>
      <c r="CK359" s="3">
        <v>205.8</v>
      </c>
      <c r="CL359" s="3">
        <v>561.5</v>
      </c>
      <c r="CM359" s="3">
        <v>238.2</v>
      </c>
      <c r="CN359" s="3">
        <v>239.6</v>
      </c>
    </row>
    <row r="360" spans="1:92" x14ac:dyDescent="0.25">
      <c r="A360" s="4">
        <v>42675</v>
      </c>
      <c r="B360" s="3">
        <v>205.8</v>
      </c>
      <c r="C360" s="3">
        <v>200.9</v>
      </c>
      <c r="D360" s="3">
        <v>251.9</v>
      </c>
      <c r="E360" s="3">
        <v>211.2</v>
      </c>
      <c r="F360" s="3">
        <v>289.8</v>
      </c>
      <c r="G360" s="3">
        <v>307.7</v>
      </c>
      <c r="H360" s="3">
        <v>219.8</v>
      </c>
      <c r="I360" s="3">
        <v>201.9</v>
      </c>
      <c r="J360" s="3">
        <v>126.7</v>
      </c>
      <c r="K360" s="3">
        <v>180.2</v>
      </c>
      <c r="L360" s="3">
        <v>243.4</v>
      </c>
      <c r="M360" s="3">
        <v>252.1</v>
      </c>
      <c r="N360" s="3">
        <v>231.7</v>
      </c>
      <c r="O360" s="3">
        <v>308.60000000000002</v>
      </c>
      <c r="P360" s="3">
        <v>177.9</v>
      </c>
      <c r="Q360" s="3">
        <v>232.2</v>
      </c>
      <c r="R360" s="3">
        <v>207.4</v>
      </c>
      <c r="S360" s="3">
        <v>222.9</v>
      </c>
      <c r="T360" s="3">
        <v>179.7</v>
      </c>
      <c r="U360" s="3">
        <v>217.2</v>
      </c>
      <c r="V360" s="3">
        <v>168.1</v>
      </c>
      <c r="W360" s="3">
        <v>241.9</v>
      </c>
      <c r="X360" s="3">
        <v>186.4</v>
      </c>
      <c r="Y360" s="3">
        <v>280.3</v>
      </c>
      <c r="Z360" s="3">
        <v>216.2</v>
      </c>
      <c r="AA360" s="3">
        <v>214</v>
      </c>
      <c r="AB360" s="3">
        <v>203</v>
      </c>
      <c r="AC360" s="3">
        <v>165.7</v>
      </c>
      <c r="AD360" s="3">
        <v>143.4</v>
      </c>
      <c r="AE360" s="3">
        <v>243.7</v>
      </c>
      <c r="AF360" s="3">
        <v>222.3</v>
      </c>
      <c r="AG360" s="3">
        <v>212.2</v>
      </c>
      <c r="AH360" s="3">
        <v>267.7</v>
      </c>
      <c r="AI360" s="3">
        <v>191.8</v>
      </c>
      <c r="AJ360" s="3">
        <v>325.2</v>
      </c>
      <c r="AK360" s="3">
        <v>376.2</v>
      </c>
      <c r="AL360" s="3">
        <v>318.10000000000002</v>
      </c>
      <c r="AM360" s="3">
        <v>305.8</v>
      </c>
      <c r="AN360" s="3">
        <v>347.6</v>
      </c>
      <c r="AO360" s="3">
        <v>156.19999999999999</v>
      </c>
      <c r="AP360" s="3">
        <v>253.6</v>
      </c>
      <c r="AQ360" s="3">
        <v>340.7</v>
      </c>
      <c r="AR360" s="3">
        <v>192.3</v>
      </c>
      <c r="AS360" s="3">
        <v>687.2</v>
      </c>
      <c r="AT360" s="3">
        <v>490.3</v>
      </c>
      <c r="AU360" s="3">
        <v>363</v>
      </c>
      <c r="AV360" s="3">
        <v>226.5</v>
      </c>
      <c r="AW360" s="3">
        <v>372.1</v>
      </c>
      <c r="AX360" s="3">
        <v>337.1</v>
      </c>
      <c r="AY360" s="3">
        <v>501.9</v>
      </c>
      <c r="AZ360" s="3">
        <v>371.6</v>
      </c>
      <c r="BA360" s="3">
        <v>218.8</v>
      </c>
      <c r="BB360" s="3">
        <v>373.3</v>
      </c>
      <c r="BC360" s="3">
        <v>325.10000000000002</v>
      </c>
      <c r="BD360" s="3">
        <v>301.3</v>
      </c>
      <c r="BE360" s="3">
        <v>353.5</v>
      </c>
      <c r="BF360" s="3">
        <v>344.7</v>
      </c>
      <c r="BG360" s="3">
        <v>251.8</v>
      </c>
      <c r="BH360" s="3">
        <v>233.4</v>
      </c>
      <c r="BI360" s="3">
        <v>72</v>
      </c>
      <c r="BJ360" s="3">
        <v>196.6</v>
      </c>
      <c r="BK360" s="3">
        <v>210.3</v>
      </c>
      <c r="BL360" s="3">
        <v>236.3</v>
      </c>
      <c r="BM360" s="3">
        <v>403.2</v>
      </c>
      <c r="BN360" s="3">
        <v>105.8</v>
      </c>
      <c r="BO360" s="3">
        <v>394.1</v>
      </c>
      <c r="BP360" s="3">
        <v>467</v>
      </c>
      <c r="BQ360" s="3">
        <v>162.4</v>
      </c>
      <c r="BR360" s="3">
        <v>120.4</v>
      </c>
      <c r="BS360" s="3">
        <v>157.80000000000001</v>
      </c>
      <c r="BT360" s="3">
        <v>213.9</v>
      </c>
      <c r="BU360" s="3">
        <v>145.4</v>
      </c>
      <c r="BV360" s="3">
        <v>191.7</v>
      </c>
      <c r="BW360" s="3">
        <v>221.7</v>
      </c>
      <c r="BX360" s="3">
        <v>496</v>
      </c>
      <c r="BY360" s="3">
        <v>91.2</v>
      </c>
      <c r="BZ360" s="3">
        <v>418.5</v>
      </c>
      <c r="CA360" s="3">
        <v>340.6</v>
      </c>
      <c r="CB360" s="3">
        <v>694.4</v>
      </c>
      <c r="CC360" s="3">
        <v>384.4</v>
      </c>
      <c r="CD360" s="3">
        <v>416.1</v>
      </c>
      <c r="CE360" s="3">
        <v>297.39999999999998</v>
      </c>
      <c r="CF360" s="3">
        <v>7</v>
      </c>
      <c r="CG360" s="3">
        <v>110.8</v>
      </c>
      <c r="CH360" s="3">
        <v>86.4</v>
      </c>
      <c r="CI360" s="3">
        <v>396.4</v>
      </c>
      <c r="CJ360" s="3">
        <v>175.1</v>
      </c>
      <c r="CK360" s="3">
        <v>205.8</v>
      </c>
      <c r="CL360" s="3">
        <v>561.70000000000005</v>
      </c>
      <c r="CM360" s="3">
        <v>239</v>
      </c>
      <c r="CN360" s="3">
        <v>239.4</v>
      </c>
    </row>
    <row r="361" spans="1:92" x14ac:dyDescent="0.25">
      <c r="A361" s="4">
        <v>42705</v>
      </c>
      <c r="B361" s="3">
        <v>205.4</v>
      </c>
      <c r="C361" s="3">
        <v>200</v>
      </c>
      <c r="D361" s="3">
        <v>258.5</v>
      </c>
      <c r="E361" s="3">
        <v>208.3</v>
      </c>
      <c r="F361" s="3">
        <v>292.10000000000002</v>
      </c>
      <c r="G361" s="3">
        <v>316.5</v>
      </c>
      <c r="H361" s="3">
        <v>212.8</v>
      </c>
      <c r="I361" s="3">
        <v>203.7</v>
      </c>
      <c r="J361" s="3">
        <v>127.5</v>
      </c>
      <c r="K361" s="3">
        <v>183.2</v>
      </c>
      <c r="L361" s="3">
        <v>241.9</v>
      </c>
      <c r="M361" s="3">
        <v>255.1</v>
      </c>
      <c r="N361" s="3">
        <v>226.3</v>
      </c>
      <c r="O361" s="3">
        <v>318.5</v>
      </c>
      <c r="P361" s="3">
        <v>191.2</v>
      </c>
      <c r="Q361" s="3">
        <v>233</v>
      </c>
      <c r="R361" s="3">
        <v>208.8</v>
      </c>
      <c r="S361" s="3">
        <v>224.3</v>
      </c>
      <c r="T361" s="3">
        <v>180.9</v>
      </c>
      <c r="U361" s="3">
        <v>213.5</v>
      </c>
      <c r="V361" s="3">
        <v>166.2</v>
      </c>
      <c r="W361" s="3">
        <v>245.1</v>
      </c>
      <c r="X361" s="3">
        <v>186.9</v>
      </c>
      <c r="Y361" s="3">
        <v>282</v>
      </c>
      <c r="Z361" s="3">
        <v>216.3</v>
      </c>
      <c r="AA361" s="3">
        <v>214.9</v>
      </c>
      <c r="AB361" s="3">
        <v>202.8</v>
      </c>
      <c r="AC361" s="3">
        <v>169.1</v>
      </c>
      <c r="AD361" s="3">
        <v>146</v>
      </c>
      <c r="AE361" s="3">
        <v>250.7</v>
      </c>
      <c r="AF361" s="3">
        <v>220.8</v>
      </c>
      <c r="AG361" s="3">
        <v>210.7</v>
      </c>
      <c r="AH361" s="3">
        <v>267.5</v>
      </c>
      <c r="AI361" s="3">
        <v>192.5</v>
      </c>
      <c r="AJ361" s="3">
        <v>326.10000000000002</v>
      </c>
      <c r="AK361" s="3">
        <v>376.6</v>
      </c>
      <c r="AL361" s="3">
        <v>319</v>
      </c>
      <c r="AM361" s="3">
        <v>305.10000000000002</v>
      </c>
      <c r="AN361" s="3">
        <v>347.9</v>
      </c>
      <c r="AO361" s="3">
        <v>153.69999999999999</v>
      </c>
      <c r="AP361" s="3">
        <v>252.3</v>
      </c>
      <c r="AQ361" s="3">
        <v>341.2</v>
      </c>
      <c r="AR361" s="3">
        <v>189.4</v>
      </c>
      <c r="AS361" s="3">
        <v>687.8</v>
      </c>
      <c r="AT361" s="3">
        <v>492</v>
      </c>
      <c r="AU361" s="3">
        <v>363.5</v>
      </c>
      <c r="AV361" s="3">
        <v>225.6</v>
      </c>
      <c r="AW361" s="3">
        <v>372.8</v>
      </c>
      <c r="AX361" s="3">
        <v>337.1</v>
      </c>
      <c r="AY361" s="3">
        <v>501.9</v>
      </c>
      <c r="AZ361" s="3">
        <v>371.6</v>
      </c>
      <c r="BA361" s="3">
        <v>223.3</v>
      </c>
      <c r="BB361" s="3">
        <v>372.7</v>
      </c>
      <c r="BC361" s="3">
        <v>327.10000000000002</v>
      </c>
      <c r="BD361" s="3">
        <v>301.3</v>
      </c>
      <c r="BE361" s="3">
        <v>353.5</v>
      </c>
      <c r="BF361" s="3">
        <v>371.2</v>
      </c>
      <c r="BG361" s="3">
        <v>260.3</v>
      </c>
      <c r="BH361" s="3">
        <v>236.4</v>
      </c>
      <c r="BI361" s="3">
        <v>73</v>
      </c>
      <c r="BJ361" s="3">
        <v>196.2</v>
      </c>
      <c r="BK361" s="3">
        <v>208.6</v>
      </c>
      <c r="BL361" s="3">
        <v>239.5</v>
      </c>
      <c r="BM361" s="3">
        <v>403.2</v>
      </c>
      <c r="BN361" s="3">
        <v>105.4</v>
      </c>
      <c r="BO361" s="3">
        <v>395.2</v>
      </c>
      <c r="BP361" s="3">
        <v>467.4</v>
      </c>
      <c r="BQ361" s="3">
        <v>162</v>
      </c>
      <c r="BR361" s="3">
        <v>118.1</v>
      </c>
      <c r="BS361" s="3">
        <v>157.80000000000001</v>
      </c>
      <c r="BT361" s="3">
        <v>214.4</v>
      </c>
      <c r="BU361" s="3">
        <v>143.5</v>
      </c>
      <c r="BV361" s="3">
        <v>191.4</v>
      </c>
      <c r="BW361" s="3">
        <v>221.2</v>
      </c>
      <c r="BX361" s="3">
        <v>496.5</v>
      </c>
      <c r="BY361" s="3">
        <v>91.2</v>
      </c>
      <c r="BZ361" s="3">
        <v>419.2</v>
      </c>
      <c r="CA361" s="3">
        <v>334.9</v>
      </c>
      <c r="CB361" s="3">
        <v>705</v>
      </c>
      <c r="CC361" s="3">
        <v>387.2</v>
      </c>
      <c r="CD361" s="3">
        <v>429.3</v>
      </c>
      <c r="CE361" s="3">
        <v>379.8</v>
      </c>
      <c r="CF361" s="3">
        <v>6.9</v>
      </c>
      <c r="CG361" s="3">
        <v>117.1</v>
      </c>
      <c r="CH361" s="3">
        <v>86.1</v>
      </c>
      <c r="CI361" s="3">
        <v>391.4</v>
      </c>
      <c r="CJ361" s="3">
        <v>176.1</v>
      </c>
      <c r="CK361" s="3">
        <v>205.8</v>
      </c>
      <c r="CL361" s="3">
        <v>561.20000000000005</v>
      </c>
      <c r="CM361" s="3">
        <v>239.4</v>
      </c>
      <c r="CN361" s="3">
        <v>239.5</v>
      </c>
    </row>
    <row r="362" spans="1:92" x14ac:dyDescent="0.25">
      <c r="A362" s="4">
        <v>42736</v>
      </c>
      <c r="B362" s="3">
        <v>207.1</v>
      </c>
      <c r="C362" s="3">
        <v>194.9</v>
      </c>
      <c r="D362" s="3">
        <v>257.39999999999998</v>
      </c>
      <c r="E362" s="3">
        <v>211.9</v>
      </c>
      <c r="F362" s="3">
        <v>283.10000000000002</v>
      </c>
      <c r="G362" s="3">
        <v>309.7</v>
      </c>
      <c r="H362" s="3">
        <v>220.7</v>
      </c>
      <c r="I362" s="3">
        <v>202.3</v>
      </c>
      <c r="J362" s="3">
        <v>124.8</v>
      </c>
      <c r="K362" s="3">
        <v>184.4</v>
      </c>
      <c r="L362" s="3">
        <v>243.5</v>
      </c>
      <c r="M362" s="3">
        <v>259</v>
      </c>
      <c r="N362" s="3">
        <v>225.8</v>
      </c>
      <c r="O362" s="3">
        <v>325.60000000000002</v>
      </c>
      <c r="P362" s="3">
        <v>191.1</v>
      </c>
      <c r="Q362" s="3">
        <v>235.7</v>
      </c>
      <c r="R362" s="3">
        <v>209.7</v>
      </c>
      <c r="S362" s="3">
        <v>222.5</v>
      </c>
      <c r="T362" s="3">
        <v>177.2</v>
      </c>
      <c r="U362" s="3">
        <v>219.3</v>
      </c>
      <c r="V362" s="3">
        <v>168.1</v>
      </c>
      <c r="W362" s="3">
        <v>249.7</v>
      </c>
      <c r="X362" s="3">
        <v>188.9</v>
      </c>
      <c r="Y362" s="3">
        <v>295.60000000000002</v>
      </c>
      <c r="Z362" s="3">
        <v>223.5</v>
      </c>
      <c r="AA362" s="3">
        <v>215.3</v>
      </c>
      <c r="AB362" s="3">
        <v>212.6</v>
      </c>
      <c r="AC362" s="3">
        <v>167.9</v>
      </c>
      <c r="AD362" s="3">
        <v>147.5</v>
      </c>
      <c r="AE362" s="3">
        <v>236.8</v>
      </c>
      <c r="AF362" s="3">
        <v>213</v>
      </c>
      <c r="AG362" s="3">
        <v>202</v>
      </c>
      <c r="AH362" s="3">
        <v>268.60000000000002</v>
      </c>
      <c r="AI362" s="3">
        <v>187.7</v>
      </c>
      <c r="AJ362" s="3">
        <v>326.10000000000002</v>
      </c>
      <c r="AK362" s="3">
        <v>377.3</v>
      </c>
      <c r="AL362" s="3">
        <v>319.39999999999998</v>
      </c>
      <c r="AM362" s="3">
        <v>308.7</v>
      </c>
      <c r="AN362" s="3">
        <v>348.5</v>
      </c>
      <c r="AO362" s="3">
        <v>161.9</v>
      </c>
      <c r="AP362" s="3">
        <v>257.2</v>
      </c>
      <c r="AQ362" s="3">
        <v>341.2</v>
      </c>
      <c r="AR362" s="3">
        <v>198.5</v>
      </c>
      <c r="AS362" s="3">
        <v>688.5</v>
      </c>
      <c r="AT362" s="3">
        <v>490.3</v>
      </c>
      <c r="AU362" s="3">
        <v>364.8</v>
      </c>
      <c r="AV362" s="3">
        <v>225.2</v>
      </c>
      <c r="AW362" s="3">
        <v>373.2</v>
      </c>
      <c r="AX362" s="3">
        <v>337.1</v>
      </c>
      <c r="AY362" s="3">
        <v>501.9</v>
      </c>
      <c r="AZ362" s="3">
        <v>372.3</v>
      </c>
      <c r="BA362" s="3">
        <v>224.3</v>
      </c>
      <c r="BB362" s="3">
        <v>371.9</v>
      </c>
      <c r="BC362" s="3">
        <v>327.7</v>
      </c>
      <c r="BD362" s="3">
        <v>301.3</v>
      </c>
      <c r="BE362" s="3">
        <v>351.4</v>
      </c>
      <c r="BF362" s="3">
        <v>393.2</v>
      </c>
      <c r="BG362" s="3">
        <v>242.9</v>
      </c>
      <c r="BH362" s="3">
        <v>229.5</v>
      </c>
      <c r="BI362" s="3">
        <v>73.400000000000006</v>
      </c>
      <c r="BJ362" s="3">
        <v>195</v>
      </c>
      <c r="BK362" s="3">
        <v>209.6</v>
      </c>
      <c r="BL362" s="3">
        <v>235.6</v>
      </c>
      <c r="BM362" s="3">
        <v>403.2</v>
      </c>
      <c r="BN362" s="3">
        <v>105</v>
      </c>
      <c r="BO362" s="3">
        <v>396.2</v>
      </c>
      <c r="BP362" s="3">
        <v>466.2</v>
      </c>
      <c r="BQ362" s="3">
        <v>155.69999999999999</v>
      </c>
      <c r="BR362" s="3">
        <v>111.9</v>
      </c>
      <c r="BS362" s="3">
        <v>151.6</v>
      </c>
      <c r="BT362" s="3">
        <v>211.2</v>
      </c>
      <c r="BU362" s="3">
        <v>139.30000000000001</v>
      </c>
      <c r="BV362" s="3">
        <v>189.8</v>
      </c>
      <c r="BW362" s="3">
        <v>222.5</v>
      </c>
      <c r="BX362" s="3">
        <v>500.5</v>
      </c>
      <c r="BY362" s="3">
        <v>92.3</v>
      </c>
      <c r="BZ362" s="3">
        <v>419.4</v>
      </c>
      <c r="CA362" s="3">
        <v>345.8</v>
      </c>
      <c r="CB362" s="3">
        <v>701.1</v>
      </c>
      <c r="CC362" s="3">
        <v>393.2</v>
      </c>
      <c r="CD362" s="3">
        <v>440.6</v>
      </c>
      <c r="CE362" s="3">
        <v>289.10000000000002</v>
      </c>
      <c r="CF362" s="3">
        <v>6.9</v>
      </c>
      <c r="CG362" s="3">
        <v>108.7</v>
      </c>
      <c r="CH362" s="3">
        <v>86.8</v>
      </c>
      <c r="CI362" s="3">
        <v>391.4</v>
      </c>
      <c r="CJ362" s="3">
        <v>175.2</v>
      </c>
      <c r="CK362" s="3">
        <v>206.6</v>
      </c>
      <c r="CL362" s="3">
        <v>547.79999999999995</v>
      </c>
      <c r="CM362" s="3">
        <v>240.1</v>
      </c>
      <c r="CN362" s="3">
        <v>237.7</v>
      </c>
    </row>
    <row r="363" spans="1:92" x14ac:dyDescent="0.25">
      <c r="A363" s="4">
        <v>42767</v>
      </c>
      <c r="B363" s="3">
        <v>208.3</v>
      </c>
      <c r="C363" s="3">
        <v>203.8</v>
      </c>
      <c r="D363" s="3">
        <v>254.4</v>
      </c>
      <c r="E363" s="3">
        <v>214</v>
      </c>
      <c r="F363" s="3">
        <v>298.7</v>
      </c>
      <c r="G363" s="3">
        <v>318.7</v>
      </c>
      <c r="H363" s="3">
        <v>222.5</v>
      </c>
      <c r="I363" s="3">
        <v>201.2</v>
      </c>
      <c r="J363" s="3">
        <v>127.3</v>
      </c>
      <c r="K363" s="3">
        <v>183.9</v>
      </c>
      <c r="L363" s="3">
        <v>254.2</v>
      </c>
      <c r="M363" s="3">
        <v>266.60000000000002</v>
      </c>
      <c r="N363" s="3">
        <v>239</v>
      </c>
      <c r="O363" s="3">
        <v>322.7</v>
      </c>
      <c r="P363" s="3">
        <v>192.6</v>
      </c>
      <c r="Q363" s="3">
        <v>237.2</v>
      </c>
      <c r="R363" s="3">
        <v>210.6</v>
      </c>
      <c r="S363" s="3">
        <v>224.7</v>
      </c>
      <c r="T363" s="3">
        <v>178.4</v>
      </c>
      <c r="U363" s="3">
        <v>222.7</v>
      </c>
      <c r="V363" s="3">
        <v>179.5</v>
      </c>
      <c r="W363" s="3">
        <v>248.7</v>
      </c>
      <c r="X363" s="3">
        <v>189.1</v>
      </c>
      <c r="Y363" s="3">
        <v>285.89999999999998</v>
      </c>
      <c r="Z363" s="3">
        <v>218.5</v>
      </c>
      <c r="AA363" s="3">
        <v>213.9</v>
      </c>
      <c r="AB363" s="3">
        <v>206.8</v>
      </c>
      <c r="AC363" s="3">
        <v>177.9</v>
      </c>
      <c r="AD363" s="3">
        <v>157.80000000000001</v>
      </c>
      <c r="AE363" s="3">
        <v>243.2</v>
      </c>
      <c r="AF363" s="3">
        <v>215.9</v>
      </c>
      <c r="AG363" s="3">
        <v>201.9</v>
      </c>
      <c r="AH363" s="3">
        <v>286.2</v>
      </c>
      <c r="AI363" s="3">
        <v>193.6</v>
      </c>
      <c r="AJ363" s="3">
        <v>327.2</v>
      </c>
      <c r="AK363" s="3">
        <v>378.4</v>
      </c>
      <c r="AL363" s="3">
        <v>320.7</v>
      </c>
      <c r="AM363" s="3">
        <v>310.2</v>
      </c>
      <c r="AN363" s="3">
        <v>349.7</v>
      </c>
      <c r="AO363" s="3">
        <v>163.80000000000001</v>
      </c>
      <c r="AP363" s="3">
        <v>255.4</v>
      </c>
      <c r="AQ363" s="3">
        <v>341.9</v>
      </c>
      <c r="AR363" s="3">
        <v>194.8</v>
      </c>
      <c r="AS363" s="3">
        <v>692.4</v>
      </c>
      <c r="AT363" s="3">
        <v>496.8</v>
      </c>
      <c r="AU363" s="3">
        <v>365.1</v>
      </c>
      <c r="AV363" s="3">
        <v>225.1</v>
      </c>
      <c r="AW363" s="3">
        <v>377.1</v>
      </c>
      <c r="AX363" s="3">
        <v>337.1</v>
      </c>
      <c r="AY363" s="3">
        <v>501.9</v>
      </c>
      <c r="AZ363" s="3">
        <v>372.6</v>
      </c>
      <c r="BA363" s="3">
        <v>224.6</v>
      </c>
      <c r="BB363" s="3">
        <v>377.3</v>
      </c>
      <c r="BC363" s="3">
        <v>329.2</v>
      </c>
      <c r="BD363" s="3">
        <v>301.3</v>
      </c>
      <c r="BE363" s="3">
        <v>351.4</v>
      </c>
      <c r="BF363" s="3">
        <v>388.5</v>
      </c>
      <c r="BG363" s="3">
        <v>255.4</v>
      </c>
      <c r="BH363" s="3">
        <v>235.8</v>
      </c>
      <c r="BI363" s="3">
        <v>75.5</v>
      </c>
      <c r="BJ363" s="3">
        <v>201.6</v>
      </c>
      <c r="BK363" s="3">
        <v>212.7</v>
      </c>
      <c r="BL363" s="3">
        <v>240.7</v>
      </c>
      <c r="BM363" s="3">
        <v>403.2</v>
      </c>
      <c r="BN363" s="3">
        <v>106.6</v>
      </c>
      <c r="BO363" s="3">
        <v>397.4</v>
      </c>
      <c r="BP363" s="3">
        <v>466.7</v>
      </c>
      <c r="BQ363" s="3">
        <v>162.6</v>
      </c>
      <c r="BR363" s="3">
        <v>121.3</v>
      </c>
      <c r="BS363" s="3">
        <v>155.30000000000001</v>
      </c>
      <c r="BT363" s="3">
        <v>214.3</v>
      </c>
      <c r="BU363" s="3">
        <v>142.80000000000001</v>
      </c>
      <c r="BV363" s="3">
        <v>195.7</v>
      </c>
      <c r="BW363" s="3">
        <v>221</v>
      </c>
      <c r="BX363" s="3">
        <v>501.3</v>
      </c>
      <c r="BY363" s="3">
        <v>92.9</v>
      </c>
      <c r="BZ363" s="3">
        <v>419.5</v>
      </c>
      <c r="CA363" s="3">
        <v>351.7</v>
      </c>
      <c r="CB363" s="3">
        <v>721.4</v>
      </c>
      <c r="CC363" s="3">
        <v>394.2</v>
      </c>
      <c r="CD363" s="3">
        <v>460.2</v>
      </c>
      <c r="CE363" s="3">
        <v>302</v>
      </c>
      <c r="CF363" s="3">
        <v>7.2</v>
      </c>
      <c r="CG363" s="3">
        <v>112.8</v>
      </c>
      <c r="CH363" s="3">
        <v>87.1</v>
      </c>
      <c r="CI363" s="3">
        <v>402.1</v>
      </c>
      <c r="CJ363" s="3">
        <v>180.2</v>
      </c>
      <c r="CK363" s="3">
        <v>206.6</v>
      </c>
      <c r="CL363" s="3">
        <v>551.79999999999995</v>
      </c>
      <c r="CM363" s="3">
        <v>240.4</v>
      </c>
      <c r="CN363" s="3">
        <v>240.9</v>
      </c>
    </row>
    <row r="364" spans="1:92" x14ac:dyDescent="0.25">
      <c r="A364" s="4">
        <v>42795</v>
      </c>
      <c r="B364" s="3">
        <v>209</v>
      </c>
      <c r="C364" s="3">
        <v>204.2</v>
      </c>
      <c r="D364" s="3">
        <v>260.3</v>
      </c>
      <c r="E364" s="3">
        <v>213.8</v>
      </c>
      <c r="F364" s="3">
        <v>299.5</v>
      </c>
      <c r="G364" s="3">
        <v>313.8</v>
      </c>
      <c r="H364" s="3">
        <v>221.8</v>
      </c>
      <c r="I364" s="3">
        <v>196.8</v>
      </c>
      <c r="J364" s="3">
        <v>126</v>
      </c>
      <c r="K364" s="3">
        <v>184.7</v>
      </c>
      <c r="L364" s="3">
        <v>254.5</v>
      </c>
      <c r="M364" s="3">
        <v>270.3</v>
      </c>
      <c r="N364" s="3">
        <v>236.5</v>
      </c>
      <c r="O364" s="3">
        <v>317.3</v>
      </c>
      <c r="P364" s="3">
        <v>201.2</v>
      </c>
      <c r="Q364" s="3">
        <v>240.1</v>
      </c>
      <c r="R364" s="3">
        <v>210.1</v>
      </c>
      <c r="S364" s="3">
        <v>225.4</v>
      </c>
      <c r="T364" s="3">
        <v>185.9</v>
      </c>
      <c r="U364" s="3">
        <v>218.2</v>
      </c>
      <c r="V364" s="3">
        <v>178.9</v>
      </c>
      <c r="W364" s="3">
        <v>245.6</v>
      </c>
      <c r="X364" s="3">
        <v>190.6</v>
      </c>
      <c r="Y364" s="3">
        <v>285.7</v>
      </c>
      <c r="Z364" s="3">
        <v>221</v>
      </c>
      <c r="AA364" s="3">
        <v>213.8</v>
      </c>
      <c r="AB364" s="3">
        <v>210.1</v>
      </c>
      <c r="AC364" s="3">
        <v>177.1</v>
      </c>
      <c r="AD364" s="3">
        <v>155.1</v>
      </c>
      <c r="AE364" s="3">
        <v>251.5</v>
      </c>
      <c r="AF364" s="3">
        <v>218.3</v>
      </c>
      <c r="AG364" s="3">
        <v>204.5</v>
      </c>
      <c r="AH364" s="3">
        <v>287.60000000000002</v>
      </c>
      <c r="AI364" s="3">
        <v>191.5</v>
      </c>
      <c r="AJ364" s="3">
        <v>328.1</v>
      </c>
      <c r="AK364" s="3">
        <v>378.1</v>
      </c>
      <c r="AL364" s="3">
        <v>321.8</v>
      </c>
      <c r="AM364" s="3">
        <v>312.60000000000002</v>
      </c>
      <c r="AN364" s="3">
        <v>351.8</v>
      </c>
      <c r="AO364" s="3">
        <v>166.1</v>
      </c>
      <c r="AP364" s="3">
        <v>257.8</v>
      </c>
      <c r="AQ364" s="3">
        <v>344.6</v>
      </c>
      <c r="AR364" s="3">
        <v>197</v>
      </c>
      <c r="AS364" s="3">
        <v>707.4</v>
      </c>
      <c r="AT364" s="3">
        <v>502.4</v>
      </c>
      <c r="AU364" s="3">
        <v>365.3</v>
      </c>
      <c r="AV364" s="3">
        <v>224.7</v>
      </c>
      <c r="AW364" s="3">
        <v>375.9</v>
      </c>
      <c r="AX364" s="3">
        <v>337.1</v>
      </c>
      <c r="AY364" s="3">
        <v>501.9</v>
      </c>
      <c r="AZ364" s="3">
        <v>372.7</v>
      </c>
      <c r="BA364" s="3">
        <v>226</v>
      </c>
      <c r="BB364" s="3">
        <v>377.7</v>
      </c>
      <c r="BC364" s="3">
        <v>329.4</v>
      </c>
      <c r="BD364" s="3">
        <v>304.2</v>
      </c>
      <c r="BE364" s="3">
        <v>351.4</v>
      </c>
      <c r="BF364" s="3">
        <v>373.3</v>
      </c>
      <c r="BG364" s="3">
        <v>261.89999999999998</v>
      </c>
      <c r="BH364" s="3">
        <v>239</v>
      </c>
      <c r="BI364" s="3">
        <v>74.7</v>
      </c>
      <c r="BJ364" s="3">
        <v>203.2</v>
      </c>
      <c r="BK364" s="3">
        <v>210.9</v>
      </c>
      <c r="BL364" s="3">
        <v>240.1</v>
      </c>
      <c r="BM364" s="3">
        <v>403.2</v>
      </c>
      <c r="BN364" s="3">
        <v>106.6</v>
      </c>
      <c r="BO364" s="3">
        <v>398.4</v>
      </c>
      <c r="BP364" s="3">
        <v>465.4</v>
      </c>
      <c r="BQ364" s="3">
        <v>164.8</v>
      </c>
      <c r="BR364" s="3">
        <v>126.7</v>
      </c>
      <c r="BS364" s="3">
        <v>158.1</v>
      </c>
      <c r="BT364" s="3">
        <v>216.4</v>
      </c>
      <c r="BU364" s="3">
        <v>147.6</v>
      </c>
      <c r="BV364" s="3">
        <v>198.1</v>
      </c>
      <c r="BW364" s="3">
        <v>222.1</v>
      </c>
      <c r="BX364" s="3">
        <v>501.9</v>
      </c>
      <c r="BY364" s="3">
        <v>92.8</v>
      </c>
      <c r="BZ364" s="3">
        <v>420.8</v>
      </c>
      <c r="CA364" s="3">
        <v>350.7</v>
      </c>
      <c r="CB364" s="3">
        <v>736.1</v>
      </c>
      <c r="CC364" s="3">
        <v>394.8</v>
      </c>
      <c r="CD364" s="3">
        <v>457.6</v>
      </c>
      <c r="CE364" s="3">
        <v>294.39999999999998</v>
      </c>
      <c r="CF364" s="3">
        <v>7.1</v>
      </c>
      <c r="CG364" s="3">
        <v>113.1</v>
      </c>
      <c r="CH364" s="3">
        <v>88.9</v>
      </c>
      <c r="CI364" s="3">
        <v>399.8</v>
      </c>
      <c r="CJ364" s="3">
        <v>177.8</v>
      </c>
      <c r="CK364" s="3">
        <v>206.6</v>
      </c>
      <c r="CL364" s="3">
        <v>550.20000000000005</v>
      </c>
      <c r="CM364" s="3">
        <v>240.6</v>
      </c>
      <c r="CN364" s="3">
        <v>241.3</v>
      </c>
    </row>
    <row r="365" spans="1:92" x14ac:dyDescent="0.25">
      <c r="A365" s="4">
        <v>42826</v>
      </c>
      <c r="B365" s="3">
        <v>209.3</v>
      </c>
      <c r="C365" s="3">
        <v>202.7</v>
      </c>
      <c r="D365" s="3">
        <v>262</v>
      </c>
      <c r="E365" s="3">
        <v>211</v>
      </c>
      <c r="F365" s="3">
        <v>299.60000000000002</v>
      </c>
      <c r="G365" s="3">
        <v>322.2</v>
      </c>
      <c r="H365" s="3">
        <v>216.4</v>
      </c>
      <c r="I365" s="3">
        <v>204.1</v>
      </c>
      <c r="J365" s="3">
        <v>127.4</v>
      </c>
      <c r="K365" s="3">
        <v>186.2</v>
      </c>
      <c r="L365" s="3">
        <v>251.9</v>
      </c>
      <c r="M365" s="3">
        <v>268.39999999999998</v>
      </c>
      <c r="N365" s="3">
        <v>233.1</v>
      </c>
      <c r="O365" s="3">
        <v>319.10000000000002</v>
      </c>
      <c r="P365" s="3">
        <v>182.9</v>
      </c>
      <c r="Q365" s="3">
        <v>234.8</v>
      </c>
      <c r="R365" s="3">
        <v>210.5</v>
      </c>
      <c r="S365" s="3">
        <v>224.2</v>
      </c>
      <c r="T365" s="3">
        <v>186.5</v>
      </c>
      <c r="U365" s="3">
        <v>216</v>
      </c>
      <c r="V365" s="3">
        <v>182.8</v>
      </c>
      <c r="W365" s="3">
        <v>246.8</v>
      </c>
      <c r="X365" s="3">
        <v>193</v>
      </c>
      <c r="Y365" s="3">
        <v>289.10000000000002</v>
      </c>
      <c r="Z365" s="3">
        <v>225.4</v>
      </c>
      <c r="AA365" s="3">
        <v>212.6</v>
      </c>
      <c r="AB365" s="3">
        <v>216</v>
      </c>
      <c r="AC365" s="3">
        <v>174.7</v>
      </c>
      <c r="AD365" s="3">
        <v>154.5</v>
      </c>
      <c r="AE365" s="3">
        <v>241.3</v>
      </c>
      <c r="AF365" s="3">
        <v>217.9</v>
      </c>
      <c r="AG365" s="3">
        <v>204.5</v>
      </c>
      <c r="AH365" s="3">
        <v>285.2</v>
      </c>
      <c r="AI365" s="3">
        <v>193.8</v>
      </c>
      <c r="AJ365" s="3">
        <v>329.6</v>
      </c>
      <c r="AK365" s="3">
        <v>378.5</v>
      </c>
      <c r="AL365" s="3">
        <v>323</v>
      </c>
      <c r="AM365" s="3">
        <v>312.5</v>
      </c>
      <c r="AN365" s="3">
        <v>353.1</v>
      </c>
      <c r="AO365" s="3">
        <v>163.5</v>
      </c>
      <c r="AP365" s="3">
        <v>258.5</v>
      </c>
      <c r="AQ365" s="3">
        <v>346</v>
      </c>
      <c r="AR365" s="3">
        <v>197</v>
      </c>
      <c r="AS365" s="3">
        <v>713.8</v>
      </c>
      <c r="AT365" s="3">
        <v>512.4</v>
      </c>
      <c r="AU365" s="3">
        <v>364.9</v>
      </c>
      <c r="AV365" s="3">
        <v>224.1</v>
      </c>
      <c r="AW365" s="3">
        <v>373.6</v>
      </c>
      <c r="AX365" s="3">
        <v>349.8</v>
      </c>
      <c r="AY365" s="3">
        <v>510.7</v>
      </c>
      <c r="AZ365" s="3">
        <v>372.8</v>
      </c>
      <c r="BA365" s="3">
        <v>225.8</v>
      </c>
      <c r="BB365" s="3">
        <v>376.6</v>
      </c>
      <c r="BC365" s="3">
        <v>329.6</v>
      </c>
      <c r="BD365" s="3">
        <v>311.89999999999998</v>
      </c>
      <c r="BE365" s="3">
        <v>349.3</v>
      </c>
      <c r="BF365" s="3">
        <v>373.9</v>
      </c>
      <c r="BG365" s="3">
        <v>257.10000000000002</v>
      </c>
      <c r="BH365" s="3">
        <v>234.1</v>
      </c>
      <c r="BI365" s="3">
        <v>74.900000000000006</v>
      </c>
      <c r="BJ365" s="3">
        <v>200.5</v>
      </c>
      <c r="BK365" s="3">
        <v>211</v>
      </c>
      <c r="BL365" s="3">
        <v>239.5</v>
      </c>
      <c r="BM365" s="3">
        <v>410.1</v>
      </c>
      <c r="BN365" s="3">
        <v>105.3</v>
      </c>
      <c r="BO365" s="3">
        <v>399.8</v>
      </c>
      <c r="BP365" s="3">
        <v>466</v>
      </c>
      <c r="BQ365" s="3">
        <v>170.5</v>
      </c>
      <c r="BR365" s="3">
        <v>128.1</v>
      </c>
      <c r="BS365" s="3">
        <v>160.1</v>
      </c>
      <c r="BT365" s="3">
        <v>219.6</v>
      </c>
      <c r="BU365" s="3">
        <v>149.5</v>
      </c>
      <c r="BV365" s="3">
        <v>195.8</v>
      </c>
      <c r="BW365" s="3">
        <v>222.1</v>
      </c>
      <c r="BX365" s="3">
        <v>507.9</v>
      </c>
      <c r="BY365" s="3">
        <v>92.5</v>
      </c>
      <c r="BZ365" s="3">
        <v>423.7</v>
      </c>
      <c r="CA365" s="3">
        <v>342.6</v>
      </c>
      <c r="CB365" s="3">
        <v>764.3</v>
      </c>
      <c r="CC365" s="3">
        <v>402.5</v>
      </c>
      <c r="CD365" s="3">
        <v>465.9</v>
      </c>
      <c r="CE365" s="3">
        <v>329.4</v>
      </c>
      <c r="CF365" s="3">
        <v>7.1</v>
      </c>
      <c r="CG365" s="3">
        <v>115.7</v>
      </c>
      <c r="CH365" s="3">
        <v>87.8</v>
      </c>
      <c r="CI365" s="3">
        <v>397</v>
      </c>
      <c r="CJ365" s="3">
        <v>178.1</v>
      </c>
      <c r="CK365" s="3">
        <v>207.8</v>
      </c>
      <c r="CL365" s="3">
        <v>561.6</v>
      </c>
      <c r="CM365" s="3">
        <v>243.4</v>
      </c>
      <c r="CN365" s="3">
        <v>243.4</v>
      </c>
    </row>
    <row r="366" spans="1:92" x14ac:dyDescent="0.25">
      <c r="A366" s="4">
        <v>42856</v>
      </c>
      <c r="B366" s="3">
        <v>211.4</v>
      </c>
      <c r="C366" s="3">
        <v>204.7</v>
      </c>
      <c r="D366" s="3">
        <v>256.2</v>
      </c>
      <c r="E366" s="3">
        <v>214.2</v>
      </c>
      <c r="F366" s="3">
        <v>300.8</v>
      </c>
      <c r="G366" s="3">
        <v>322.89999999999998</v>
      </c>
      <c r="H366" s="3">
        <v>221.5</v>
      </c>
      <c r="I366" s="3">
        <v>200.2</v>
      </c>
      <c r="J366" s="3">
        <v>124.7</v>
      </c>
      <c r="K366" s="3">
        <v>185.3</v>
      </c>
      <c r="L366" s="3">
        <v>258.2</v>
      </c>
      <c r="M366" s="3">
        <v>272.89999999999998</v>
      </c>
      <c r="N366" s="3">
        <v>240.9</v>
      </c>
      <c r="O366" s="3">
        <v>316.60000000000002</v>
      </c>
      <c r="P366" s="3">
        <v>191.9</v>
      </c>
      <c r="Q366" s="3">
        <v>239.1</v>
      </c>
      <c r="R366" s="3">
        <v>208.9</v>
      </c>
      <c r="S366" s="3">
        <v>225.8</v>
      </c>
      <c r="T366" s="3">
        <v>186.9</v>
      </c>
      <c r="U366" s="3">
        <v>217.3</v>
      </c>
      <c r="V366" s="3">
        <v>179.4</v>
      </c>
      <c r="W366" s="3">
        <v>248</v>
      </c>
      <c r="X366" s="3">
        <v>188</v>
      </c>
      <c r="Y366" s="3">
        <v>295.8</v>
      </c>
      <c r="Z366" s="3">
        <v>221.8</v>
      </c>
      <c r="AA366" s="3">
        <v>216.9</v>
      </c>
      <c r="AB366" s="3">
        <v>210</v>
      </c>
      <c r="AC366" s="3">
        <v>173.5</v>
      </c>
      <c r="AD366" s="3">
        <v>152</v>
      </c>
      <c r="AE366" s="3">
        <v>246.9</v>
      </c>
      <c r="AF366" s="3">
        <v>217.2</v>
      </c>
      <c r="AG366" s="3">
        <v>203.8</v>
      </c>
      <c r="AH366" s="3">
        <v>284.7</v>
      </c>
      <c r="AI366" s="3">
        <v>193.9</v>
      </c>
      <c r="AJ366" s="3">
        <v>330.6</v>
      </c>
      <c r="AK366" s="3">
        <v>379.9</v>
      </c>
      <c r="AL366" s="3">
        <v>323.60000000000002</v>
      </c>
      <c r="AM366" s="3">
        <v>314</v>
      </c>
      <c r="AN366" s="3">
        <v>353.8</v>
      </c>
      <c r="AO366" s="3">
        <v>165.9</v>
      </c>
      <c r="AP366" s="3">
        <v>260.89999999999998</v>
      </c>
      <c r="AQ366" s="3">
        <v>347.6</v>
      </c>
      <c r="AR366" s="3">
        <v>200.3</v>
      </c>
      <c r="AS366" s="3">
        <v>714.8</v>
      </c>
      <c r="AT366" s="3">
        <v>516.6</v>
      </c>
      <c r="AU366" s="3">
        <v>365.2</v>
      </c>
      <c r="AV366" s="3">
        <v>225.1</v>
      </c>
      <c r="AW366" s="3">
        <v>377.2</v>
      </c>
      <c r="AX366" s="3">
        <v>349.8</v>
      </c>
      <c r="AY366" s="3">
        <v>510.7</v>
      </c>
      <c r="AZ366" s="3">
        <v>372.7</v>
      </c>
      <c r="BA366" s="3">
        <v>226.4</v>
      </c>
      <c r="BB366" s="3">
        <v>381.3</v>
      </c>
      <c r="BC366" s="3">
        <v>325</v>
      </c>
      <c r="BD366" s="3">
        <v>324.5</v>
      </c>
      <c r="BE366" s="3">
        <v>351.2</v>
      </c>
      <c r="BF366" s="3">
        <v>353.6</v>
      </c>
      <c r="BG366" s="3">
        <v>262</v>
      </c>
      <c r="BH366" s="3">
        <v>240</v>
      </c>
      <c r="BI366" s="3">
        <v>74.900000000000006</v>
      </c>
      <c r="BJ366" s="3">
        <v>205</v>
      </c>
      <c r="BK366" s="3">
        <v>211.7</v>
      </c>
      <c r="BL366" s="3">
        <v>239.2</v>
      </c>
      <c r="BM366" s="3">
        <v>410.1</v>
      </c>
      <c r="BN366" s="3">
        <v>106</v>
      </c>
      <c r="BO366" s="3">
        <v>401</v>
      </c>
      <c r="BP366" s="3">
        <v>468.1</v>
      </c>
      <c r="BQ366" s="3">
        <v>170.2</v>
      </c>
      <c r="BR366" s="3">
        <v>129.69999999999999</v>
      </c>
      <c r="BS366" s="3">
        <v>163.6</v>
      </c>
      <c r="BT366" s="3">
        <v>220.1</v>
      </c>
      <c r="BU366" s="3">
        <v>149.19999999999999</v>
      </c>
      <c r="BV366" s="3">
        <v>197.8</v>
      </c>
      <c r="BW366" s="3">
        <v>220.5</v>
      </c>
      <c r="BX366" s="3">
        <v>509.1</v>
      </c>
      <c r="BY366" s="3">
        <v>92.2</v>
      </c>
      <c r="BZ366" s="3">
        <v>424.8</v>
      </c>
      <c r="CA366" s="3">
        <v>337.7</v>
      </c>
      <c r="CB366" s="3">
        <v>767.1</v>
      </c>
      <c r="CC366" s="3">
        <v>402.1</v>
      </c>
      <c r="CD366" s="3">
        <v>464.9</v>
      </c>
      <c r="CE366" s="3">
        <v>315.3</v>
      </c>
      <c r="CF366" s="3">
        <v>7.3</v>
      </c>
      <c r="CG366" s="3">
        <v>118.4</v>
      </c>
      <c r="CH366" s="3">
        <v>88.9</v>
      </c>
      <c r="CI366" s="3">
        <v>407.8</v>
      </c>
      <c r="CJ366" s="3">
        <v>179.5</v>
      </c>
      <c r="CK366" s="3">
        <v>207.8</v>
      </c>
      <c r="CL366" s="3">
        <v>564.20000000000005</v>
      </c>
      <c r="CM366" s="3">
        <v>245.2</v>
      </c>
      <c r="CN366" s="3">
        <v>245.4</v>
      </c>
    </row>
    <row r="367" spans="1:92" x14ac:dyDescent="0.25">
      <c r="A367" s="4">
        <v>42887</v>
      </c>
      <c r="B367" s="3">
        <v>211.2</v>
      </c>
      <c r="C367" s="3">
        <v>204.9</v>
      </c>
      <c r="D367" s="3">
        <v>259.10000000000002</v>
      </c>
      <c r="E367" s="3">
        <v>212.9</v>
      </c>
      <c r="F367" s="3">
        <v>301.8</v>
      </c>
      <c r="G367" s="3">
        <v>323.60000000000002</v>
      </c>
      <c r="H367" s="3">
        <v>225.2</v>
      </c>
      <c r="I367" s="3">
        <v>200.2</v>
      </c>
      <c r="J367" s="3">
        <v>124.7</v>
      </c>
      <c r="K367" s="3">
        <v>187.7</v>
      </c>
      <c r="L367" s="3">
        <v>263</v>
      </c>
      <c r="M367" s="3">
        <v>278.2</v>
      </c>
      <c r="N367" s="3">
        <v>245.2</v>
      </c>
      <c r="O367" s="3">
        <v>321.2</v>
      </c>
      <c r="P367" s="3">
        <v>197.8</v>
      </c>
      <c r="Q367" s="3">
        <v>231.3</v>
      </c>
      <c r="R367" s="3">
        <v>209.5</v>
      </c>
      <c r="S367" s="3">
        <v>227</v>
      </c>
      <c r="T367" s="3">
        <v>190.8</v>
      </c>
      <c r="U367" s="3">
        <v>214.8</v>
      </c>
      <c r="V367" s="3">
        <v>184.3</v>
      </c>
      <c r="W367" s="3">
        <v>249.1</v>
      </c>
      <c r="X367" s="3">
        <v>191.9</v>
      </c>
      <c r="Y367" s="3">
        <v>290.39999999999998</v>
      </c>
      <c r="Z367" s="3">
        <v>220.3</v>
      </c>
      <c r="AA367" s="3">
        <v>216.7</v>
      </c>
      <c r="AB367" s="3">
        <v>208.1</v>
      </c>
      <c r="AC367" s="3">
        <v>170.9</v>
      </c>
      <c r="AD367" s="3">
        <v>150.69999999999999</v>
      </c>
      <c r="AE367" s="3">
        <v>237.8</v>
      </c>
      <c r="AF367" s="3">
        <v>215.9</v>
      </c>
      <c r="AG367" s="3">
        <v>202</v>
      </c>
      <c r="AH367" s="3">
        <v>285.7</v>
      </c>
      <c r="AI367" s="3">
        <v>191.5</v>
      </c>
      <c r="AJ367" s="3">
        <v>331.3</v>
      </c>
      <c r="AK367" s="3">
        <v>379.6</v>
      </c>
      <c r="AL367" s="3">
        <v>324.10000000000002</v>
      </c>
      <c r="AM367" s="3">
        <v>315.39999999999998</v>
      </c>
      <c r="AN367" s="3">
        <v>354.3</v>
      </c>
      <c r="AO367" s="3">
        <v>168.8</v>
      </c>
      <c r="AP367" s="3">
        <v>260</v>
      </c>
      <c r="AQ367" s="3">
        <v>348.4</v>
      </c>
      <c r="AR367" s="3">
        <v>197.9</v>
      </c>
      <c r="AS367" s="3">
        <v>714.7</v>
      </c>
      <c r="AT367" s="3">
        <v>518.20000000000005</v>
      </c>
      <c r="AU367" s="3">
        <v>365.5</v>
      </c>
      <c r="AV367" s="3">
        <v>223.9</v>
      </c>
      <c r="AW367" s="3">
        <v>377.9</v>
      </c>
      <c r="AX367" s="3">
        <v>349.8</v>
      </c>
      <c r="AY367" s="3">
        <v>510.7</v>
      </c>
      <c r="AZ367" s="3">
        <v>373.1</v>
      </c>
      <c r="BA367" s="3">
        <v>225.9</v>
      </c>
      <c r="BB367" s="3">
        <v>386.5</v>
      </c>
      <c r="BC367" s="3">
        <v>324.3</v>
      </c>
      <c r="BD367" s="3">
        <v>324.5</v>
      </c>
      <c r="BE367" s="3">
        <v>351.2</v>
      </c>
      <c r="BF367" s="3">
        <v>348.7</v>
      </c>
      <c r="BG367" s="3">
        <v>268.7</v>
      </c>
      <c r="BH367" s="3">
        <v>240.8</v>
      </c>
      <c r="BI367" s="3">
        <v>75.599999999999994</v>
      </c>
      <c r="BJ367" s="3">
        <v>204.4</v>
      </c>
      <c r="BK367" s="3">
        <v>210.5</v>
      </c>
      <c r="BL367" s="3">
        <v>239.5</v>
      </c>
      <c r="BM367" s="3">
        <v>410.1</v>
      </c>
      <c r="BN367" s="3">
        <v>106.8</v>
      </c>
      <c r="BO367" s="3">
        <v>402.4</v>
      </c>
      <c r="BP367" s="3">
        <v>469.1</v>
      </c>
      <c r="BQ367" s="3">
        <v>170.8</v>
      </c>
      <c r="BR367" s="3">
        <v>127.3</v>
      </c>
      <c r="BS367" s="3">
        <v>159</v>
      </c>
      <c r="BT367" s="3">
        <v>220.6</v>
      </c>
      <c r="BU367" s="3">
        <v>148.80000000000001</v>
      </c>
      <c r="BV367" s="3">
        <v>197.2</v>
      </c>
      <c r="BW367" s="3">
        <v>220.2</v>
      </c>
      <c r="BX367" s="3">
        <v>509.6</v>
      </c>
      <c r="BY367" s="3">
        <v>91.5</v>
      </c>
      <c r="BZ367" s="3">
        <v>426.2</v>
      </c>
      <c r="CA367" s="3">
        <v>337.9</v>
      </c>
      <c r="CB367" s="3">
        <v>781.1</v>
      </c>
      <c r="CC367" s="3">
        <v>394.6</v>
      </c>
      <c r="CD367" s="3">
        <v>463.5</v>
      </c>
      <c r="CE367" s="3">
        <v>344.5</v>
      </c>
      <c r="CF367" s="3">
        <v>7.2</v>
      </c>
      <c r="CG367" s="3">
        <v>118.6</v>
      </c>
      <c r="CH367" s="3">
        <v>88.8</v>
      </c>
      <c r="CI367" s="3">
        <v>404.2</v>
      </c>
      <c r="CJ367" s="3">
        <v>178.7</v>
      </c>
      <c r="CK367" s="3">
        <v>207.8</v>
      </c>
      <c r="CL367" s="3">
        <v>565.1</v>
      </c>
      <c r="CM367" s="3">
        <v>245.8</v>
      </c>
      <c r="CN367" s="3">
        <v>246.2</v>
      </c>
    </row>
    <row r="368" spans="1:92" x14ac:dyDescent="0.25">
      <c r="A368" s="4">
        <v>42917</v>
      </c>
      <c r="B368" s="3">
        <v>208.8</v>
      </c>
      <c r="C368" s="3">
        <v>204.9</v>
      </c>
      <c r="D368" s="3">
        <v>260.2</v>
      </c>
      <c r="E368" s="3">
        <v>209.9</v>
      </c>
      <c r="F368" s="3">
        <v>299.5</v>
      </c>
      <c r="G368" s="3">
        <v>319.10000000000002</v>
      </c>
      <c r="H368" s="3">
        <v>222</v>
      </c>
      <c r="I368" s="3">
        <v>200.5</v>
      </c>
      <c r="J368" s="3">
        <v>124.8</v>
      </c>
      <c r="K368" s="3">
        <v>186.2</v>
      </c>
      <c r="L368" s="3">
        <v>257.3</v>
      </c>
      <c r="M368" s="3">
        <v>273.5</v>
      </c>
      <c r="N368" s="3">
        <v>238.8</v>
      </c>
      <c r="O368" s="3">
        <v>322.7</v>
      </c>
      <c r="P368" s="3">
        <v>192.3</v>
      </c>
      <c r="Q368" s="3">
        <v>241.1</v>
      </c>
      <c r="R368" s="3">
        <v>209.6</v>
      </c>
      <c r="S368" s="3">
        <v>225.7</v>
      </c>
      <c r="T368" s="3">
        <v>188.9</v>
      </c>
      <c r="U368" s="3">
        <v>220.8</v>
      </c>
      <c r="V368" s="3">
        <v>185.1</v>
      </c>
      <c r="W368" s="3">
        <v>245.4</v>
      </c>
      <c r="X368" s="3">
        <v>188.5</v>
      </c>
      <c r="Y368" s="3">
        <v>290.5</v>
      </c>
      <c r="Z368" s="3">
        <v>220.6</v>
      </c>
      <c r="AA368" s="3">
        <v>217.5</v>
      </c>
      <c r="AB368" s="3">
        <v>208.3</v>
      </c>
      <c r="AC368" s="3">
        <v>173.5</v>
      </c>
      <c r="AD368" s="3">
        <v>151</v>
      </c>
      <c r="AE368" s="3">
        <v>251.5</v>
      </c>
      <c r="AF368" s="3">
        <v>213.2</v>
      </c>
      <c r="AG368" s="3">
        <v>197.7</v>
      </c>
      <c r="AH368" s="3">
        <v>290.3</v>
      </c>
      <c r="AI368" s="3">
        <v>196.8</v>
      </c>
      <c r="AJ368" s="3">
        <v>332</v>
      </c>
      <c r="AK368" s="3">
        <v>378.6</v>
      </c>
      <c r="AL368" s="3">
        <v>324.7</v>
      </c>
      <c r="AM368" s="3">
        <v>315.39999999999998</v>
      </c>
      <c r="AN368" s="3">
        <v>354.7</v>
      </c>
      <c r="AO368" s="3">
        <v>167.9</v>
      </c>
      <c r="AP368" s="3">
        <v>261.39999999999998</v>
      </c>
      <c r="AQ368" s="3">
        <v>349.3</v>
      </c>
      <c r="AR368" s="3">
        <v>199.8</v>
      </c>
      <c r="AS368" s="3">
        <v>715.5</v>
      </c>
      <c r="AT368" s="3">
        <v>518.4</v>
      </c>
      <c r="AU368" s="3">
        <v>365.8</v>
      </c>
      <c r="AV368" s="3">
        <v>223.6</v>
      </c>
      <c r="AW368" s="3">
        <v>380.2</v>
      </c>
      <c r="AX368" s="3">
        <v>349.8</v>
      </c>
      <c r="AY368" s="3">
        <v>510.7</v>
      </c>
      <c r="AZ368" s="3">
        <v>373.4</v>
      </c>
      <c r="BA368" s="3">
        <v>226</v>
      </c>
      <c r="BB368" s="3">
        <v>387.8</v>
      </c>
      <c r="BC368" s="3">
        <v>324</v>
      </c>
      <c r="BD368" s="3">
        <v>328.4</v>
      </c>
      <c r="BE368" s="3">
        <v>352.9</v>
      </c>
      <c r="BF368" s="3">
        <v>347.1</v>
      </c>
      <c r="BG368" s="3">
        <v>259.8</v>
      </c>
      <c r="BH368" s="3">
        <v>237</v>
      </c>
      <c r="BI368" s="3">
        <v>76.3</v>
      </c>
      <c r="BJ368" s="3">
        <v>200.5</v>
      </c>
      <c r="BK368" s="3">
        <v>213.1</v>
      </c>
      <c r="BL368" s="3">
        <v>240.6</v>
      </c>
      <c r="BM368" s="3">
        <v>410.1</v>
      </c>
      <c r="BN368" s="3">
        <v>106.7</v>
      </c>
      <c r="BO368" s="3">
        <v>403.6</v>
      </c>
      <c r="BP368" s="3">
        <v>472.4</v>
      </c>
      <c r="BQ368" s="3">
        <v>167.7</v>
      </c>
      <c r="BR368" s="3">
        <v>122.7</v>
      </c>
      <c r="BS368" s="3">
        <v>154.5</v>
      </c>
      <c r="BT368" s="3">
        <v>218.1</v>
      </c>
      <c r="BU368" s="3">
        <v>145.6</v>
      </c>
      <c r="BV368" s="3">
        <v>195.5</v>
      </c>
      <c r="BW368" s="3">
        <v>220.2</v>
      </c>
      <c r="BX368" s="3">
        <v>512.20000000000005</v>
      </c>
      <c r="BY368" s="3">
        <v>91.4</v>
      </c>
      <c r="BZ368" s="3">
        <v>427.6</v>
      </c>
      <c r="CA368" s="3">
        <v>331.5</v>
      </c>
      <c r="CB368" s="3">
        <v>799.9</v>
      </c>
      <c r="CC368" s="3">
        <v>399.2</v>
      </c>
      <c r="CD368" s="3">
        <v>466.8</v>
      </c>
      <c r="CE368" s="3">
        <v>387</v>
      </c>
      <c r="CF368" s="3">
        <v>7.2</v>
      </c>
      <c r="CG368" s="3">
        <v>115.7</v>
      </c>
      <c r="CH368" s="3">
        <v>87.5</v>
      </c>
      <c r="CI368" s="3">
        <v>422.8</v>
      </c>
      <c r="CJ368" s="3">
        <v>179.7</v>
      </c>
      <c r="CK368" s="3">
        <v>207.8</v>
      </c>
      <c r="CL368" s="3">
        <v>564.1</v>
      </c>
      <c r="CM368" s="3">
        <v>246.6</v>
      </c>
      <c r="CN368" s="3">
        <v>248.3</v>
      </c>
    </row>
    <row r="369" spans="1:92" x14ac:dyDescent="0.25">
      <c r="A369" s="4">
        <v>42948</v>
      </c>
      <c r="B369" s="3">
        <v>212.1</v>
      </c>
      <c r="C369" s="3">
        <v>205</v>
      </c>
      <c r="D369" s="3">
        <v>263.3</v>
      </c>
      <c r="E369" s="3">
        <v>214.8</v>
      </c>
      <c r="F369" s="3">
        <v>301.2</v>
      </c>
      <c r="G369" s="3">
        <v>323.60000000000002</v>
      </c>
      <c r="H369" s="3">
        <v>214.4</v>
      </c>
      <c r="I369" s="3">
        <v>202.9</v>
      </c>
      <c r="J369" s="3">
        <v>124</v>
      </c>
      <c r="K369" s="3">
        <v>184.4</v>
      </c>
      <c r="L369" s="3">
        <v>261.60000000000002</v>
      </c>
      <c r="M369" s="3">
        <v>273.39999999999998</v>
      </c>
      <c r="N369" s="3">
        <v>246.9</v>
      </c>
      <c r="O369" s="3">
        <v>328.6</v>
      </c>
      <c r="P369" s="3">
        <v>201.7</v>
      </c>
      <c r="Q369" s="3">
        <v>239</v>
      </c>
      <c r="R369" s="3">
        <v>209</v>
      </c>
      <c r="S369" s="3">
        <v>225.3</v>
      </c>
      <c r="T369" s="3">
        <v>190</v>
      </c>
      <c r="U369" s="3">
        <v>216.6</v>
      </c>
      <c r="V369" s="3">
        <v>186.4</v>
      </c>
      <c r="W369" s="3">
        <v>244.7</v>
      </c>
      <c r="X369" s="3">
        <v>186.8</v>
      </c>
      <c r="Y369" s="3">
        <v>293.39999999999998</v>
      </c>
      <c r="Z369" s="3">
        <v>221</v>
      </c>
      <c r="AA369" s="3">
        <v>218.2</v>
      </c>
      <c r="AB369" s="3">
        <v>208.6</v>
      </c>
      <c r="AC369" s="3">
        <v>171.9</v>
      </c>
      <c r="AD369" s="3">
        <v>149.30000000000001</v>
      </c>
      <c r="AE369" s="3">
        <v>250.2</v>
      </c>
      <c r="AF369" s="3">
        <v>212.6</v>
      </c>
      <c r="AG369" s="3">
        <v>197.4</v>
      </c>
      <c r="AH369" s="3">
        <v>288.39999999999998</v>
      </c>
      <c r="AI369" s="3">
        <v>191.1</v>
      </c>
      <c r="AJ369" s="3">
        <v>332</v>
      </c>
      <c r="AK369" s="3">
        <v>378.7</v>
      </c>
      <c r="AL369" s="3">
        <v>326.2</v>
      </c>
      <c r="AM369" s="3">
        <v>315.7</v>
      </c>
      <c r="AN369" s="3">
        <v>355.2</v>
      </c>
      <c r="AO369" s="3">
        <v>167.9</v>
      </c>
      <c r="AP369" s="3">
        <v>261.8</v>
      </c>
      <c r="AQ369" s="3">
        <v>350</v>
      </c>
      <c r="AR369" s="3">
        <v>200</v>
      </c>
      <c r="AS369" s="3">
        <v>714.9</v>
      </c>
      <c r="AT369" s="3">
        <v>517.1</v>
      </c>
      <c r="AU369" s="3">
        <v>366.1</v>
      </c>
      <c r="AV369" s="3">
        <v>223.2</v>
      </c>
      <c r="AW369" s="3">
        <v>383.8</v>
      </c>
      <c r="AX369" s="3">
        <v>349.8</v>
      </c>
      <c r="AY369" s="3">
        <v>510.7</v>
      </c>
      <c r="AZ369" s="3">
        <v>374.1</v>
      </c>
      <c r="BA369" s="3">
        <v>225.6</v>
      </c>
      <c r="BB369" s="3">
        <v>392.1</v>
      </c>
      <c r="BC369" s="3">
        <v>324.10000000000002</v>
      </c>
      <c r="BD369" s="3">
        <v>328.4</v>
      </c>
      <c r="BE369" s="3">
        <v>352.9</v>
      </c>
      <c r="BF369" s="3">
        <v>359.1</v>
      </c>
      <c r="BG369" s="3">
        <v>271.7</v>
      </c>
      <c r="BH369" s="3">
        <v>238.9</v>
      </c>
      <c r="BI369" s="3">
        <v>76.900000000000006</v>
      </c>
      <c r="BJ369" s="3">
        <v>205.4</v>
      </c>
      <c r="BK369" s="3">
        <v>211.7</v>
      </c>
      <c r="BL369" s="3">
        <v>240.8</v>
      </c>
      <c r="BM369" s="3">
        <v>410.1</v>
      </c>
      <c r="BN369" s="3">
        <v>108.3</v>
      </c>
      <c r="BO369" s="3">
        <v>404.4</v>
      </c>
      <c r="BP369" s="3">
        <v>474.2</v>
      </c>
      <c r="BQ369" s="3">
        <v>169.5</v>
      </c>
      <c r="BR369" s="3">
        <v>127.3</v>
      </c>
      <c r="BS369" s="3">
        <v>160.80000000000001</v>
      </c>
      <c r="BT369" s="3">
        <v>219.6</v>
      </c>
      <c r="BU369" s="3">
        <v>148.80000000000001</v>
      </c>
      <c r="BV369" s="3">
        <v>199.2</v>
      </c>
      <c r="BW369" s="3">
        <v>218.9</v>
      </c>
      <c r="BX369" s="3">
        <v>512.5</v>
      </c>
      <c r="BY369" s="3">
        <v>91.2</v>
      </c>
      <c r="BZ369" s="3">
        <v>429.3</v>
      </c>
      <c r="CA369" s="3">
        <v>337.3</v>
      </c>
      <c r="CB369" s="3">
        <v>805.6</v>
      </c>
      <c r="CC369" s="3">
        <v>395.8</v>
      </c>
      <c r="CD369" s="3">
        <v>469.6</v>
      </c>
      <c r="CE369" s="3">
        <v>417.7</v>
      </c>
      <c r="CF369" s="3">
        <v>7.3</v>
      </c>
      <c r="CG369" s="3">
        <v>115.8</v>
      </c>
      <c r="CH369" s="3">
        <v>88.1</v>
      </c>
      <c r="CI369" s="3">
        <v>400.9</v>
      </c>
      <c r="CJ369" s="3">
        <v>178.3</v>
      </c>
      <c r="CK369" s="3">
        <v>207.7</v>
      </c>
      <c r="CL369" s="3">
        <v>568.4</v>
      </c>
      <c r="CM369" s="3">
        <v>248.9</v>
      </c>
      <c r="CN369" s="3">
        <v>249</v>
      </c>
    </row>
    <row r="370" spans="1:92" x14ac:dyDescent="0.25">
      <c r="A370" s="4">
        <v>42979</v>
      </c>
      <c r="B370" s="3">
        <v>213</v>
      </c>
      <c r="C370" s="3">
        <v>199.6</v>
      </c>
      <c r="D370" s="3">
        <v>262.10000000000002</v>
      </c>
      <c r="E370" s="3">
        <v>213</v>
      </c>
      <c r="F370" s="3">
        <v>306.8</v>
      </c>
      <c r="G370" s="3">
        <v>320.2</v>
      </c>
      <c r="H370" s="3">
        <v>215.5</v>
      </c>
      <c r="I370" s="3">
        <v>201.8</v>
      </c>
      <c r="J370" s="3">
        <v>125</v>
      </c>
      <c r="K370" s="3">
        <v>188.6</v>
      </c>
      <c r="L370" s="3">
        <v>267.7</v>
      </c>
      <c r="M370" s="3">
        <v>282.7</v>
      </c>
      <c r="N370" s="3">
        <v>250</v>
      </c>
      <c r="O370" s="3">
        <v>350</v>
      </c>
      <c r="P370" s="3">
        <v>210.7</v>
      </c>
      <c r="Q370" s="3">
        <v>240</v>
      </c>
      <c r="R370" s="3">
        <v>209.4</v>
      </c>
      <c r="S370" s="3">
        <v>226</v>
      </c>
      <c r="T370" s="3">
        <v>186.1</v>
      </c>
      <c r="U370" s="3">
        <v>226.7</v>
      </c>
      <c r="V370" s="3">
        <v>184.9</v>
      </c>
      <c r="W370" s="3">
        <v>246.5</v>
      </c>
      <c r="X370" s="3">
        <v>191.5</v>
      </c>
      <c r="Y370" s="3">
        <v>296</v>
      </c>
      <c r="Z370" s="3">
        <v>223.1</v>
      </c>
      <c r="AA370" s="3">
        <v>216.5</v>
      </c>
      <c r="AB370" s="3">
        <v>211.8</v>
      </c>
      <c r="AC370" s="3">
        <v>170.9</v>
      </c>
      <c r="AD370" s="3">
        <v>149.4</v>
      </c>
      <c r="AE370" s="3">
        <v>244.5</v>
      </c>
      <c r="AF370" s="3">
        <v>215.7</v>
      </c>
      <c r="AG370" s="3">
        <v>201.5</v>
      </c>
      <c r="AH370" s="3">
        <v>286.7</v>
      </c>
      <c r="AI370" s="3">
        <v>196.9</v>
      </c>
      <c r="AJ370" s="3">
        <v>333.2</v>
      </c>
      <c r="AK370" s="3">
        <v>379.8</v>
      </c>
      <c r="AL370" s="3">
        <v>327.3</v>
      </c>
      <c r="AM370" s="3">
        <v>316.89999999999998</v>
      </c>
      <c r="AN370" s="3">
        <v>355.7</v>
      </c>
      <c r="AO370" s="3">
        <v>169.9</v>
      </c>
      <c r="AP370" s="3">
        <v>261.3</v>
      </c>
      <c r="AQ370" s="3">
        <v>351.1</v>
      </c>
      <c r="AR370" s="3">
        <v>198.2</v>
      </c>
      <c r="AS370" s="3">
        <v>721.3</v>
      </c>
      <c r="AT370" s="3">
        <v>517.9</v>
      </c>
      <c r="AU370" s="3">
        <v>366.4</v>
      </c>
      <c r="AV370" s="3">
        <v>222.8</v>
      </c>
      <c r="AW370" s="3">
        <v>386</v>
      </c>
      <c r="AX370" s="3">
        <v>349.8</v>
      </c>
      <c r="AY370" s="3">
        <v>510.7</v>
      </c>
      <c r="AZ370" s="3">
        <v>374.3</v>
      </c>
      <c r="BA370" s="3">
        <v>227.7</v>
      </c>
      <c r="BB370" s="3">
        <v>393.7</v>
      </c>
      <c r="BC370" s="3">
        <v>324.2</v>
      </c>
      <c r="BD370" s="3">
        <v>328.4</v>
      </c>
      <c r="BE370" s="3">
        <v>352.9</v>
      </c>
      <c r="BF370" s="3">
        <v>370.5</v>
      </c>
      <c r="BG370" s="3">
        <v>271.60000000000002</v>
      </c>
      <c r="BH370" s="3">
        <v>242.1</v>
      </c>
      <c r="BI370" s="3">
        <v>76.400000000000006</v>
      </c>
      <c r="BJ370" s="3">
        <v>203.9</v>
      </c>
      <c r="BK370" s="3">
        <v>210</v>
      </c>
      <c r="BL370" s="3">
        <v>240.8</v>
      </c>
      <c r="BM370" s="3">
        <v>410.1</v>
      </c>
      <c r="BN370" s="3">
        <v>108.1</v>
      </c>
      <c r="BO370" s="3">
        <v>404.7</v>
      </c>
      <c r="BP370" s="3">
        <v>474.5</v>
      </c>
      <c r="BQ370" s="3">
        <v>176.3</v>
      </c>
      <c r="BR370" s="3">
        <v>134.4</v>
      </c>
      <c r="BS370" s="3">
        <v>169.1</v>
      </c>
      <c r="BT370" s="3">
        <v>224.6</v>
      </c>
      <c r="BU370" s="3">
        <v>151</v>
      </c>
      <c r="BV370" s="3">
        <v>201.5</v>
      </c>
      <c r="BW370" s="3">
        <v>218.3</v>
      </c>
      <c r="BX370" s="3">
        <v>513</v>
      </c>
      <c r="BY370" s="3">
        <v>91.6</v>
      </c>
      <c r="BZ370" s="3">
        <v>430.7</v>
      </c>
      <c r="CA370" s="3">
        <v>344.8</v>
      </c>
      <c r="CB370" s="3">
        <v>814.3</v>
      </c>
      <c r="CC370" s="3">
        <v>394.7</v>
      </c>
      <c r="CD370" s="3">
        <v>467.1</v>
      </c>
      <c r="CE370" s="3">
        <v>335.9</v>
      </c>
      <c r="CF370" s="3">
        <v>7.3</v>
      </c>
      <c r="CG370" s="3">
        <v>112.8</v>
      </c>
      <c r="CH370" s="3">
        <v>90.2</v>
      </c>
      <c r="CI370" s="3">
        <v>429.7</v>
      </c>
      <c r="CJ370" s="3">
        <v>178.9</v>
      </c>
      <c r="CK370" s="3">
        <v>207.7</v>
      </c>
      <c r="CL370" s="3">
        <v>573</v>
      </c>
      <c r="CM370" s="3">
        <v>249.8</v>
      </c>
      <c r="CN370" s="3">
        <v>249.9</v>
      </c>
    </row>
    <row r="371" spans="1:92" x14ac:dyDescent="0.25">
      <c r="A371" s="4">
        <v>43009</v>
      </c>
      <c r="B371" s="3">
        <v>214.7</v>
      </c>
      <c r="C371" s="3">
        <v>204.8</v>
      </c>
      <c r="D371" s="3">
        <v>265.8</v>
      </c>
      <c r="E371" s="3">
        <v>215.1</v>
      </c>
      <c r="F371" s="3">
        <v>318.2</v>
      </c>
      <c r="G371" s="3">
        <v>331.2</v>
      </c>
      <c r="H371" s="3">
        <v>223.1</v>
      </c>
      <c r="I371" s="3">
        <v>203.6</v>
      </c>
      <c r="J371" s="3">
        <v>124.4</v>
      </c>
      <c r="K371" s="3">
        <v>187.2</v>
      </c>
      <c r="L371" s="3">
        <v>262.5</v>
      </c>
      <c r="M371" s="3">
        <v>275</v>
      </c>
      <c r="N371" s="3">
        <v>247.1</v>
      </c>
      <c r="O371" s="3">
        <v>364.6</v>
      </c>
      <c r="P371" s="3">
        <v>180.8</v>
      </c>
      <c r="Q371" s="3">
        <v>246.5</v>
      </c>
      <c r="R371" s="3">
        <v>209</v>
      </c>
      <c r="S371" s="3">
        <v>225.8</v>
      </c>
      <c r="T371" s="3">
        <v>194.4</v>
      </c>
      <c r="U371" s="3">
        <v>227.4</v>
      </c>
      <c r="V371" s="3">
        <v>183.6</v>
      </c>
      <c r="W371" s="3">
        <v>244.6</v>
      </c>
      <c r="X371" s="3">
        <v>190.1</v>
      </c>
      <c r="Y371" s="3">
        <v>290.89999999999998</v>
      </c>
      <c r="Z371" s="3">
        <v>229.9</v>
      </c>
      <c r="AA371" s="3">
        <v>217.1</v>
      </c>
      <c r="AB371" s="3">
        <v>220.2</v>
      </c>
      <c r="AC371" s="3">
        <v>173.6</v>
      </c>
      <c r="AD371" s="3">
        <v>151.5</v>
      </c>
      <c r="AE371" s="3">
        <v>249.4</v>
      </c>
      <c r="AF371" s="3">
        <v>222.1</v>
      </c>
      <c r="AG371" s="3">
        <v>208.5</v>
      </c>
      <c r="AH371" s="3">
        <v>290.8</v>
      </c>
      <c r="AI371" s="3">
        <v>195.4</v>
      </c>
      <c r="AJ371" s="3">
        <v>333.9</v>
      </c>
      <c r="AK371" s="3">
        <v>379.5</v>
      </c>
      <c r="AL371" s="3">
        <v>328</v>
      </c>
      <c r="AM371" s="3">
        <v>316.10000000000002</v>
      </c>
      <c r="AN371" s="3">
        <v>356.5</v>
      </c>
      <c r="AO371" s="3">
        <v>166.5</v>
      </c>
      <c r="AP371" s="3">
        <v>262.2</v>
      </c>
      <c r="AQ371" s="3">
        <v>352.5</v>
      </c>
      <c r="AR371" s="3">
        <v>198.8</v>
      </c>
      <c r="AS371" s="3">
        <v>722.1</v>
      </c>
      <c r="AT371" s="3">
        <v>518.29999999999995</v>
      </c>
      <c r="AU371" s="3">
        <v>366.2</v>
      </c>
      <c r="AV371" s="3">
        <v>222.3</v>
      </c>
      <c r="AW371" s="3">
        <v>388</v>
      </c>
      <c r="AX371" s="3">
        <v>349.8</v>
      </c>
      <c r="AY371" s="3">
        <v>510.7</v>
      </c>
      <c r="AZ371" s="3">
        <v>374.9</v>
      </c>
      <c r="BA371" s="3">
        <v>228.4</v>
      </c>
      <c r="BB371" s="3">
        <v>399.7</v>
      </c>
      <c r="BC371" s="3">
        <v>331</v>
      </c>
      <c r="BD371" s="3">
        <v>335.7</v>
      </c>
      <c r="BE371" s="3">
        <v>353.1</v>
      </c>
      <c r="BF371" s="3">
        <v>373.7</v>
      </c>
      <c r="BG371" s="3">
        <v>263.60000000000002</v>
      </c>
      <c r="BH371" s="3">
        <v>241.8</v>
      </c>
      <c r="BI371" s="3">
        <v>78.2</v>
      </c>
      <c r="BJ371" s="3">
        <v>203.4</v>
      </c>
      <c r="BK371" s="3">
        <v>214.4</v>
      </c>
      <c r="BL371" s="3">
        <v>240.9</v>
      </c>
      <c r="BM371" s="3">
        <v>411.8</v>
      </c>
      <c r="BN371" s="3">
        <v>107.8</v>
      </c>
      <c r="BO371" s="3">
        <v>406.1</v>
      </c>
      <c r="BP371" s="3">
        <v>475.6</v>
      </c>
      <c r="BQ371" s="3">
        <v>178.5</v>
      </c>
      <c r="BR371" s="3">
        <v>133.69999999999999</v>
      </c>
      <c r="BS371" s="3">
        <v>169.8</v>
      </c>
      <c r="BT371" s="3">
        <v>227.9</v>
      </c>
      <c r="BU371" s="3">
        <v>151.6</v>
      </c>
      <c r="BV371" s="3">
        <v>199.4</v>
      </c>
      <c r="BW371" s="3">
        <v>220.2</v>
      </c>
      <c r="BX371" s="3">
        <v>511.5</v>
      </c>
      <c r="BY371" s="3">
        <v>92.3</v>
      </c>
      <c r="BZ371" s="3">
        <v>431.4</v>
      </c>
      <c r="CA371" s="3">
        <v>343.6</v>
      </c>
      <c r="CB371" s="3">
        <v>809.6</v>
      </c>
      <c r="CC371" s="3">
        <v>395.7</v>
      </c>
      <c r="CD371" s="3">
        <v>467.7</v>
      </c>
      <c r="CE371" s="3">
        <v>325.8</v>
      </c>
      <c r="CF371" s="3">
        <v>7.3</v>
      </c>
      <c r="CG371" s="3">
        <v>109.6</v>
      </c>
      <c r="CH371" s="3">
        <v>90.7</v>
      </c>
      <c r="CI371" s="3">
        <v>423.9</v>
      </c>
      <c r="CJ371" s="3">
        <v>180.2</v>
      </c>
      <c r="CK371" s="3">
        <v>208.3</v>
      </c>
      <c r="CL371" s="3">
        <v>570.4</v>
      </c>
      <c r="CM371" s="3">
        <v>251.2</v>
      </c>
      <c r="CN371" s="3">
        <v>248.3</v>
      </c>
    </row>
    <row r="372" spans="1:92" x14ac:dyDescent="0.25">
      <c r="A372" s="4">
        <v>43040</v>
      </c>
      <c r="B372" s="3">
        <v>216.7</v>
      </c>
      <c r="C372" s="3">
        <v>204.1</v>
      </c>
      <c r="D372" s="3">
        <v>268.7</v>
      </c>
      <c r="E372" s="3">
        <v>214.9</v>
      </c>
      <c r="F372" s="3">
        <v>313.39999999999998</v>
      </c>
      <c r="G372" s="3">
        <v>317.60000000000002</v>
      </c>
      <c r="H372" s="3">
        <v>222.8</v>
      </c>
      <c r="I372" s="3">
        <v>203</v>
      </c>
      <c r="J372" s="3">
        <v>124.9</v>
      </c>
      <c r="K372" s="3">
        <v>188.8</v>
      </c>
      <c r="L372" s="3">
        <v>264.60000000000002</v>
      </c>
      <c r="M372" s="3">
        <v>280.39999999999998</v>
      </c>
      <c r="N372" s="3">
        <v>246.4</v>
      </c>
      <c r="O372" s="3">
        <v>375.2</v>
      </c>
      <c r="P372" s="3">
        <v>177.4</v>
      </c>
      <c r="Q372" s="3">
        <v>247.8</v>
      </c>
      <c r="R372" s="3">
        <v>209.1</v>
      </c>
      <c r="S372" s="3">
        <v>229.1</v>
      </c>
      <c r="T372" s="3">
        <v>193.4</v>
      </c>
      <c r="U372" s="3">
        <v>217.6</v>
      </c>
      <c r="V372" s="3">
        <v>185.3</v>
      </c>
      <c r="W372" s="3">
        <v>243.4</v>
      </c>
      <c r="X372" s="3">
        <v>193.7</v>
      </c>
      <c r="Y372" s="3">
        <v>293.7</v>
      </c>
      <c r="Z372" s="3">
        <v>226.8</v>
      </c>
      <c r="AA372" s="3">
        <v>211.1</v>
      </c>
      <c r="AB372" s="3">
        <v>218.3</v>
      </c>
      <c r="AC372" s="3">
        <v>173.4</v>
      </c>
      <c r="AD372" s="3">
        <v>150.4</v>
      </c>
      <c r="AE372" s="3">
        <v>254</v>
      </c>
      <c r="AF372" s="3">
        <v>228.6</v>
      </c>
      <c r="AG372" s="3">
        <v>216.8</v>
      </c>
      <c r="AH372" s="3">
        <v>288.7</v>
      </c>
      <c r="AI372" s="3">
        <v>194.4</v>
      </c>
      <c r="AJ372" s="3">
        <v>335</v>
      </c>
      <c r="AK372" s="3">
        <v>381.3</v>
      </c>
      <c r="AL372" s="3">
        <v>328.8</v>
      </c>
      <c r="AM372" s="3">
        <v>315.39999999999998</v>
      </c>
      <c r="AN372" s="3">
        <v>357</v>
      </c>
      <c r="AO372" s="3">
        <v>163.80000000000001</v>
      </c>
      <c r="AP372" s="3">
        <v>261.7</v>
      </c>
      <c r="AQ372" s="3">
        <v>353.3</v>
      </c>
      <c r="AR372" s="3">
        <v>197.3</v>
      </c>
      <c r="AS372" s="3">
        <v>723.2</v>
      </c>
      <c r="AT372" s="3">
        <v>518.5</v>
      </c>
      <c r="AU372" s="3">
        <v>366.5</v>
      </c>
      <c r="AV372" s="3">
        <v>223.8</v>
      </c>
      <c r="AW372" s="3">
        <v>386.6</v>
      </c>
      <c r="AX372" s="3">
        <v>349.8</v>
      </c>
      <c r="AY372" s="3">
        <v>510.7</v>
      </c>
      <c r="AZ372" s="3">
        <v>374.9</v>
      </c>
      <c r="BA372" s="3">
        <v>226.4</v>
      </c>
      <c r="BB372" s="3">
        <v>402.8</v>
      </c>
      <c r="BC372" s="3">
        <v>334.5</v>
      </c>
      <c r="BD372" s="3">
        <v>335.7</v>
      </c>
      <c r="BE372" s="3">
        <v>353.2</v>
      </c>
      <c r="BF372" s="3">
        <v>400.6</v>
      </c>
      <c r="BG372" s="3">
        <v>265.5</v>
      </c>
      <c r="BH372" s="3">
        <v>241.6</v>
      </c>
      <c r="BI372" s="3">
        <v>76.900000000000006</v>
      </c>
      <c r="BJ372" s="3">
        <v>206.5</v>
      </c>
      <c r="BK372" s="3">
        <v>214.5</v>
      </c>
      <c r="BL372" s="3">
        <v>243.6</v>
      </c>
      <c r="BM372" s="3">
        <v>411.8</v>
      </c>
      <c r="BN372" s="3">
        <v>107.9</v>
      </c>
      <c r="BO372" s="3">
        <v>407.1</v>
      </c>
      <c r="BP372" s="3">
        <v>475.3</v>
      </c>
      <c r="BQ372" s="3">
        <v>181.6</v>
      </c>
      <c r="BR372" s="3">
        <v>136.1</v>
      </c>
      <c r="BS372" s="3">
        <v>170.3</v>
      </c>
      <c r="BT372" s="3">
        <v>228.8</v>
      </c>
      <c r="BU372" s="3">
        <v>151.9</v>
      </c>
      <c r="BV372" s="3">
        <v>199.9</v>
      </c>
      <c r="BW372" s="3">
        <v>219.2</v>
      </c>
      <c r="BX372" s="3">
        <v>511.9</v>
      </c>
      <c r="BY372" s="3">
        <v>93.2</v>
      </c>
      <c r="BZ372" s="3">
        <v>431.8</v>
      </c>
      <c r="CA372" s="3">
        <v>349</v>
      </c>
      <c r="CB372" s="3">
        <v>820.6</v>
      </c>
      <c r="CC372" s="3">
        <v>395.5</v>
      </c>
      <c r="CD372" s="3">
        <v>474.5</v>
      </c>
      <c r="CE372" s="3">
        <v>303.10000000000002</v>
      </c>
      <c r="CF372" s="3">
        <v>7.1</v>
      </c>
      <c r="CG372" s="3">
        <v>112.9</v>
      </c>
      <c r="CH372" s="3">
        <v>91.4</v>
      </c>
      <c r="CI372" s="3">
        <v>431.1</v>
      </c>
      <c r="CJ372" s="3">
        <v>181.1</v>
      </c>
      <c r="CK372" s="3">
        <v>208.3</v>
      </c>
      <c r="CL372" s="3">
        <v>571.4</v>
      </c>
      <c r="CM372" s="3">
        <v>252.9</v>
      </c>
      <c r="CN372" s="3">
        <v>248.6</v>
      </c>
    </row>
    <row r="373" spans="1:92" x14ac:dyDescent="0.25">
      <c r="A373" s="4">
        <v>43070</v>
      </c>
      <c r="B373" s="3">
        <v>219</v>
      </c>
      <c r="C373" s="3">
        <v>208</v>
      </c>
      <c r="D373" s="3">
        <v>270</v>
      </c>
      <c r="E373" s="3">
        <v>213.4</v>
      </c>
      <c r="F373" s="3">
        <v>313.10000000000002</v>
      </c>
      <c r="G373" s="3">
        <v>314.10000000000002</v>
      </c>
      <c r="H373" s="3">
        <v>226.4</v>
      </c>
      <c r="I373" s="3">
        <v>204.6</v>
      </c>
      <c r="J373" s="3">
        <v>125.4</v>
      </c>
      <c r="K373" s="3">
        <v>191.7</v>
      </c>
      <c r="L373" s="3">
        <v>265.2</v>
      </c>
      <c r="M373" s="3">
        <v>273.39999999999998</v>
      </c>
      <c r="N373" s="3">
        <v>253.5</v>
      </c>
      <c r="O373" s="3">
        <v>374.8</v>
      </c>
      <c r="P373" s="3">
        <v>199.5</v>
      </c>
      <c r="Q373" s="3">
        <v>245.6</v>
      </c>
      <c r="R373" s="3">
        <v>209.5</v>
      </c>
      <c r="S373" s="3">
        <v>234.1</v>
      </c>
      <c r="T373" s="3">
        <v>192.6</v>
      </c>
      <c r="U373" s="3">
        <v>230</v>
      </c>
      <c r="V373" s="3">
        <v>185.7</v>
      </c>
      <c r="W373" s="3">
        <v>247.9</v>
      </c>
      <c r="X373" s="3">
        <v>187</v>
      </c>
      <c r="Y373" s="3">
        <v>293.8</v>
      </c>
      <c r="Z373" s="3">
        <v>222.6</v>
      </c>
      <c r="AA373" s="3">
        <v>211.1</v>
      </c>
      <c r="AB373" s="3">
        <v>212.8</v>
      </c>
      <c r="AC373" s="3">
        <v>174</v>
      </c>
      <c r="AD373" s="3">
        <v>151.4</v>
      </c>
      <c r="AE373" s="3">
        <v>251.9</v>
      </c>
      <c r="AF373" s="3">
        <v>229.3</v>
      </c>
      <c r="AG373" s="3">
        <v>219.5</v>
      </c>
      <c r="AH373" s="3">
        <v>280</v>
      </c>
      <c r="AI373" s="3">
        <v>195.2</v>
      </c>
      <c r="AJ373" s="3">
        <v>335.8</v>
      </c>
      <c r="AK373" s="3">
        <v>381.4</v>
      </c>
      <c r="AL373" s="3">
        <v>329.9</v>
      </c>
      <c r="AM373" s="3">
        <v>315.39999999999998</v>
      </c>
      <c r="AN373" s="3">
        <v>358.2</v>
      </c>
      <c r="AO373" s="3">
        <v>161.80000000000001</v>
      </c>
      <c r="AP373" s="3">
        <v>259.10000000000002</v>
      </c>
      <c r="AQ373" s="3">
        <v>353.4</v>
      </c>
      <c r="AR373" s="3">
        <v>192.3</v>
      </c>
      <c r="AS373" s="3">
        <v>742.8</v>
      </c>
      <c r="AT373" s="3">
        <v>531.9</v>
      </c>
      <c r="AU373" s="3">
        <v>366.7</v>
      </c>
      <c r="AV373" s="3">
        <v>232.7</v>
      </c>
      <c r="AW373" s="3">
        <v>386.7</v>
      </c>
      <c r="AX373" s="3">
        <v>349.8</v>
      </c>
      <c r="AY373" s="3">
        <v>510.7</v>
      </c>
      <c r="AZ373" s="3">
        <v>375.1</v>
      </c>
      <c r="BA373" s="3">
        <v>226</v>
      </c>
      <c r="BB373" s="3">
        <v>412</v>
      </c>
      <c r="BC373" s="3">
        <v>335.6</v>
      </c>
      <c r="BD373" s="3">
        <v>335.7</v>
      </c>
      <c r="BE373" s="3">
        <v>353.2</v>
      </c>
      <c r="BF373" s="3">
        <v>425.7</v>
      </c>
      <c r="BG373" s="3">
        <v>274.7</v>
      </c>
      <c r="BH373" s="3">
        <v>245.2</v>
      </c>
      <c r="BI373" s="3">
        <v>78.400000000000006</v>
      </c>
      <c r="BJ373" s="3">
        <v>206</v>
      </c>
      <c r="BK373" s="3">
        <v>213.8</v>
      </c>
      <c r="BL373" s="3">
        <v>239.5</v>
      </c>
      <c r="BM373" s="3">
        <v>411.8</v>
      </c>
      <c r="BN373" s="3">
        <v>106.3</v>
      </c>
      <c r="BO373" s="3">
        <v>408.4</v>
      </c>
      <c r="BP373" s="3">
        <v>478.1</v>
      </c>
      <c r="BQ373" s="3">
        <v>182.2</v>
      </c>
      <c r="BR373" s="3">
        <v>133</v>
      </c>
      <c r="BS373" s="3">
        <v>171.7</v>
      </c>
      <c r="BT373" s="3">
        <v>229.7</v>
      </c>
      <c r="BU373" s="3">
        <v>151.5</v>
      </c>
      <c r="BV373" s="3">
        <v>199.6</v>
      </c>
      <c r="BW373" s="3">
        <v>218.3</v>
      </c>
      <c r="BX373" s="3">
        <v>512.9</v>
      </c>
      <c r="BY373" s="3">
        <v>93.1</v>
      </c>
      <c r="BZ373" s="3">
        <v>432</v>
      </c>
      <c r="CA373" s="3">
        <v>351.9</v>
      </c>
      <c r="CB373" s="3">
        <v>808.7</v>
      </c>
      <c r="CC373" s="3">
        <v>394.6</v>
      </c>
      <c r="CD373" s="3">
        <v>475.1</v>
      </c>
      <c r="CE373" s="3">
        <v>404.7</v>
      </c>
      <c r="CF373" s="3">
        <v>6.9</v>
      </c>
      <c r="CG373" s="3">
        <v>117.3</v>
      </c>
      <c r="CH373" s="3">
        <v>90.2</v>
      </c>
      <c r="CI373" s="3">
        <v>423.1</v>
      </c>
      <c r="CJ373" s="3">
        <v>183.5</v>
      </c>
      <c r="CK373" s="3">
        <v>208.3</v>
      </c>
      <c r="CL373" s="3">
        <v>573.6</v>
      </c>
      <c r="CM373" s="3">
        <v>253.8</v>
      </c>
      <c r="CN373" s="3">
        <v>246.9</v>
      </c>
    </row>
    <row r="374" spans="1:92" x14ac:dyDescent="0.25">
      <c r="A374" s="4">
        <v>43101</v>
      </c>
      <c r="B374" s="3">
        <v>219.4</v>
      </c>
      <c r="C374" s="3">
        <v>199.1</v>
      </c>
      <c r="D374" s="3">
        <v>268.39999999999998</v>
      </c>
      <c r="E374" s="3">
        <v>215.2</v>
      </c>
      <c r="F374" s="3">
        <v>311.10000000000002</v>
      </c>
      <c r="G374" s="3">
        <v>317.10000000000002</v>
      </c>
      <c r="H374" s="3">
        <v>220</v>
      </c>
      <c r="I374" s="3">
        <v>208.4</v>
      </c>
      <c r="J374" s="3">
        <v>125.8</v>
      </c>
      <c r="K374" s="3">
        <v>188.2</v>
      </c>
      <c r="L374" s="3">
        <v>264.39999999999998</v>
      </c>
      <c r="M374" s="3">
        <v>277.2</v>
      </c>
      <c r="N374" s="3">
        <v>248.7</v>
      </c>
      <c r="O374" s="3">
        <v>368</v>
      </c>
      <c r="P374" s="3">
        <v>195</v>
      </c>
      <c r="Q374" s="3">
        <v>248.1</v>
      </c>
      <c r="R374" s="3">
        <v>209.5</v>
      </c>
      <c r="S374" s="3">
        <v>232.6</v>
      </c>
      <c r="T374" s="3">
        <v>180.6</v>
      </c>
      <c r="U374" s="3">
        <v>223.5</v>
      </c>
      <c r="V374" s="3">
        <v>187.7</v>
      </c>
      <c r="W374" s="3">
        <v>247.7</v>
      </c>
      <c r="X374" s="3">
        <v>185.5</v>
      </c>
      <c r="Y374" s="3">
        <v>300</v>
      </c>
      <c r="Z374" s="3">
        <v>227</v>
      </c>
      <c r="AA374" s="3">
        <v>210.9</v>
      </c>
      <c r="AB374" s="3">
        <v>218.6</v>
      </c>
      <c r="AC374" s="3">
        <v>172.5</v>
      </c>
      <c r="AD374" s="3">
        <v>151.6</v>
      </c>
      <c r="AE374" s="3">
        <v>242.9</v>
      </c>
      <c r="AF374" s="3">
        <v>228</v>
      </c>
      <c r="AG374" s="3">
        <v>217</v>
      </c>
      <c r="AH374" s="3">
        <v>284.3</v>
      </c>
      <c r="AI374" s="3">
        <v>195.8</v>
      </c>
      <c r="AJ374" s="3">
        <v>336.1</v>
      </c>
      <c r="AK374" s="3">
        <v>381.3</v>
      </c>
      <c r="AL374" s="3">
        <v>330</v>
      </c>
      <c r="AM374" s="3">
        <v>318.89999999999998</v>
      </c>
      <c r="AN374" s="3">
        <v>358.5</v>
      </c>
      <c r="AO374" s="3">
        <v>170.2</v>
      </c>
      <c r="AP374" s="3">
        <v>263.7</v>
      </c>
      <c r="AQ374" s="3">
        <v>353.8</v>
      </c>
      <c r="AR374" s="3">
        <v>200.4</v>
      </c>
      <c r="AS374" s="3">
        <v>745.2</v>
      </c>
      <c r="AT374" s="3">
        <v>535.20000000000005</v>
      </c>
      <c r="AU374" s="3">
        <v>367.1</v>
      </c>
      <c r="AV374" s="3">
        <v>230.4</v>
      </c>
      <c r="AW374" s="3">
        <v>388.9</v>
      </c>
      <c r="AX374" s="3">
        <v>349.8</v>
      </c>
      <c r="AY374" s="3">
        <v>510.7</v>
      </c>
      <c r="AZ374" s="3">
        <v>375.5</v>
      </c>
      <c r="BA374" s="3">
        <v>227.6</v>
      </c>
      <c r="BB374" s="3">
        <v>413.6</v>
      </c>
      <c r="BC374" s="3">
        <v>336.2</v>
      </c>
      <c r="BD374" s="3">
        <v>335.7</v>
      </c>
      <c r="BE374" s="3">
        <v>353.2</v>
      </c>
      <c r="BF374" s="3">
        <v>434.5</v>
      </c>
      <c r="BG374" s="3">
        <v>258.39999999999998</v>
      </c>
      <c r="BH374" s="3">
        <v>238.2</v>
      </c>
      <c r="BI374" s="3">
        <v>78.900000000000006</v>
      </c>
      <c r="BJ374" s="3">
        <v>203.5</v>
      </c>
      <c r="BK374" s="3">
        <v>213.2</v>
      </c>
      <c r="BL374" s="3">
        <v>241.4</v>
      </c>
      <c r="BM374" s="3">
        <v>411.8</v>
      </c>
      <c r="BN374" s="3">
        <v>106.4</v>
      </c>
      <c r="BO374" s="3">
        <v>409.2</v>
      </c>
      <c r="BP374" s="3">
        <v>480.7</v>
      </c>
      <c r="BQ374" s="3">
        <v>175.1</v>
      </c>
      <c r="BR374" s="3">
        <v>126.2</v>
      </c>
      <c r="BS374" s="3">
        <v>166.6</v>
      </c>
      <c r="BT374" s="3">
        <v>226.3</v>
      </c>
      <c r="BU374" s="3">
        <v>145.9</v>
      </c>
      <c r="BV374" s="3">
        <v>196</v>
      </c>
      <c r="BW374" s="3">
        <v>219.2</v>
      </c>
      <c r="BX374" s="3">
        <v>516.1</v>
      </c>
      <c r="BY374" s="3">
        <v>93.6</v>
      </c>
      <c r="BZ374" s="3">
        <v>435.1</v>
      </c>
      <c r="CA374" s="3">
        <v>353.4</v>
      </c>
      <c r="CB374" s="3">
        <v>811.1</v>
      </c>
      <c r="CC374" s="3">
        <v>404.5</v>
      </c>
      <c r="CD374" s="3">
        <v>470.4</v>
      </c>
      <c r="CE374" s="3">
        <v>307.89999999999998</v>
      </c>
      <c r="CF374" s="3">
        <v>6.9</v>
      </c>
      <c r="CG374" s="3">
        <v>111.2</v>
      </c>
      <c r="CH374" s="3">
        <v>90.1</v>
      </c>
      <c r="CI374" s="3">
        <v>430.8</v>
      </c>
      <c r="CJ374" s="3">
        <v>182.8</v>
      </c>
      <c r="CK374" s="3">
        <v>208.3</v>
      </c>
      <c r="CL374" s="3">
        <v>566.29999999999995</v>
      </c>
      <c r="CM374" s="3">
        <v>254.4</v>
      </c>
      <c r="CN374" s="3">
        <v>246.3</v>
      </c>
    </row>
    <row r="375" spans="1:92" x14ac:dyDescent="0.25">
      <c r="A375" s="4">
        <v>43132</v>
      </c>
      <c r="B375" s="3">
        <v>218.7</v>
      </c>
      <c r="C375" s="3">
        <v>205.3</v>
      </c>
      <c r="D375" s="3">
        <v>264.60000000000002</v>
      </c>
      <c r="E375" s="3">
        <v>215.1</v>
      </c>
      <c r="F375" s="3">
        <v>322.5</v>
      </c>
      <c r="G375" s="3">
        <v>327</v>
      </c>
      <c r="H375" s="3">
        <v>215.8</v>
      </c>
      <c r="I375" s="3">
        <v>205.6</v>
      </c>
      <c r="J375" s="3">
        <v>125.4</v>
      </c>
      <c r="K375" s="3">
        <v>188.8</v>
      </c>
      <c r="L375" s="3">
        <v>267.2</v>
      </c>
      <c r="M375" s="3">
        <v>275.2</v>
      </c>
      <c r="N375" s="3">
        <v>255.7</v>
      </c>
      <c r="O375" s="3">
        <v>366.9</v>
      </c>
      <c r="P375" s="3">
        <v>190.4</v>
      </c>
      <c r="Q375" s="3">
        <v>247.3</v>
      </c>
      <c r="R375" s="3">
        <v>209.6</v>
      </c>
      <c r="S375" s="3">
        <v>234.4</v>
      </c>
      <c r="T375" s="3">
        <v>197.8</v>
      </c>
      <c r="U375" s="3">
        <v>223.4</v>
      </c>
      <c r="V375" s="3">
        <v>186.1</v>
      </c>
      <c r="W375" s="3">
        <v>249.3</v>
      </c>
      <c r="X375" s="3">
        <v>192.7</v>
      </c>
      <c r="Y375" s="3">
        <v>291.39999999999998</v>
      </c>
      <c r="Z375" s="3">
        <v>223.2</v>
      </c>
      <c r="AA375" s="3">
        <v>211.4</v>
      </c>
      <c r="AB375" s="3">
        <v>213.5</v>
      </c>
      <c r="AC375" s="3">
        <v>174</v>
      </c>
      <c r="AD375" s="3">
        <v>151.30000000000001</v>
      </c>
      <c r="AE375" s="3">
        <v>252.5</v>
      </c>
      <c r="AF375" s="3">
        <v>228.7</v>
      </c>
      <c r="AG375" s="3">
        <v>218.2</v>
      </c>
      <c r="AH375" s="3">
        <v>282.89999999999998</v>
      </c>
      <c r="AI375" s="3">
        <v>193.2</v>
      </c>
      <c r="AJ375" s="3">
        <v>336.6</v>
      </c>
      <c r="AK375" s="3">
        <v>380.8</v>
      </c>
      <c r="AL375" s="3">
        <v>331.1</v>
      </c>
      <c r="AM375" s="3">
        <v>318.8</v>
      </c>
      <c r="AN375" s="3">
        <v>359.3</v>
      </c>
      <c r="AO375" s="3">
        <v>168.4</v>
      </c>
      <c r="AP375" s="3">
        <v>264.2</v>
      </c>
      <c r="AQ375" s="3">
        <v>354.7</v>
      </c>
      <c r="AR375" s="3">
        <v>200.8</v>
      </c>
      <c r="AS375" s="3">
        <v>746.2</v>
      </c>
      <c r="AT375" s="3">
        <v>538</v>
      </c>
      <c r="AU375" s="3">
        <v>367.4</v>
      </c>
      <c r="AV375" s="3">
        <v>230.2</v>
      </c>
      <c r="AW375" s="3">
        <v>390</v>
      </c>
      <c r="AX375" s="3">
        <v>349.8</v>
      </c>
      <c r="AY375" s="3">
        <v>510.7</v>
      </c>
      <c r="AZ375" s="3">
        <v>375.5</v>
      </c>
      <c r="BA375" s="3">
        <v>230</v>
      </c>
      <c r="BB375" s="3">
        <v>417.1</v>
      </c>
      <c r="BC375" s="3">
        <v>336.2</v>
      </c>
      <c r="BD375" s="3">
        <v>335.7</v>
      </c>
      <c r="BE375" s="3">
        <v>353.2</v>
      </c>
      <c r="BF375" s="3">
        <v>429.2</v>
      </c>
      <c r="BG375" s="3">
        <v>275.3</v>
      </c>
      <c r="BH375" s="3">
        <v>245.5</v>
      </c>
      <c r="BI375" s="3">
        <v>81.8</v>
      </c>
      <c r="BJ375" s="3">
        <v>205.3</v>
      </c>
      <c r="BK375" s="3">
        <v>214.9</v>
      </c>
      <c r="BL375" s="3">
        <v>242.9</v>
      </c>
      <c r="BM375" s="3">
        <v>411.8</v>
      </c>
      <c r="BN375" s="3">
        <v>105.7</v>
      </c>
      <c r="BO375" s="3">
        <v>409.8</v>
      </c>
      <c r="BP375" s="3">
        <v>481.9</v>
      </c>
      <c r="BQ375" s="3">
        <v>179.8</v>
      </c>
      <c r="BR375" s="3">
        <v>136.19999999999999</v>
      </c>
      <c r="BS375" s="3">
        <v>173.1</v>
      </c>
      <c r="BT375" s="3">
        <v>229.1</v>
      </c>
      <c r="BU375" s="3">
        <v>152.9</v>
      </c>
      <c r="BV375" s="3">
        <v>199.6</v>
      </c>
      <c r="BW375" s="3">
        <v>219.8</v>
      </c>
      <c r="BX375" s="3">
        <v>516.70000000000005</v>
      </c>
      <c r="BY375" s="3">
        <v>93.8</v>
      </c>
      <c r="BZ375" s="3">
        <v>436.1</v>
      </c>
      <c r="CA375" s="3">
        <v>356.4</v>
      </c>
      <c r="CB375" s="3">
        <v>815.2</v>
      </c>
      <c r="CC375" s="3">
        <v>406.3</v>
      </c>
      <c r="CD375" s="3">
        <v>491.6</v>
      </c>
      <c r="CE375" s="3">
        <v>319.10000000000002</v>
      </c>
      <c r="CF375" s="3">
        <v>7</v>
      </c>
      <c r="CG375" s="3">
        <v>115.4</v>
      </c>
      <c r="CH375" s="3">
        <v>90.1</v>
      </c>
      <c r="CI375" s="3">
        <v>436.8</v>
      </c>
      <c r="CJ375" s="3">
        <v>186.4</v>
      </c>
      <c r="CK375" s="3">
        <v>208.3</v>
      </c>
      <c r="CL375" s="3">
        <v>571.4</v>
      </c>
      <c r="CM375" s="3">
        <v>255.5</v>
      </c>
      <c r="CN375" s="3">
        <v>246.3</v>
      </c>
    </row>
    <row r="376" spans="1:92" x14ac:dyDescent="0.25">
      <c r="A376" s="4">
        <v>43160</v>
      </c>
      <c r="B376" s="3">
        <v>219.2</v>
      </c>
      <c r="C376" s="3">
        <v>206.1</v>
      </c>
      <c r="D376" s="3">
        <v>260.10000000000002</v>
      </c>
      <c r="E376" s="3">
        <v>212.6</v>
      </c>
      <c r="F376" s="3">
        <v>326.7</v>
      </c>
      <c r="G376" s="3">
        <v>333.8</v>
      </c>
      <c r="H376" s="3">
        <v>222.7</v>
      </c>
      <c r="I376" s="3">
        <v>206.1</v>
      </c>
      <c r="J376" s="3">
        <v>125.5</v>
      </c>
      <c r="K376" s="3">
        <v>190.2</v>
      </c>
      <c r="L376" s="3">
        <v>265.39999999999998</v>
      </c>
      <c r="M376" s="3">
        <v>274.7</v>
      </c>
      <c r="N376" s="3">
        <v>252.8</v>
      </c>
      <c r="O376" s="3">
        <v>366.5</v>
      </c>
      <c r="P376" s="3">
        <v>209.4</v>
      </c>
      <c r="Q376" s="3">
        <v>246.7</v>
      </c>
      <c r="R376" s="3">
        <v>208.6</v>
      </c>
      <c r="S376" s="3">
        <v>234.3</v>
      </c>
      <c r="T376" s="3">
        <v>199.5</v>
      </c>
      <c r="U376" s="3">
        <v>224.7</v>
      </c>
      <c r="V376" s="3">
        <v>186.8</v>
      </c>
      <c r="W376" s="3">
        <v>254.5</v>
      </c>
      <c r="X376" s="3">
        <v>197.1</v>
      </c>
      <c r="Y376" s="3">
        <v>296.5</v>
      </c>
      <c r="Z376" s="3">
        <v>226.8</v>
      </c>
      <c r="AA376" s="3">
        <v>212.9</v>
      </c>
      <c r="AB376" s="3">
        <v>217.6</v>
      </c>
      <c r="AC376" s="3">
        <v>173</v>
      </c>
      <c r="AD376" s="3">
        <v>152.30000000000001</v>
      </c>
      <c r="AE376" s="3">
        <v>242.3</v>
      </c>
      <c r="AF376" s="3">
        <v>226.2</v>
      </c>
      <c r="AG376" s="3">
        <v>215.3</v>
      </c>
      <c r="AH376" s="3">
        <v>282.3</v>
      </c>
      <c r="AI376" s="3">
        <v>195.7</v>
      </c>
      <c r="AJ376" s="3">
        <v>336.8</v>
      </c>
      <c r="AK376" s="3">
        <v>381.9</v>
      </c>
      <c r="AL376" s="3">
        <v>331.9</v>
      </c>
      <c r="AM376" s="3">
        <v>318.5</v>
      </c>
      <c r="AN376" s="3">
        <v>359.6</v>
      </c>
      <c r="AO376" s="3">
        <v>167.2</v>
      </c>
      <c r="AP376" s="3">
        <v>263.60000000000002</v>
      </c>
      <c r="AQ376" s="3">
        <v>355.9</v>
      </c>
      <c r="AR376" s="3">
        <v>198.7</v>
      </c>
      <c r="AS376" s="3">
        <v>746.9</v>
      </c>
      <c r="AT376" s="3">
        <v>538.5</v>
      </c>
      <c r="AU376" s="3">
        <v>367.7</v>
      </c>
      <c r="AV376" s="3">
        <v>229.4</v>
      </c>
      <c r="AW376" s="3">
        <v>388.3</v>
      </c>
      <c r="AX376" s="3">
        <v>349.8</v>
      </c>
      <c r="AY376" s="3">
        <v>510.7</v>
      </c>
      <c r="AZ376" s="3">
        <v>376.3</v>
      </c>
      <c r="BA376" s="3">
        <v>232</v>
      </c>
      <c r="BB376" s="3">
        <v>416.4</v>
      </c>
      <c r="BC376" s="3">
        <v>337.2</v>
      </c>
      <c r="BD376" s="3">
        <v>335.7</v>
      </c>
      <c r="BE376" s="3">
        <v>353.2</v>
      </c>
      <c r="BF376" s="3">
        <v>447.4</v>
      </c>
      <c r="BG376" s="3">
        <v>272.10000000000002</v>
      </c>
      <c r="BH376" s="3">
        <v>246.1</v>
      </c>
      <c r="BI376" s="3">
        <v>81</v>
      </c>
      <c r="BJ376" s="3">
        <v>207.8</v>
      </c>
      <c r="BK376" s="3">
        <v>214</v>
      </c>
      <c r="BL376" s="3">
        <v>244.2</v>
      </c>
      <c r="BM376" s="3">
        <v>411.8</v>
      </c>
      <c r="BN376" s="3">
        <v>106.1</v>
      </c>
      <c r="BO376" s="3">
        <v>410.2</v>
      </c>
      <c r="BP376" s="3">
        <v>480.6</v>
      </c>
      <c r="BQ376" s="3">
        <v>184.3</v>
      </c>
      <c r="BR376" s="3">
        <v>138.9</v>
      </c>
      <c r="BS376" s="3">
        <v>171.7</v>
      </c>
      <c r="BT376" s="3">
        <v>229.8</v>
      </c>
      <c r="BU376" s="3">
        <v>156.30000000000001</v>
      </c>
      <c r="BV376" s="3">
        <v>200.6</v>
      </c>
      <c r="BW376" s="3">
        <v>218.9</v>
      </c>
      <c r="BX376" s="3">
        <v>518.29999999999995</v>
      </c>
      <c r="BY376" s="3">
        <v>94.6</v>
      </c>
      <c r="BZ376" s="3">
        <v>437.8</v>
      </c>
      <c r="CA376" s="3">
        <v>349.8</v>
      </c>
      <c r="CB376" s="3">
        <v>808.6</v>
      </c>
      <c r="CC376" s="3">
        <v>407.2</v>
      </c>
      <c r="CD376" s="3">
        <v>472.6</v>
      </c>
      <c r="CE376" s="3">
        <v>314.5</v>
      </c>
      <c r="CF376" s="3">
        <v>7</v>
      </c>
      <c r="CG376" s="3">
        <v>119.9</v>
      </c>
      <c r="CH376" s="3">
        <v>91.2</v>
      </c>
      <c r="CI376" s="3">
        <v>426</v>
      </c>
      <c r="CJ376" s="3">
        <v>186.6</v>
      </c>
      <c r="CK376" s="3">
        <v>208.3</v>
      </c>
      <c r="CL376" s="3">
        <v>572.9</v>
      </c>
      <c r="CM376" s="3">
        <v>257.10000000000002</v>
      </c>
      <c r="CN376" s="3">
        <v>247.7</v>
      </c>
    </row>
    <row r="377" spans="1:92" x14ac:dyDescent="0.25">
      <c r="A377" s="4">
        <v>43191</v>
      </c>
      <c r="B377" s="3">
        <v>220.7</v>
      </c>
      <c r="C377" s="3">
        <v>205.3</v>
      </c>
      <c r="D377" s="3">
        <v>258.39999999999998</v>
      </c>
      <c r="E377" s="3">
        <v>215.5</v>
      </c>
      <c r="F377" s="3">
        <v>331</v>
      </c>
      <c r="G377" s="3">
        <v>350.3</v>
      </c>
      <c r="H377" s="3">
        <v>224.8</v>
      </c>
      <c r="I377" s="3">
        <v>204.5</v>
      </c>
      <c r="J377" s="3">
        <v>126</v>
      </c>
      <c r="K377" s="3">
        <v>188.6</v>
      </c>
      <c r="L377" s="3">
        <v>264.2</v>
      </c>
      <c r="M377" s="3">
        <v>279.60000000000002</v>
      </c>
      <c r="N377" s="3">
        <v>246.1</v>
      </c>
      <c r="O377" s="3">
        <v>363.1</v>
      </c>
      <c r="P377" s="3">
        <v>204.8</v>
      </c>
      <c r="Q377" s="3">
        <v>245.2</v>
      </c>
      <c r="R377" s="3">
        <v>207.6</v>
      </c>
      <c r="S377" s="3">
        <v>234.4</v>
      </c>
      <c r="T377" s="3">
        <v>191.3</v>
      </c>
      <c r="U377" s="3">
        <v>225.8</v>
      </c>
      <c r="V377" s="3">
        <v>188.2</v>
      </c>
      <c r="W377" s="3">
        <v>261.89999999999998</v>
      </c>
      <c r="X377" s="3">
        <v>196.4</v>
      </c>
      <c r="Y377" s="3">
        <v>297.2</v>
      </c>
      <c r="Z377" s="3">
        <v>221.5</v>
      </c>
      <c r="AA377" s="3">
        <v>213.8</v>
      </c>
      <c r="AB377" s="3">
        <v>210.5</v>
      </c>
      <c r="AC377" s="3">
        <v>174.1</v>
      </c>
      <c r="AD377" s="3">
        <v>152.1</v>
      </c>
      <c r="AE377" s="3">
        <v>249.8</v>
      </c>
      <c r="AF377" s="3">
        <v>223.7</v>
      </c>
      <c r="AG377" s="3">
        <v>213.1</v>
      </c>
      <c r="AH377" s="3">
        <v>277.89999999999998</v>
      </c>
      <c r="AI377" s="3">
        <v>197.1</v>
      </c>
      <c r="AJ377" s="3">
        <v>338.3</v>
      </c>
      <c r="AK377" s="3">
        <v>384</v>
      </c>
      <c r="AL377" s="3">
        <v>333.1</v>
      </c>
      <c r="AM377" s="3">
        <v>320.2</v>
      </c>
      <c r="AN377" s="3">
        <v>361.8</v>
      </c>
      <c r="AO377" s="3">
        <v>167.6</v>
      </c>
      <c r="AP377" s="3">
        <v>264.7</v>
      </c>
      <c r="AQ377" s="3">
        <v>357.8</v>
      </c>
      <c r="AR377" s="3">
        <v>199.2</v>
      </c>
      <c r="AS377" s="3">
        <v>757.2</v>
      </c>
      <c r="AT377" s="3">
        <v>544.70000000000005</v>
      </c>
      <c r="AU377" s="3">
        <v>367.3</v>
      </c>
      <c r="AV377" s="3">
        <v>229.8</v>
      </c>
      <c r="AW377" s="3">
        <v>388.3</v>
      </c>
      <c r="AX377" s="3">
        <v>366.9</v>
      </c>
      <c r="AY377" s="3">
        <v>524.1</v>
      </c>
      <c r="AZ377" s="3">
        <v>376.7</v>
      </c>
      <c r="BA377" s="3">
        <v>237.4</v>
      </c>
      <c r="BB377" s="3">
        <v>419.8</v>
      </c>
      <c r="BC377" s="3">
        <v>336.8</v>
      </c>
      <c r="BD377" s="3">
        <v>338.6</v>
      </c>
      <c r="BE377" s="3">
        <v>354.5</v>
      </c>
      <c r="BF377" s="3">
        <v>448.8</v>
      </c>
      <c r="BG377" s="3">
        <v>268.8</v>
      </c>
      <c r="BH377" s="3">
        <v>244.2</v>
      </c>
      <c r="BI377" s="3">
        <v>79.2</v>
      </c>
      <c r="BJ377" s="3">
        <v>209.8</v>
      </c>
      <c r="BK377" s="3">
        <v>211.9</v>
      </c>
      <c r="BL377" s="3">
        <v>243.2</v>
      </c>
      <c r="BM377" s="3">
        <v>421.6</v>
      </c>
      <c r="BN377" s="3">
        <v>106.6</v>
      </c>
      <c r="BO377" s="3">
        <v>411.2</v>
      </c>
      <c r="BP377" s="3">
        <v>483.6</v>
      </c>
      <c r="BQ377" s="3">
        <v>185.2</v>
      </c>
      <c r="BR377" s="3">
        <v>139.9</v>
      </c>
      <c r="BS377" s="3">
        <v>172.5</v>
      </c>
      <c r="BT377" s="3">
        <v>230</v>
      </c>
      <c r="BU377" s="3">
        <v>158</v>
      </c>
      <c r="BV377" s="3">
        <v>200.6</v>
      </c>
      <c r="BW377" s="3">
        <v>218.6</v>
      </c>
      <c r="BX377" s="3">
        <v>524</v>
      </c>
      <c r="BY377" s="3">
        <v>94.7</v>
      </c>
      <c r="BZ377" s="3">
        <v>438.1</v>
      </c>
      <c r="CA377" s="3">
        <v>353.7</v>
      </c>
      <c r="CB377" s="3">
        <v>812.3</v>
      </c>
      <c r="CC377" s="3">
        <v>406.7</v>
      </c>
      <c r="CD377" s="3">
        <v>487.1</v>
      </c>
      <c r="CE377" s="3">
        <v>314.60000000000002</v>
      </c>
      <c r="CF377" s="3">
        <v>7</v>
      </c>
      <c r="CG377" s="3">
        <v>120.8</v>
      </c>
      <c r="CH377" s="3">
        <v>91.4</v>
      </c>
      <c r="CI377" s="3">
        <v>433.1</v>
      </c>
      <c r="CJ377" s="3">
        <v>186.6</v>
      </c>
      <c r="CK377" s="3">
        <v>213.8</v>
      </c>
      <c r="CL377" s="3">
        <v>583.9</v>
      </c>
      <c r="CM377" s="3">
        <v>258</v>
      </c>
      <c r="CN377" s="3">
        <v>250.8</v>
      </c>
    </row>
    <row r="378" spans="1:92" x14ac:dyDescent="0.25">
      <c r="A378" s="4">
        <v>43221</v>
      </c>
      <c r="B378" s="3">
        <v>220.3</v>
      </c>
      <c r="C378" s="3">
        <v>202.5</v>
      </c>
      <c r="D378" s="3">
        <v>264.60000000000002</v>
      </c>
      <c r="E378" s="3">
        <v>211.3</v>
      </c>
      <c r="F378" s="3">
        <v>338.1</v>
      </c>
      <c r="G378" s="3">
        <v>362.4</v>
      </c>
      <c r="H378" s="3">
        <v>216.4</v>
      </c>
      <c r="I378" s="3">
        <v>203.4</v>
      </c>
      <c r="J378" s="3">
        <v>126</v>
      </c>
      <c r="K378" s="3">
        <v>188.1</v>
      </c>
      <c r="L378" s="3">
        <v>270.3</v>
      </c>
      <c r="M378" s="3">
        <v>280.5</v>
      </c>
      <c r="N378" s="3">
        <v>256.89999999999998</v>
      </c>
      <c r="O378" s="3">
        <v>375.6</v>
      </c>
      <c r="P378" s="3">
        <v>190.7</v>
      </c>
      <c r="Q378" s="3">
        <v>240.1</v>
      </c>
      <c r="R378" s="3">
        <v>207.4</v>
      </c>
      <c r="S378" s="3">
        <v>233.8</v>
      </c>
      <c r="T378" s="3">
        <v>194.2</v>
      </c>
      <c r="U378" s="3">
        <v>222.4</v>
      </c>
      <c r="V378" s="3">
        <v>188</v>
      </c>
      <c r="W378" s="3">
        <v>260.5</v>
      </c>
      <c r="X378" s="3">
        <v>193.9</v>
      </c>
      <c r="Y378" s="3">
        <v>298.60000000000002</v>
      </c>
      <c r="Z378" s="3">
        <v>227.2</v>
      </c>
      <c r="AA378" s="3">
        <v>210.7</v>
      </c>
      <c r="AB378" s="3">
        <v>218.9</v>
      </c>
      <c r="AC378" s="3">
        <v>173.8</v>
      </c>
      <c r="AD378" s="3">
        <v>151.4</v>
      </c>
      <c r="AE378" s="3">
        <v>250.9</v>
      </c>
      <c r="AF378" s="3">
        <v>221.8</v>
      </c>
      <c r="AG378" s="3">
        <v>211.5</v>
      </c>
      <c r="AH378" s="3">
        <v>274.7</v>
      </c>
      <c r="AI378" s="3">
        <v>193.1</v>
      </c>
      <c r="AJ378" s="3">
        <v>339</v>
      </c>
      <c r="AK378" s="3">
        <v>387.3</v>
      </c>
      <c r="AL378" s="3">
        <v>333.8</v>
      </c>
      <c r="AM378" s="3">
        <v>321.10000000000002</v>
      </c>
      <c r="AN378" s="3">
        <v>362.7</v>
      </c>
      <c r="AO378" s="3">
        <v>168.3</v>
      </c>
      <c r="AP378" s="3">
        <v>265.8</v>
      </c>
      <c r="AQ378" s="3">
        <v>359.5</v>
      </c>
      <c r="AR378" s="3">
        <v>199.8</v>
      </c>
      <c r="AS378" s="3">
        <v>765.9</v>
      </c>
      <c r="AT378" s="3">
        <v>556.4</v>
      </c>
      <c r="AU378" s="3">
        <v>367.6</v>
      </c>
      <c r="AV378" s="3">
        <v>229.1</v>
      </c>
      <c r="AW378" s="3">
        <v>388.5</v>
      </c>
      <c r="AX378" s="3">
        <v>366.9</v>
      </c>
      <c r="AY378" s="3">
        <v>524.1</v>
      </c>
      <c r="AZ378" s="3">
        <v>377</v>
      </c>
      <c r="BA378" s="3">
        <v>236</v>
      </c>
      <c r="BB378" s="3">
        <v>420.6</v>
      </c>
      <c r="BC378" s="3">
        <v>327.3</v>
      </c>
      <c r="BD378" s="3">
        <v>338.9</v>
      </c>
      <c r="BE378" s="3">
        <v>354.7</v>
      </c>
      <c r="BF378" s="3">
        <v>462</v>
      </c>
      <c r="BG378" s="3">
        <v>267.3</v>
      </c>
      <c r="BH378" s="3">
        <v>245.5</v>
      </c>
      <c r="BI378" s="3">
        <v>81.7</v>
      </c>
      <c r="BJ378" s="3">
        <v>208.8</v>
      </c>
      <c r="BK378" s="3">
        <v>215.5</v>
      </c>
      <c r="BL378" s="3">
        <v>243.4</v>
      </c>
      <c r="BM378" s="3">
        <v>421.6</v>
      </c>
      <c r="BN378" s="3">
        <v>106.9</v>
      </c>
      <c r="BO378" s="3">
        <v>412.2</v>
      </c>
      <c r="BP378" s="3">
        <v>482.5</v>
      </c>
      <c r="BQ378" s="3">
        <v>185.9</v>
      </c>
      <c r="BR378" s="3">
        <v>140.5</v>
      </c>
      <c r="BS378" s="3">
        <v>172.8</v>
      </c>
      <c r="BT378" s="3">
        <v>230</v>
      </c>
      <c r="BU378" s="3">
        <v>158.80000000000001</v>
      </c>
      <c r="BV378" s="3">
        <v>203.1</v>
      </c>
      <c r="BW378" s="3">
        <v>218.2</v>
      </c>
      <c r="BX378" s="3">
        <v>524.5</v>
      </c>
      <c r="BY378" s="3">
        <v>95.3</v>
      </c>
      <c r="BZ378" s="3">
        <v>439.7</v>
      </c>
      <c r="CA378" s="3">
        <v>364.8</v>
      </c>
      <c r="CB378" s="3">
        <v>803.1</v>
      </c>
      <c r="CC378" s="3">
        <v>409.3</v>
      </c>
      <c r="CD378" s="3">
        <v>476.5</v>
      </c>
      <c r="CE378" s="3">
        <v>334.8</v>
      </c>
      <c r="CF378" s="3">
        <v>7</v>
      </c>
      <c r="CG378" s="3">
        <v>123.9</v>
      </c>
      <c r="CH378" s="3">
        <v>91.4</v>
      </c>
      <c r="CI378" s="3">
        <v>433.7</v>
      </c>
      <c r="CJ378" s="3">
        <v>185.2</v>
      </c>
      <c r="CK378" s="3">
        <v>213.8</v>
      </c>
      <c r="CL378" s="3">
        <v>583.5</v>
      </c>
      <c r="CM378" s="3">
        <v>259.8</v>
      </c>
      <c r="CN378" s="3">
        <v>252.2</v>
      </c>
    </row>
    <row r="379" spans="1:92" x14ac:dyDescent="0.25">
      <c r="A379" s="4">
        <v>43252</v>
      </c>
      <c r="B379" s="3">
        <v>218.9</v>
      </c>
      <c r="C379" s="3">
        <v>206.1</v>
      </c>
      <c r="D379" s="3">
        <v>262.5</v>
      </c>
      <c r="E379" s="3">
        <v>211.3</v>
      </c>
      <c r="F379" s="3">
        <v>339.9</v>
      </c>
      <c r="G379" s="3">
        <v>362.6</v>
      </c>
      <c r="H379" s="3">
        <v>223.4</v>
      </c>
      <c r="I379" s="3">
        <v>203</v>
      </c>
      <c r="J379" s="3">
        <v>124.7</v>
      </c>
      <c r="K379" s="3">
        <v>186.7</v>
      </c>
      <c r="L379" s="3">
        <v>269.60000000000002</v>
      </c>
      <c r="M379" s="3">
        <v>283.2</v>
      </c>
      <c r="N379" s="3">
        <v>253.1</v>
      </c>
      <c r="O379" s="3">
        <v>367.2</v>
      </c>
      <c r="P379" s="3">
        <v>196.5</v>
      </c>
      <c r="Q379" s="3">
        <v>243.9</v>
      </c>
      <c r="R379" s="3">
        <v>207.6</v>
      </c>
      <c r="S379" s="3">
        <v>233</v>
      </c>
      <c r="T379" s="3">
        <v>190.6</v>
      </c>
      <c r="U379" s="3">
        <v>220.7</v>
      </c>
      <c r="V379" s="3">
        <v>187.2</v>
      </c>
      <c r="W379" s="3">
        <v>262.39999999999998</v>
      </c>
      <c r="X379" s="3">
        <v>195.8</v>
      </c>
      <c r="Y379" s="3">
        <v>292.60000000000002</v>
      </c>
      <c r="Z379" s="3">
        <v>222.6</v>
      </c>
      <c r="AA379" s="3">
        <v>210.5</v>
      </c>
      <c r="AB379" s="3">
        <v>213.1</v>
      </c>
      <c r="AC379" s="3">
        <v>173.1</v>
      </c>
      <c r="AD379" s="3">
        <v>151.4</v>
      </c>
      <c r="AE379" s="3">
        <v>247</v>
      </c>
      <c r="AF379" s="3">
        <v>220.5</v>
      </c>
      <c r="AG379" s="3">
        <v>207.8</v>
      </c>
      <c r="AH379" s="3">
        <v>284.39999999999998</v>
      </c>
      <c r="AI379" s="3">
        <v>194.9</v>
      </c>
      <c r="AJ379" s="3">
        <v>339.3</v>
      </c>
      <c r="AK379" s="3">
        <v>388.6</v>
      </c>
      <c r="AL379" s="3">
        <v>334.7</v>
      </c>
      <c r="AM379" s="3">
        <v>321</v>
      </c>
      <c r="AN379" s="3">
        <v>363.1</v>
      </c>
      <c r="AO379" s="3">
        <v>167.4</v>
      </c>
      <c r="AP379" s="3">
        <v>265.7</v>
      </c>
      <c r="AQ379" s="3">
        <v>360.4</v>
      </c>
      <c r="AR379" s="3">
        <v>199</v>
      </c>
      <c r="AS379" s="3">
        <v>767.4</v>
      </c>
      <c r="AT379" s="3">
        <v>556.4</v>
      </c>
      <c r="AU379" s="3">
        <v>367.9</v>
      </c>
      <c r="AV379" s="3">
        <v>229.2</v>
      </c>
      <c r="AW379" s="3">
        <v>389.4</v>
      </c>
      <c r="AX379" s="3">
        <v>366.9</v>
      </c>
      <c r="AY379" s="3">
        <v>524.1</v>
      </c>
      <c r="AZ379" s="3">
        <v>377.3</v>
      </c>
      <c r="BA379" s="3">
        <v>237.5</v>
      </c>
      <c r="BB379" s="3">
        <v>421.4</v>
      </c>
      <c r="BC379" s="3">
        <v>326.89999999999998</v>
      </c>
      <c r="BD379" s="3">
        <v>346.5</v>
      </c>
      <c r="BE379" s="3">
        <v>363.9</v>
      </c>
      <c r="BF379" s="3">
        <v>458.3</v>
      </c>
      <c r="BG379" s="3">
        <v>273.8</v>
      </c>
      <c r="BH379" s="3">
        <v>246.7</v>
      </c>
      <c r="BI379" s="3">
        <v>81.3</v>
      </c>
      <c r="BJ379" s="3">
        <v>207.6</v>
      </c>
      <c r="BK379" s="3">
        <v>213.6</v>
      </c>
      <c r="BL379" s="3">
        <v>244.4</v>
      </c>
      <c r="BM379" s="3">
        <v>421.6</v>
      </c>
      <c r="BN379" s="3">
        <v>107.6</v>
      </c>
      <c r="BO379" s="3">
        <v>414</v>
      </c>
      <c r="BP379" s="3">
        <v>483.1</v>
      </c>
      <c r="BQ379" s="3">
        <v>180</v>
      </c>
      <c r="BR379" s="3">
        <v>137</v>
      </c>
      <c r="BS379" s="3">
        <v>170.1</v>
      </c>
      <c r="BT379" s="3">
        <v>229.3</v>
      </c>
      <c r="BU379" s="3">
        <v>156.69999999999999</v>
      </c>
      <c r="BV379" s="3">
        <v>200.8</v>
      </c>
      <c r="BW379" s="3">
        <v>219</v>
      </c>
      <c r="BX379" s="3">
        <v>525.5</v>
      </c>
      <c r="BY379" s="3">
        <v>95.2</v>
      </c>
      <c r="BZ379" s="3">
        <v>439.7</v>
      </c>
      <c r="CA379" s="3">
        <v>377.2</v>
      </c>
      <c r="CB379" s="3">
        <v>799.3</v>
      </c>
      <c r="CC379" s="3">
        <v>404.6</v>
      </c>
      <c r="CD379" s="3">
        <v>483.4</v>
      </c>
      <c r="CE379" s="3">
        <v>353</v>
      </c>
      <c r="CF379" s="3">
        <v>6.8</v>
      </c>
      <c r="CG379" s="3">
        <v>122.5</v>
      </c>
      <c r="CH379" s="3">
        <v>90.2</v>
      </c>
      <c r="CI379" s="3">
        <v>435.5</v>
      </c>
      <c r="CJ379" s="3">
        <v>187.9</v>
      </c>
      <c r="CK379" s="3">
        <v>213.8</v>
      </c>
      <c r="CL379" s="3">
        <v>587.6</v>
      </c>
      <c r="CM379" s="3">
        <v>261.2</v>
      </c>
      <c r="CN379" s="3">
        <v>252.9</v>
      </c>
    </row>
    <row r="380" spans="1:92" x14ac:dyDescent="0.25">
      <c r="A380" s="4">
        <v>43282</v>
      </c>
      <c r="B380" s="3">
        <v>219.8</v>
      </c>
      <c r="C380" s="3">
        <v>206.8</v>
      </c>
      <c r="D380" s="3">
        <v>259.89999999999998</v>
      </c>
      <c r="E380" s="3">
        <v>209.9</v>
      </c>
      <c r="F380" s="3">
        <v>341.2</v>
      </c>
      <c r="G380" s="3">
        <v>364</v>
      </c>
      <c r="H380" s="3">
        <v>216.9</v>
      </c>
      <c r="I380" s="3">
        <v>202.6</v>
      </c>
      <c r="J380" s="3">
        <v>125.3</v>
      </c>
      <c r="K380" s="3">
        <v>187.3</v>
      </c>
      <c r="L380" s="3">
        <v>263.39999999999998</v>
      </c>
      <c r="M380" s="3">
        <v>274.3</v>
      </c>
      <c r="N380" s="3">
        <v>249.5</v>
      </c>
      <c r="O380" s="3">
        <v>377.6</v>
      </c>
      <c r="P380" s="3">
        <v>205.3</v>
      </c>
      <c r="Q380" s="3">
        <v>241.3</v>
      </c>
      <c r="R380" s="3">
        <v>207.5</v>
      </c>
      <c r="S380" s="3">
        <v>235.3</v>
      </c>
      <c r="T380" s="3">
        <v>196.8</v>
      </c>
      <c r="U380" s="3">
        <v>220.1</v>
      </c>
      <c r="V380" s="3">
        <v>187.3</v>
      </c>
      <c r="W380" s="3">
        <v>262.89999999999998</v>
      </c>
      <c r="X380" s="3">
        <v>195.5</v>
      </c>
      <c r="Y380" s="3">
        <v>297.3</v>
      </c>
      <c r="Z380" s="3">
        <v>221.3</v>
      </c>
      <c r="AA380" s="3">
        <v>207.2</v>
      </c>
      <c r="AB380" s="3">
        <v>212.5</v>
      </c>
      <c r="AC380" s="3">
        <v>173.4</v>
      </c>
      <c r="AD380" s="3">
        <v>151.5</v>
      </c>
      <c r="AE380" s="3">
        <v>248.5</v>
      </c>
      <c r="AF380" s="3">
        <v>219.1</v>
      </c>
      <c r="AG380" s="3">
        <v>206.8</v>
      </c>
      <c r="AH380" s="3">
        <v>281.3</v>
      </c>
      <c r="AI380" s="3">
        <v>196</v>
      </c>
      <c r="AJ380" s="3">
        <v>340.3</v>
      </c>
      <c r="AK380" s="3">
        <v>388.4</v>
      </c>
      <c r="AL380" s="3">
        <v>334.1</v>
      </c>
      <c r="AM380" s="3">
        <v>321.89999999999998</v>
      </c>
      <c r="AN380" s="3">
        <v>363.3</v>
      </c>
      <c r="AO380" s="3">
        <v>169.3</v>
      </c>
      <c r="AP380" s="3">
        <v>264.39999999999998</v>
      </c>
      <c r="AQ380" s="3">
        <v>360.9</v>
      </c>
      <c r="AR380" s="3">
        <v>196.2</v>
      </c>
      <c r="AS380" s="3">
        <v>768.3</v>
      </c>
      <c r="AT380" s="3">
        <v>556.79999999999995</v>
      </c>
      <c r="AU380" s="3">
        <v>368.8</v>
      </c>
      <c r="AV380" s="3">
        <v>230.1</v>
      </c>
      <c r="AW380" s="3">
        <v>389.7</v>
      </c>
      <c r="AX380" s="3">
        <v>366.9</v>
      </c>
      <c r="AY380" s="3">
        <v>524.1</v>
      </c>
      <c r="AZ380" s="3">
        <v>377.4</v>
      </c>
      <c r="BA380" s="3">
        <v>235.3</v>
      </c>
      <c r="BB380" s="3">
        <v>424.9</v>
      </c>
      <c r="BC380" s="3">
        <v>328.6</v>
      </c>
      <c r="BD380" s="3">
        <v>352.7</v>
      </c>
      <c r="BE380" s="3">
        <v>367.8</v>
      </c>
      <c r="BF380" s="3">
        <v>451.2</v>
      </c>
      <c r="BG380" s="3">
        <v>260.89999999999998</v>
      </c>
      <c r="BH380" s="3">
        <v>242.3</v>
      </c>
      <c r="BI380" s="3">
        <v>80.2</v>
      </c>
      <c r="BJ380" s="3">
        <v>207.8</v>
      </c>
      <c r="BK380" s="3">
        <v>213.1</v>
      </c>
      <c r="BL380" s="3">
        <v>244.8</v>
      </c>
      <c r="BM380" s="3">
        <v>421.6</v>
      </c>
      <c r="BN380" s="3">
        <v>108.3</v>
      </c>
      <c r="BO380" s="3">
        <v>415.2</v>
      </c>
      <c r="BP380" s="3">
        <v>483.6</v>
      </c>
      <c r="BQ380" s="3">
        <v>178.3</v>
      </c>
      <c r="BR380" s="3">
        <v>130.19999999999999</v>
      </c>
      <c r="BS380" s="3">
        <v>164.4</v>
      </c>
      <c r="BT380" s="3">
        <v>226.4</v>
      </c>
      <c r="BU380" s="3">
        <v>151.5</v>
      </c>
      <c r="BV380" s="3">
        <v>198.3</v>
      </c>
      <c r="BW380" s="3">
        <v>218.2</v>
      </c>
      <c r="BX380" s="3">
        <v>528.1</v>
      </c>
      <c r="BY380" s="3">
        <v>94.7</v>
      </c>
      <c r="BZ380" s="3">
        <v>442.5</v>
      </c>
      <c r="CA380" s="3">
        <v>373.1</v>
      </c>
      <c r="CB380" s="3">
        <v>801.7</v>
      </c>
      <c r="CC380" s="3">
        <v>416.9</v>
      </c>
      <c r="CD380" s="3">
        <v>497.4</v>
      </c>
      <c r="CE380" s="3">
        <v>401.6</v>
      </c>
      <c r="CF380" s="3">
        <v>6.8</v>
      </c>
      <c r="CG380" s="3">
        <v>120.9</v>
      </c>
      <c r="CH380" s="3">
        <v>91.7</v>
      </c>
      <c r="CI380" s="3">
        <v>439.1</v>
      </c>
      <c r="CJ380" s="3">
        <v>185.7</v>
      </c>
      <c r="CK380" s="3">
        <v>213.8</v>
      </c>
      <c r="CL380" s="3">
        <v>584.20000000000005</v>
      </c>
      <c r="CM380" s="3">
        <v>262.10000000000002</v>
      </c>
      <c r="CN380" s="3">
        <v>254.9</v>
      </c>
    </row>
    <row r="381" spans="1:92" x14ac:dyDescent="0.25">
      <c r="A381" s="4">
        <v>43313</v>
      </c>
      <c r="B381" s="3">
        <v>220.7</v>
      </c>
      <c r="C381" s="3">
        <v>202.1</v>
      </c>
      <c r="D381" s="3">
        <v>266.7</v>
      </c>
      <c r="E381" s="3">
        <v>212.5</v>
      </c>
      <c r="F381" s="3">
        <v>334.1</v>
      </c>
      <c r="G381" s="3">
        <v>350.4</v>
      </c>
      <c r="H381" s="3">
        <v>217.7</v>
      </c>
      <c r="I381" s="3">
        <v>203.1</v>
      </c>
      <c r="J381" s="3">
        <v>124.4</v>
      </c>
      <c r="K381" s="3">
        <v>187.9</v>
      </c>
      <c r="L381" s="3">
        <v>267.39999999999998</v>
      </c>
      <c r="M381" s="3">
        <v>274.3</v>
      </c>
      <c r="N381" s="3">
        <v>256.89999999999998</v>
      </c>
      <c r="O381" s="3">
        <v>378.5</v>
      </c>
      <c r="P381" s="3">
        <v>185.6</v>
      </c>
      <c r="Q381" s="3">
        <v>241.3</v>
      </c>
      <c r="R381" s="3">
        <v>207.1</v>
      </c>
      <c r="S381" s="3">
        <v>234.5</v>
      </c>
      <c r="T381" s="3">
        <v>195.9</v>
      </c>
      <c r="U381" s="3">
        <v>218.9</v>
      </c>
      <c r="V381" s="3">
        <v>185.9</v>
      </c>
      <c r="W381" s="3">
        <v>262.3</v>
      </c>
      <c r="X381" s="3">
        <v>191.2</v>
      </c>
      <c r="Y381" s="3">
        <v>300.10000000000002</v>
      </c>
      <c r="Z381" s="3">
        <v>228.1</v>
      </c>
      <c r="AA381" s="3">
        <v>207.7</v>
      </c>
      <c r="AB381" s="3">
        <v>221.1</v>
      </c>
      <c r="AC381" s="3">
        <v>173.1</v>
      </c>
      <c r="AD381" s="3">
        <v>151.30000000000001</v>
      </c>
      <c r="AE381" s="3">
        <v>247.9</v>
      </c>
      <c r="AF381" s="3">
        <v>219</v>
      </c>
      <c r="AG381" s="3">
        <v>207.9</v>
      </c>
      <c r="AH381" s="3">
        <v>275.5</v>
      </c>
      <c r="AI381" s="3">
        <v>194.1</v>
      </c>
      <c r="AJ381" s="3">
        <v>340.8</v>
      </c>
      <c r="AK381" s="3">
        <v>388</v>
      </c>
      <c r="AL381" s="3">
        <v>336.7</v>
      </c>
      <c r="AM381" s="3">
        <v>322.7</v>
      </c>
      <c r="AN381" s="3">
        <v>363.2</v>
      </c>
      <c r="AO381" s="3">
        <v>171.3</v>
      </c>
      <c r="AP381" s="3">
        <v>266.5</v>
      </c>
      <c r="AQ381" s="3">
        <v>361.4</v>
      </c>
      <c r="AR381" s="3">
        <v>199.6</v>
      </c>
      <c r="AS381" s="3">
        <v>767.2</v>
      </c>
      <c r="AT381" s="3">
        <v>552.4</v>
      </c>
      <c r="AU381" s="3">
        <v>369.2</v>
      </c>
      <c r="AV381" s="3">
        <v>236.6</v>
      </c>
      <c r="AW381" s="3">
        <v>394</v>
      </c>
      <c r="AX381" s="3">
        <v>366.9</v>
      </c>
      <c r="AY381" s="3">
        <v>524.1</v>
      </c>
      <c r="AZ381" s="3">
        <v>377.3</v>
      </c>
      <c r="BA381" s="3">
        <v>235.6</v>
      </c>
      <c r="BB381" s="3">
        <v>431.2</v>
      </c>
      <c r="BC381" s="3">
        <v>329.2</v>
      </c>
      <c r="BD381" s="3">
        <v>352.7</v>
      </c>
      <c r="BE381" s="3">
        <v>367.8</v>
      </c>
      <c r="BF381" s="3">
        <v>455.6</v>
      </c>
      <c r="BG381" s="3">
        <v>275.39999999999998</v>
      </c>
      <c r="BH381" s="3">
        <v>244.1</v>
      </c>
      <c r="BI381" s="3">
        <v>80.900000000000006</v>
      </c>
      <c r="BJ381" s="3">
        <v>208.1</v>
      </c>
      <c r="BK381" s="3">
        <v>209.4</v>
      </c>
      <c r="BL381" s="3">
        <v>242.8</v>
      </c>
      <c r="BM381" s="3">
        <v>421.6</v>
      </c>
      <c r="BN381" s="3">
        <v>109</v>
      </c>
      <c r="BO381" s="3">
        <v>416.4</v>
      </c>
      <c r="BP381" s="3">
        <v>485.7</v>
      </c>
      <c r="BQ381" s="3">
        <v>181.4</v>
      </c>
      <c r="BR381" s="3">
        <v>136.69999999999999</v>
      </c>
      <c r="BS381" s="3">
        <v>171.7</v>
      </c>
      <c r="BT381" s="3">
        <v>230</v>
      </c>
      <c r="BU381" s="3">
        <v>154.69999999999999</v>
      </c>
      <c r="BV381" s="3">
        <v>202.9</v>
      </c>
      <c r="BW381" s="3">
        <v>218.8</v>
      </c>
      <c r="BX381" s="3">
        <v>529</v>
      </c>
      <c r="BY381" s="3">
        <v>94.6</v>
      </c>
      <c r="BZ381" s="3">
        <v>443.9</v>
      </c>
      <c r="CA381" s="3">
        <v>376.7</v>
      </c>
      <c r="CB381" s="3">
        <v>807</v>
      </c>
      <c r="CC381" s="3">
        <v>411.7</v>
      </c>
      <c r="CD381" s="3">
        <v>502.5</v>
      </c>
      <c r="CE381" s="3">
        <v>441.7</v>
      </c>
      <c r="CF381" s="3">
        <v>6.9</v>
      </c>
      <c r="CG381" s="3">
        <v>118.2</v>
      </c>
      <c r="CH381" s="3">
        <v>91.4</v>
      </c>
      <c r="CI381" s="3">
        <v>433.5</v>
      </c>
      <c r="CJ381" s="3">
        <v>183.4</v>
      </c>
      <c r="CK381" s="3">
        <v>213.8</v>
      </c>
      <c r="CL381" s="3">
        <v>596.9</v>
      </c>
      <c r="CM381" s="3">
        <v>265.2</v>
      </c>
      <c r="CN381" s="3">
        <v>257.10000000000002</v>
      </c>
    </row>
    <row r="382" spans="1:92" x14ac:dyDescent="0.25">
      <c r="A382" s="4">
        <v>43344</v>
      </c>
      <c r="B382" s="3">
        <v>220.2</v>
      </c>
      <c r="C382" s="3">
        <v>200.5</v>
      </c>
      <c r="D382" s="3">
        <v>269.5</v>
      </c>
      <c r="E382" s="3">
        <v>210.3</v>
      </c>
      <c r="F382" s="3">
        <v>325.3</v>
      </c>
      <c r="G382" s="3">
        <v>337.8</v>
      </c>
      <c r="H382" s="3">
        <v>222.9</v>
      </c>
      <c r="I382" s="3">
        <v>202.9</v>
      </c>
      <c r="J382" s="3">
        <v>123.3</v>
      </c>
      <c r="K382" s="3">
        <v>187.8</v>
      </c>
      <c r="L382" s="3">
        <v>269.2</v>
      </c>
      <c r="M382" s="3">
        <v>281.2</v>
      </c>
      <c r="N382" s="3">
        <v>254</v>
      </c>
      <c r="O382" s="3">
        <v>372.3</v>
      </c>
      <c r="P382" s="3">
        <v>205.5</v>
      </c>
      <c r="Q382" s="3">
        <v>241.6</v>
      </c>
      <c r="R382" s="3">
        <v>203.5</v>
      </c>
      <c r="S382" s="3">
        <v>236.2</v>
      </c>
      <c r="T382" s="3">
        <v>193</v>
      </c>
      <c r="U382" s="3">
        <v>214.7</v>
      </c>
      <c r="V382" s="3">
        <v>186.5</v>
      </c>
      <c r="W382" s="3">
        <v>263.39999999999998</v>
      </c>
      <c r="X382" s="3">
        <v>197.1</v>
      </c>
      <c r="Y382" s="3">
        <v>295.2</v>
      </c>
      <c r="Z382" s="3">
        <v>225.9</v>
      </c>
      <c r="AA382" s="3">
        <v>211.3</v>
      </c>
      <c r="AB382" s="3">
        <v>217</v>
      </c>
      <c r="AC382" s="3">
        <v>174.7</v>
      </c>
      <c r="AD382" s="3">
        <v>153</v>
      </c>
      <c r="AE382" s="3">
        <v>249</v>
      </c>
      <c r="AF382" s="3">
        <v>223.5</v>
      </c>
      <c r="AG382" s="3">
        <v>212.2</v>
      </c>
      <c r="AH382" s="3">
        <v>281.3</v>
      </c>
      <c r="AI382" s="3">
        <v>190.5</v>
      </c>
      <c r="AJ382" s="3">
        <v>341.1</v>
      </c>
      <c r="AK382" s="3">
        <v>390.3</v>
      </c>
      <c r="AL382" s="3">
        <v>337.8</v>
      </c>
      <c r="AM382" s="3">
        <v>323.5</v>
      </c>
      <c r="AN382" s="3">
        <v>363.8</v>
      </c>
      <c r="AO382" s="3">
        <v>172.3</v>
      </c>
      <c r="AP382" s="3">
        <v>266.7</v>
      </c>
      <c r="AQ382" s="3">
        <v>362.2</v>
      </c>
      <c r="AR382" s="3">
        <v>199.3</v>
      </c>
      <c r="AS382" s="3">
        <v>767.5</v>
      </c>
      <c r="AT382" s="3">
        <v>556.9</v>
      </c>
      <c r="AU382" s="3">
        <v>369.6</v>
      </c>
      <c r="AV382" s="3">
        <v>231.9</v>
      </c>
      <c r="AW382" s="3">
        <v>396.3</v>
      </c>
      <c r="AX382" s="3">
        <v>366.9</v>
      </c>
      <c r="AY382" s="3">
        <v>524.1</v>
      </c>
      <c r="AZ382" s="3">
        <v>377.9</v>
      </c>
      <c r="BA382" s="3">
        <v>236.8</v>
      </c>
      <c r="BB382" s="3">
        <v>435.5</v>
      </c>
      <c r="BC382" s="3">
        <v>328</v>
      </c>
      <c r="BD382" s="3">
        <v>359</v>
      </c>
      <c r="BE382" s="3">
        <v>372.2</v>
      </c>
      <c r="BF382" s="3">
        <v>474.2</v>
      </c>
      <c r="BG382" s="3">
        <v>272.7</v>
      </c>
      <c r="BH382" s="3">
        <v>246.2</v>
      </c>
      <c r="BI382" s="3">
        <v>79.400000000000006</v>
      </c>
      <c r="BJ382" s="3">
        <v>210.6</v>
      </c>
      <c r="BK382" s="3">
        <v>209.6</v>
      </c>
      <c r="BL382" s="3">
        <v>243.2</v>
      </c>
      <c r="BM382" s="3">
        <v>421.6</v>
      </c>
      <c r="BN382" s="3">
        <v>109.9</v>
      </c>
      <c r="BO382" s="3">
        <v>417.1</v>
      </c>
      <c r="BP382" s="3">
        <v>489.3</v>
      </c>
      <c r="BQ382" s="3">
        <v>189.3</v>
      </c>
      <c r="BR382" s="3">
        <v>142.69999999999999</v>
      </c>
      <c r="BS382" s="3">
        <v>175.9</v>
      </c>
      <c r="BT382" s="3">
        <v>232.9</v>
      </c>
      <c r="BU382" s="3">
        <v>157</v>
      </c>
      <c r="BV382" s="3">
        <v>204.2</v>
      </c>
      <c r="BW382" s="3">
        <v>219.5</v>
      </c>
      <c r="BX382" s="3">
        <v>529.6</v>
      </c>
      <c r="BY382" s="3">
        <v>95.3</v>
      </c>
      <c r="BZ382" s="3">
        <v>445.3</v>
      </c>
      <c r="CA382" s="3">
        <v>382</v>
      </c>
      <c r="CB382" s="3">
        <v>811.7</v>
      </c>
      <c r="CC382" s="3">
        <v>412</v>
      </c>
      <c r="CD382" s="3">
        <v>492.3</v>
      </c>
      <c r="CE382" s="3">
        <v>352.9</v>
      </c>
      <c r="CF382" s="3">
        <v>6.9</v>
      </c>
      <c r="CG382" s="3">
        <v>121.1</v>
      </c>
      <c r="CH382" s="3">
        <v>92.1</v>
      </c>
      <c r="CI382" s="3">
        <v>432</v>
      </c>
      <c r="CJ382" s="3">
        <v>184.1</v>
      </c>
      <c r="CK382" s="3">
        <v>213.8</v>
      </c>
      <c r="CL382" s="3">
        <v>592.29999999999995</v>
      </c>
      <c r="CM382" s="3">
        <v>266.89999999999998</v>
      </c>
      <c r="CN382" s="3">
        <v>259.2</v>
      </c>
    </row>
    <row r="383" spans="1:92" x14ac:dyDescent="0.25">
      <c r="A383" s="4">
        <v>43374</v>
      </c>
      <c r="B383" s="3">
        <v>220.1</v>
      </c>
      <c r="C383" s="3">
        <v>202.3</v>
      </c>
      <c r="D383" s="3">
        <v>268.2</v>
      </c>
      <c r="E383" s="3">
        <v>209</v>
      </c>
      <c r="F383" s="3">
        <v>321.3</v>
      </c>
      <c r="G383" s="3">
        <v>343.4</v>
      </c>
      <c r="H383" s="3">
        <v>223</v>
      </c>
      <c r="I383" s="3">
        <v>204.7</v>
      </c>
      <c r="J383" s="3">
        <v>122.6</v>
      </c>
      <c r="K383" s="3">
        <v>185.2</v>
      </c>
      <c r="L383" s="3">
        <v>270.3</v>
      </c>
      <c r="M383" s="3">
        <v>282.5</v>
      </c>
      <c r="N383" s="3">
        <v>255</v>
      </c>
      <c r="O383" s="3">
        <v>369.9</v>
      </c>
      <c r="P383" s="3">
        <v>190.1</v>
      </c>
      <c r="Q383" s="3">
        <v>240.4</v>
      </c>
      <c r="R383" s="3">
        <v>204</v>
      </c>
      <c r="S383" s="3">
        <v>235.2</v>
      </c>
      <c r="T383" s="3">
        <v>185.5</v>
      </c>
      <c r="U383" s="3">
        <v>218</v>
      </c>
      <c r="V383" s="3">
        <v>183.7</v>
      </c>
      <c r="W383" s="3">
        <v>259.89999999999998</v>
      </c>
      <c r="X383" s="3">
        <v>187</v>
      </c>
      <c r="Y383" s="3">
        <v>293.2</v>
      </c>
      <c r="Z383" s="3">
        <v>228.4</v>
      </c>
      <c r="AA383" s="3">
        <v>214</v>
      </c>
      <c r="AB383" s="3">
        <v>219.3</v>
      </c>
      <c r="AC383" s="3">
        <v>175.9</v>
      </c>
      <c r="AD383" s="3">
        <v>154.4</v>
      </c>
      <c r="AE383" s="3">
        <v>248.3</v>
      </c>
      <c r="AF383" s="3">
        <v>229.5</v>
      </c>
      <c r="AG383" s="3">
        <v>218.1</v>
      </c>
      <c r="AH383" s="3">
        <v>287.5</v>
      </c>
      <c r="AI383" s="3">
        <v>190.6</v>
      </c>
      <c r="AJ383" s="3">
        <v>342.5</v>
      </c>
      <c r="AK383" s="3">
        <v>392.3</v>
      </c>
      <c r="AL383" s="3">
        <v>338.6</v>
      </c>
      <c r="AM383" s="3">
        <v>321.10000000000002</v>
      </c>
      <c r="AN383" s="3">
        <v>363.3</v>
      </c>
      <c r="AO383" s="3">
        <v>167.2</v>
      </c>
      <c r="AP383" s="3">
        <v>267</v>
      </c>
      <c r="AQ383" s="3">
        <v>361.5</v>
      </c>
      <c r="AR383" s="3">
        <v>200.5</v>
      </c>
      <c r="AS383" s="3">
        <v>769.8</v>
      </c>
      <c r="AT383" s="3">
        <v>559.9</v>
      </c>
      <c r="AU383" s="3">
        <v>369.7</v>
      </c>
      <c r="AV383" s="3">
        <v>239.3</v>
      </c>
      <c r="AW383" s="3">
        <v>398.2</v>
      </c>
      <c r="AX383" s="3">
        <v>366.9</v>
      </c>
      <c r="AY383" s="3">
        <v>524.1</v>
      </c>
      <c r="AZ383" s="3">
        <v>377.9</v>
      </c>
      <c r="BA383" s="3">
        <v>236.8</v>
      </c>
      <c r="BB383" s="3">
        <v>436.1</v>
      </c>
      <c r="BC383" s="3">
        <v>340.3</v>
      </c>
      <c r="BD383" s="3">
        <v>366</v>
      </c>
      <c r="BE383" s="3">
        <v>379.7</v>
      </c>
      <c r="BF383" s="3">
        <v>505.3</v>
      </c>
      <c r="BG383" s="3">
        <v>268.8</v>
      </c>
      <c r="BH383" s="3">
        <v>246.2</v>
      </c>
      <c r="BI383" s="3">
        <v>81.2</v>
      </c>
      <c r="BJ383" s="3">
        <v>210.5</v>
      </c>
      <c r="BK383" s="3">
        <v>210</v>
      </c>
      <c r="BL383" s="3">
        <v>245.3</v>
      </c>
      <c r="BM383" s="3">
        <v>421.6</v>
      </c>
      <c r="BN383" s="3">
        <v>110.3</v>
      </c>
      <c r="BO383" s="3">
        <v>418</v>
      </c>
      <c r="BP383" s="3">
        <v>491.7</v>
      </c>
      <c r="BQ383" s="3">
        <v>189.1</v>
      </c>
      <c r="BR383" s="3">
        <v>142.5</v>
      </c>
      <c r="BS383" s="3">
        <v>177.4</v>
      </c>
      <c r="BT383" s="3">
        <v>233.1</v>
      </c>
      <c r="BU383" s="3">
        <v>155.4</v>
      </c>
      <c r="BV383" s="3">
        <v>203</v>
      </c>
      <c r="BW383" s="3">
        <v>220</v>
      </c>
      <c r="BX383" s="3">
        <v>528</v>
      </c>
      <c r="BY383" s="3">
        <v>95.5</v>
      </c>
      <c r="BZ383" s="3">
        <v>446.3</v>
      </c>
      <c r="CA383" s="3">
        <v>384</v>
      </c>
      <c r="CB383" s="3">
        <v>803.4</v>
      </c>
      <c r="CC383" s="3">
        <v>406.1</v>
      </c>
      <c r="CD383" s="3">
        <v>482.6</v>
      </c>
      <c r="CE383" s="3">
        <v>340.9</v>
      </c>
      <c r="CF383" s="3">
        <v>7</v>
      </c>
      <c r="CG383" s="3">
        <v>121.3</v>
      </c>
      <c r="CH383" s="3">
        <v>93</v>
      </c>
      <c r="CI383" s="3">
        <v>442.1</v>
      </c>
      <c r="CJ383" s="3">
        <v>182.9</v>
      </c>
      <c r="CK383" s="3">
        <v>214.4</v>
      </c>
      <c r="CL383" s="3">
        <v>593.4</v>
      </c>
      <c r="CM383" s="3">
        <v>267.60000000000002</v>
      </c>
      <c r="CN383" s="3">
        <v>258.7</v>
      </c>
    </row>
    <row r="384" spans="1:92" x14ac:dyDescent="0.25">
      <c r="A384" s="4">
        <v>43405</v>
      </c>
      <c r="B384" s="3">
        <v>220.3</v>
      </c>
      <c r="C384" s="3">
        <v>201.3</v>
      </c>
      <c r="D384" s="3">
        <v>266</v>
      </c>
      <c r="E384" s="3">
        <v>210.9</v>
      </c>
      <c r="F384" s="3">
        <v>320.8</v>
      </c>
      <c r="G384" s="3">
        <v>331.2</v>
      </c>
      <c r="H384" s="3">
        <v>222.1</v>
      </c>
      <c r="I384" s="3">
        <v>204.2</v>
      </c>
      <c r="J384" s="3">
        <v>122.9</v>
      </c>
      <c r="K384" s="3">
        <v>184.3</v>
      </c>
      <c r="L384" s="3">
        <v>267.8</v>
      </c>
      <c r="M384" s="3">
        <v>281.60000000000002</v>
      </c>
      <c r="N384" s="3">
        <v>251.2</v>
      </c>
      <c r="O384" s="3">
        <v>358.9</v>
      </c>
      <c r="P384" s="3">
        <v>198</v>
      </c>
      <c r="Q384" s="3">
        <v>240.5</v>
      </c>
      <c r="R384" s="3">
        <v>204.8</v>
      </c>
      <c r="S384" s="3">
        <v>235.6</v>
      </c>
      <c r="T384" s="3">
        <v>186.5</v>
      </c>
      <c r="U384" s="3">
        <v>215.1</v>
      </c>
      <c r="V384" s="3">
        <v>181.5</v>
      </c>
      <c r="W384" s="3">
        <v>258</v>
      </c>
      <c r="X384" s="3">
        <v>185.6</v>
      </c>
      <c r="Y384" s="3">
        <v>292.39999999999998</v>
      </c>
      <c r="Z384" s="3">
        <v>228.6</v>
      </c>
      <c r="AA384" s="3">
        <v>215</v>
      </c>
      <c r="AB384" s="3">
        <v>219.2</v>
      </c>
      <c r="AC384" s="3">
        <v>177.9</v>
      </c>
      <c r="AD384" s="3">
        <v>156.30000000000001</v>
      </c>
      <c r="AE384" s="3">
        <v>250.3</v>
      </c>
      <c r="AF384" s="3">
        <v>232.5</v>
      </c>
      <c r="AG384" s="3">
        <v>222</v>
      </c>
      <c r="AH384" s="3">
        <v>286.39999999999998</v>
      </c>
      <c r="AI384" s="3">
        <v>194.7</v>
      </c>
      <c r="AJ384" s="3">
        <v>343.8</v>
      </c>
      <c r="AK384" s="3">
        <v>391.9</v>
      </c>
      <c r="AL384" s="3">
        <v>339.5</v>
      </c>
      <c r="AM384" s="3">
        <v>322.39999999999998</v>
      </c>
      <c r="AN384" s="3">
        <v>364.5</v>
      </c>
      <c r="AO384" s="3">
        <v>168.4</v>
      </c>
      <c r="AP384" s="3">
        <v>265.39999999999998</v>
      </c>
      <c r="AQ384" s="3">
        <v>362.4</v>
      </c>
      <c r="AR384" s="3">
        <v>196.9</v>
      </c>
      <c r="AS384" s="3">
        <v>795.6</v>
      </c>
      <c r="AT384" s="3">
        <v>582.20000000000005</v>
      </c>
      <c r="AU384" s="3">
        <v>370</v>
      </c>
      <c r="AV384" s="3">
        <v>238.6</v>
      </c>
      <c r="AW384" s="3">
        <v>396.6</v>
      </c>
      <c r="AX384" s="3">
        <v>366.9</v>
      </c>
      <c r="AY384" s="3">
        <v>524.1</v>
      </c>
      <c r="AZ384" s="3">
        <v>377.9</v>
      </c>
      <c r="BA384" s="3">
        <v>237.4</v>
      </c>
      <c r="BB384" s="3">
        <v>437.1</v>
      </c>
      <c r="BC384" s="3">
        <v>337.4</v>
      </c>
      <c r="BD384" s="3">
        <v>366</v>
      </c>
      <c r="BE384" s="3">
        <v>379.7</v>
      </c>
      <c r="BF384" s="3">
        <v>481.3</v>
      </c>
      <c r="BG384" s="3">
        <v>271.5</v>
      </c>
      <c r="BH384" s="3">
        <v>248.9</v>
      </c>
      <c r="BI384" s="3">
        <v>79.099999999999994</v>
      </c>
      <c r="BJ384" s="3">
        <v>209.2</v>
      </c>
      <c r="BK384" s="3">
        <v>211.3</v>
      </c>
      <c r="BL384" s="3">
        <v>243.6</v>
      </c>
      <c r="BM384" s="3">
        <v>421.6</v>
      </c>
      <c r="BN384" s="3">
        <v>110.1</v>
      </c>
      <c r="BO384" s="3">
        <v>418.7</v>
      </c>
      <c r="BP384" s="3">
        <v>491.9</v>
      </c>
      <c r="BQ384" s="3">
        <v>191</v>
      </c>
      <c r="BR384" s="3">
        <v>145.4</v>
      </c>
      <c r="BS384" s="3">
        <v>180.5</v>
      </c>
      <c r="BT384" s="3">
        <v>235.6</v>
      </c>
      <c r="BU384" s="3">
        <v>155.30000000000001</v>
      </c>
      <c r="BV384" s="3">
        <v>205.5</v>
      </c>
      <c r="BW384" s="3">
        <v>221.2</v>
      </c>
      <c r="BX384" s="3">
        <v>528.4</v>
      </c>
      <c r="BY384" s="3">
        <v>95.8</v>
      </c>
      <c r="BZ384" s="3">
        <v>447</v>
      </c>
      <c r="CA384" s="3">
        <v>382.8</v>
      </c>
      <c r="CB384" s="3">
        <v>783.5</v>
      </c>
      <c r="CC384" s="3">
        <v>409.3</v>
      </c>
      <c r="CD384" s="3">
        <v>481.3</v>
      </c>
      <c r="CE384" s="3">
        <v>313.60000000000002</v>
      </c>
      <c r="CF384" s="3">
        <v>7</v>
      </c>
      <c r="CG384" s="3">
        <v>122.8</v>
      </c>
      <c r="CH384" s="3">
        <v>93.1</v>
      </c>
      <c r="CI384" s="3">
        <v>445.5</v>
      </c>
      <c r="CJ384" s="3">
        <v>184.8</v>
      </c>
      <c r="CK384" s="3">
        <v>214.4</v>
      </c>
      <c r="CL384" s="3">
        <v>588.9</v>
      </c>
      <c r="CM384" s="3">
        <v>268.60000000000002</v>
      </c>
      <c r="CN384" s="3">
        <v>261.2</v>
      </c>
    </row>
    <row r="385" spans="1:92" x14ac:dyDescent="0.25">
      <c r="A385" s="4">
        <v>43435</v>
      </c>
      <c r="B385" s="3">
        <v>221.4</v>
      </c>
      <c r="C385" s="3">
        <v>206</v>
      </c>
      <c r="D385" s="3">
        <v>271</v>
      </c>
      <c r="E385" s="3">
        <v>211.2</v>
      </c>
      <c r="F385" s="3">
        <v>317</v>
      </c>
      <c r="G385" s="3">
        <v>322.60000000000002</v>
      </c>
      <c r="H385" s="3">
        <v>215.3</v>
      </c>
      <c r="I385" s="3">
        <v>203.8</v>
      </c>
      <c r="J385" s="3">
        <v>121.7</v>
      </c>
      <c r="K385" s="3">
        <v>189.2</v>
      </c>
      <c r="L385" s="3">
        <v>266.5</v>
      </c>
      <c r="M385" s="3">
        <v>273.60000000000002</v>
      </c>
      <c r="N385" s="3">
        <v>255.8</v>
      </c>
      <c r="O385" s="3">
        <v>377</v>
      </c>
      <c r="P385" s="3">
        <v>207.4</v>
      </c>
      <c r="Q385" s="3">
        <v>239</v>
      </c>
      <c r="R385" s="3">
        <v>205.1</v>
      </c>
      <c r="S385" s="3">
        <v>237.6</v>
      </c>
      <c r="T385" s="3">
        <v>195.1</v>
      </c>
      <c r="U385" s="3">
        <v>220.6</v>
      </c>
      <c r="V385" s="3">
        <v>184</v>
      </c>
      <c r="W385" s="3">
        <v>261.89999999999998</v>
      </c>
      <c r="X385" s="3">
        <v>193.8</v>
      </c>
      <c r="Y385" s="3">
        <v>290.89999999999998</v>
      </c>
      <c r="Z385" s="3">
        <v>228.2</v>
      </c>
      <c r="AA385" s="3">
        <v>219.6</v>
      </c>
      <c r="AB385" s="3">
        <v>217.1</v>
      </c>
      <c r="AC385" s="3">
        <v>180.6</v>
      </c>
      <c r="AD385" s="3">
        <v>158.5</v>
      </c>
      <c r="AE385" s="3">
        <v>255.2</v>
      </c>
      <c r="AF385" s="3">
        <v>229.7</v>
      </c>
      <c r="AG385" s="3">
        <v>220.8</v>
      </c>
      <c r="AH385" s="3">
        <v>276.60000000000002</v>
      </c>
      <c r="AI385" s="3">
        <v>196.8</v>
      </c>
      <c r="AJ385" s="3">
        <v>344.7</v>
      </c>
      <c r="AK385" s="3">
        <v>392</v>
      </c>
      <c r="AL385" s="3">
        <v>340.7</v>
      </c>
      <c r="AM385" s="3">
        <v>320.7</v>
      </c>
      <c r="AN385" s="3">
        <v>365</v>
      </c>
      <c r="AO385" s="3">
        <v>163.4</v>
      </c>
      <c r="AP385" s="3">
        <v>263.89999999999998</v>
      </c>
      <c r="AQ385" s="3">
        <v>364.3</v>
      </c>
      <c r="AR385" s="3">
        <v>192.8</v>
      </c>
      <c r="AS385" s="3">
        <v>795.2</v>
      </c>
      <c r="AT385" s="3">
        <v>581.9</v>
      </c>
      <c r="AU385" s="3">
        <v>370.6</v>
      </c>
      <c r="AV385" s="3">
        <v>238.9</v>
      </c>
      <c r="AW385" s="3">
        <v>395.3</v>
      </c>
      <c r="AX385" s="3">
        <v>366.9</v>
      </c>
      <c r="AY385" s="3">
        <v>524.1</v>
      </c>
      <c r="AZ385" s="3">
        <v>378.4</v>
      </c>
      <c r="BA385" s="3">
        <v>238.6</v>
      </c>
      <c r="BB385" s="3">
        <v>435.9</v>
      </c>
      <c r="BC385" s="3">
        <v>344.4</v>
      </c>
      <c r="BD385" s="3">
        <v>366</v>
      </c>
      <c r="BE385" s="3">
        <v>379.7</v>
      </c>
      <c r="BF385" s="3">
        <v>456.1</v>
      </c>
      <c r="BG385" s="3">
        <v>278.2</v>
      </c>
      <c r="BH385" s="3">
        <v>248.9</v>
      </c>
      <c r="BI385" s="3">
        <v>78.5</v>
      </c>
      <c r="BJ385" s="3">
        <v>210.8</v>
      </c>
      <c r="BK385" s="3">
        <v>213</v>
      </c>
      <c r="BL385" s="3">
        <v>243.2</v>
      </c>
      <c r="BM385" s="3">
        <v>421.6</v>
      </c>
      <c r="BN385" s="3">
        <v>110</v>
      </c>
      <c r="BO385" s="3">
        <v>419.6</v>
      </c>
      <c r="BP385" s="3">
        <v>492</v>
      </c>
      <c r="BQ385" s="3">
        <v>188.1</v>
      </c>
      <c r="BR385" s="3">
        <v>144.5</v>
      </c>
      <c r="BS385" s="3">
        <v>180.4</v>
      </c>
      <c r="BT385" s="3">
        <v>235.1</v>
      </c>
      <c r="BU385" s="3">
        <v>153.1</v>
      </c>
      <c r="BV385" s="3">
        <v>205.6</v>
      </c>
      <c r="BW385" s="3">
        <v>219.3</v>
      </c>
      <c r="BX385" s="3">
        <v>528.79999999999995</v>
      </c>
      <c r="BY385" s="3">
        <v>96.4</v>
      </c>
      <c r="BZ385" s="3">
        <v>447.4</v>
      </c>
      <c r="CA385" s="3">
        <v>366.1</v>
      </c>
      <c r="CB385" s="3">
        <v>788</v>
      </c>
      <c r="CC385" s="3">
        <v>408.5</v>
      </c>
      <c r="CD385" s="3">
        <v>499.8</v>
      </c>
      <c r="CE385" s="3">
        <v>391.5</v>
      </c>
      <c r="CF385" s="3">
        <v>6.9</v>
      </c>
      <c r="CG385" s="3">
        <v>123.2</v>
      </c>
      <c r="CH385" s="3">
        <v>92.2</v>
      </c>
      <c r="CI385" s="3">
        <v>441.1</v>
      </c>
      <c r="CJ385" s="3">
        <v>184.3</v>
      </c>
      <c r="CK385" s="3">
        <v>214.4</v>
      </c>
      <c r="CL385" s="3">
        <v>589.5</v>
      </c>
      <c r="CM385" s="3">
        <v>269</v>
      </c>
      <c r="CN385" s="3">
        <v>262.5</v>
      </c>
    </row>
    <row r="386" spans="1:92" x14ac:dyDescent="0.25">
      <c r="A386" s="4">
        <v>43466</v>
      </c>
      <c r="B386" s="3">
        <v>223.7</v>
      </c>
      <c r="C386" s="3">
        <v>202.1</v>
      </c>
      <c r="D386" s="3">
        <v>262.3</v>
      </c>
      <c r="E386" s="3">
        <v>213.1</v>
      </c>
      <c r="F386" s="3">
        <v>330.5</v>
      </c>
      <c r="G386" s="3">
        <v>343.2</v>
      </c>
      <c r="H386" s="3">
        <v>217.2</v>
      </c>
      <c r="I386" s="3">
        <v>206.5</v>
      </c>
      <c r="J386" s="3">
        <v>123.9</v>
      </c>
      <c r="K386" s="3">
        <v>186.8</v>
      </c>
      <c r="L386" s="3">
        <v>270.2</v>
      </c>
      <c r="M386" s="3">
        <v>279.60000000000002</v>
      </c>
      <c r="N386" s="3">
        <v>257.39999999999998</v>
      </c>
      <c r="O386" s="3">
        <v>375.4</v>
      </c>
      <c r="P386" s="3">
        <v>218.4</v>
      </c>
      <c r="Q386" s="3">
        <v>243.3</v>
      </c>
      <c r="R386" s="3">
        <v>206.8</v>
      </c>
      <c r="S386" s="3">
        <v>237</v>
      </c>
      <c r="T386" s="3">
        <v>182.1</v>
      </c>
      <c r="U386" s="3">
        <v>224.4</v>
      </c>
      <c r="V386" s="3">
        <v>184.9</v>
      </c>
      <c r="W386" s="3">
        <v>264.5</v>
      </c>
      <c r="X386" s="3">
        <v>192.3</v>
      </c>
      <c r="Y386" s="3">
        <v>297.39999999999998</v>
      </c>
      <c r="Z386" s="3">
        <v>230.7</v>
      </c>
      <c r="AA386" s="3">
        <v>222</v>
      </c>
      <c r="AB386" s="3">
        <v>219.5</v>
      </c>
      <c r="AC386" s="3">
        <v>179.8</v>
      </c>
      <c r="AD386" s="3">
        <v>159.30000000000001</v>
      </c>
      <c r="AE386" s="3">
        <v>246.7</v>
      </c>
      <c r="AF386" s="3">
        <v>230.8</v>
      </c>
      <c r="AG386" s="3">
        <v>220.5</v>
      </c>
      <c r="AH386" s="3">
        <v>284</v>
      </c>
      <c r="AI386" s="3">
        <v>191.1</v>
      </c>
      <c r="AJ386" s="3">
        <v>345</v>
      </c>
      <c r="AK386" s="3">
        <v>391.9</v>
      </c>
      <c r="AL386" s="3">
        <v>341.7</v>
      </c>
      <c r="AM386" s="3">
        <v>324.3</v>
      </c>
      <c r="AN386" s="3">
        <v>364.6</v>
      </c>
      <c r="AO386" s="3">
        <v>172.9</v>
      </c>
      <c r="AP386" s="3">
        <v>268.7</v>
      </c>
      <c r="AQ386" s="3">
        <v>364.1</v>
      </c>
      <c r="AR386" s="3">
        <v>201.5</v>
      </c>
      <c r="AS386" s="3">
        <v>797.2</v>
      </c>
      <c r="AT386" s="3">
        <v>582.79999999999995</v>
      </c>
      <c r="AU386" s="3">
        <v>370.8</v>
      </c>
      <c r="AV386" s="3">
        <v>239.5</v>
      </c>
      <c r="AW386" s="3">
        <v>395.2</v>
      </c>
      <c r="AX386" s="3">
        <v>366.9</v>
      </c>
      <c r="AY386" s="3">
        <v>524.1</v>
      </c>
      <c r="AZ386" s="3">
        <v>378.7</v>
      </c>
      <c r="BA386" s="3">
        <v>236.9</v>
      </c>
      <c r="BB386" s="3">
        <v>435.9</v>
      </c>
      <c r="BC386" s="3">
        <v>344.6</v>
      </c>
      <c r="BD386" s="3">
        <v>348.2</v>
      </c>
      <c r="BE386" s="3">
        <v>346.7</v>
      </c>
      <c r="BF386" s="3">
        <v>442.5</v>
      </c>
      <c r="BG386" s="3">
        <v>265.7</v>
      </c>
      <c r="BH386" s="3">
        <v>243.9</v>
      </c>
      <c r="BI386" s="3">
        <v>78.3</v>
      </c>
      <c r="BJ386" s="3">
        <v>206.3</v>
      </c>
      <c r="BK386" s="3">
        <v>211.2</v>
      </c>
      <c r="BL386" s="3">
        <v>244.8</v>
      </c>
      <c r="BM386" s="3">
        <v>421.6</v>
      </c>
      <c r="BN386" s="3">
        <v>111.1</v>
      </c>
      <c r="BO386" s="3">
        <v>420.1</v>
      </c>
      <c r="BP386" s="3">
        <v>492.4</v>
      </c>
      <c r="BQ386" s="3">
        <v>181.7</v>
      </c>
      <c r="BR386" s="3">
        <v>135.19999999999999</v>
      </c>
      <c r="BS386" s="3">
        <v>173.4</v>
      </c>
      <c r="BT386" s="3">
        <v>228</v>
      </c>
      <c r="BU386" s="3">
        <v>149.80000000000001</v>
      </c>
      <c r="BV386" s="3">
        <v>201.1</v>
      </c>
      <c r="BW386" s="3">
        <v>222</v>
      </c>
      <c r="BX386" s="3">
        <v>532.20000000000005</v>
      </c>
      <c r="BY386" s="3">
        <v>96.5</v>
      </c>
      <c r="BZ386" s="3">
        <v>447.9</v>
      </c>
      <c r="CA386" s="3">
        <v>360.1</v>
      </c>
      <c r="CB386" s="3">
        <v>785.7</v>
      </c>
      <c r="CC386" s="3">
        <v>421.7</v>
      </c>
      <c r="CD386" s="3">
        <v>483.8</v>
      </c>
      <c r="CE386" s="3">
        <v>320.39999999999998</v>
      </c>
      <c r="CF386" s="3">
        <v>6.8</v>
      </c>
      <c r="CG386" s="3">
        <v>117.8</v>
      </c>
      <c r="CH386" s="3">
        <v>93</v>
      </c>
      <c r="CI386" s="3">
        <v>447.3</v>
      </c>
      <c r="CJ386" s="3">
        <v>184.5</v>
      </c>
      <c r="CK386" s="3">
        <v>214.2</v>
      </c>
      <c r="CL386" s="3">
        <v>582.29999999999995</v>
      </c>
      <c r="CM386" s="3">
        <v>270.60000000000002</v>
      </c>
      <c r="CN386" s="3">
        <v>258.60000000000002</v>
      </c>
    </row>
    <row r="387" spans="1:92" x14ac:dyDescent="0.25">
      <c r="A387" s="4">
        <v>43497</v>
      </c>
      <c r="B387" s="3">
        <v>225.3</v>
      </c>
      <c r="C387" s="3">
        <v>206.9</v>
      </c>
      <c r="D387" s="3">
        <v>266.8</v>
      </c>
      <c r="E387" s="3">
        <v>211.4</v>
      </c>
      <c r="F387" s="3">
        <v>331.9</v>
      </c>
      <c r="G387" s="3">
        <v>345.2</v>
      </c>
      <c r="H387" s="3">
        <v>213.9</v>
      </c>
      <c r="I387" s="3">
        <v>205.1</v>
      </c>
      <c r="J387" s="3">
        <v>123.7</v>
      </c>
      <c r="K387" s="3">
        <v>185.9</v>
      </c>
      <c r="L387" s="3">
        <v>272.89999999999998</v>
      </c>
      <c r="M387" s="3">
        <v>283.5</v>
      </c>
      <c r="N387" s="3">
        <v>258.89999999999998</v>
      </c>
      <c r="O387" s="3">
        <v>382.9</v>
      </c>
      <c r="P387" s="3">
        <v>198.9</v>
      </c>
      <c r="Q387" s="3">
        <v>239</v>
      </c>
      <c r="R387" s="3">
        <v>205</v>
      </c>
      <c r="S387" s="3">
        <v>238.1</v>
      </c>
      <c r="T387" s="3">
        <v>196.6</v>
      </c>
      <c r="U387" s="3">
        <v>217.5</v>
      </c>
      <c r="V387" s="3">
        <v>181.4</v>
      </c>
      <c r="W387" s="3">
        <v>267.39999999999998</v>
      </c>
      <c r="X387" s="3">
        <v>193.7</v>
      </c>
      <c r="Y387" s="3">
        <v>295.60000000000002</v>
      </c>
      <c r="Z387" s="3">
        <v>232.4</v>
      </c>
      <c r="AA387" s="3">
        <v>222.6</v>
      </c>
      <c r="AB387" s="3">
        <v>221.4</v>
      </c>
      <c r="AC387" s="3">
        <v>183.8</v>
      </c>
      <c r="AD387" s="3">
        <v>162.19999999999999</v>
      </c>
      <c r="AE387" s="3">
        <v>258.5</v>
      </c>
      <c r="AF387" s="3">
        <v>227.9</v>
      </c>
      <c r="AG387" s="3">
        <v>217.2</v>
      </c>
      <c r="AH387" s="3">
        <v>284.8</v>
      </c>
      <c r="AI387" s="3">
        <v>198.4</v>
      </c>
      <c r="AJ387" s="3">
        <v>345.4</v>
      </c>
      <c r="AK387" s="3">
        <v>392.4</v>
      </c>
      <c r="AL387" s="3">
        <v>342.6</v>
      </c>
      <c r="AM387" s="3">
        <v>325</v>
      </c>
      <c r="AN387" s="3">
        <v>365.1</v>
      </c>
      <c r="AO387" s="3">
        <v>173.6</v>
      </c>
      <c r="AP387" s="3">
        <v>269.2</v>
      </c>
      <c r="AQ387" s="3">
        <v>365.2</v>
      </c>
      <c r="AR387" s="3">
        <v>201.5</v>
      </c>
      <c r="AS387" s="3">
        <v>806.6</v>
      </c>
      <c r="AT387" s="3">
        <v>595.79999999999995</v>
      </c>
      <c r="AU387" s="3">
        <v>371.2</v>
      </c>
      <c r="AV387" s="3">
        <v>239.9</v>
      </c>
      <c r="AW387" s="3">
        <v>393.7</v>
      </c>
      <c r="AX387" s="3">
        <v>366.9</v>
      </c>
      <c r="AY387" s="3">
        <v>524.1</v>
      </c>
      <c r="AZ387" s="3">
        <v>379</v>
      </c>
      <c r="BA387" s="3">
        <v>237.4</v>
      </c>
      <c r="BB387" s="3">
        <v>436.8</v>
      </c>
      <c r="BC387" s="3">
        <v>344.7</v>
      </c>
      <c r="BD387" s="3">
        <v>348.6</v>
      </c>
      <c r="BE387" s="3">
        <v>347</v>
      </c>
      <c r="BF387" s="3">
        <v>450.8</v>
      </c>
      <c r="BG387" s="3">
        <v>284.39999999999998</v>
      </c>
      <c r="BH387" s="3">
        <v>248.5</v>
      </c>
      <c r="BI387" s="3">
        <v>79.7</v>
      </c>
      <c r="BJ387" s="3">
        <v>210.4</v>
      </c>
      <c r="BK387" s="3">
        <v>211.5</v>
      </c>
      <c r="BL387" s="3">
        <v>245.8</v>
      </c>
      <c r="BM387" s="3">
        <v>421.6</v>
      </c>
      <c r="BN387" s="3">
        <v>110.6</v>
      </c>
      <c r="BO387" s="3">
        <v>421.2</v>
      </c>
      <c r="BP387" s="3">
        <v>491.5</v>
      </c>
      <c r="BQ387" s="3">
        <v>187.4</v>
      </c>
      <c r="BR387" s="3">
        <v>143.9</v>
      </c>
      <c r="BS387" s="3">
        <v>178</v>
      </c>
      <c r="BT387" s="3">
        <v>232.5</v>
      </c>
      <c r="BU387" s="3">
        <v>152.69999999999999</v>
      </c>
      <c r="BV387" s="3">
        <v>205.8</v>
      </c>
      <c r="BW387" s="3">
        <v>222.3</v>
      </c>
      <c r="BX387" s="3">
        <v>533.20000000000005</v>
      </c>
      <c r="BY387" s="3">
        <v>96.7</v>
      </c>
      <c r="BZ387" s="3">
        <v>448.3</v>
      </c>
      <c r="CA387" s="3">
        <v>356.5</v>
      </c>
      <c r="CB387" s="3">
        <v>796.3</v>
      </c>
      <c r="CC387" s="3">
        <v>424.9</v>
      </c>
      <c r="CD387" s="3">
        <v>489.3</v>
      </c>
      <c r="CE387" s="3">
        <v>337</v>
      </c>
      <c r="CF387" s="3">
        <v>6.9</v>
      </c>
      <c r="CG387" s="3">
        <v>125.9</v>
      </c>
      <c r="CH387" s="3">
        <v>93.3</v>
      </c>
      <c r="CI387" s="3">
        <v>459.4</v>
      </c>
      <c r="CJ387" s="3">
        <v>187.7</v>
      </c>
      <c r="CK387" s="3">
        <v>214.2</v>
      </c>
      <c r="CL387" s="3">
        <v>581.79999999999995</v>
      </c>
      <c r="CM387" s="3">
        <v>271.39999999999998</v>
      </c>
      <c r="CN387" s="3">
        <v>259.2</v>
      </c>
    </row>
    <row r="388" spans="1:92" x14ac:dyDescent="0.25">
      <c r="A388" s="4">
        <v>43525</v>
      </c>
      <c r="B388" s="3">
        <v>226.5</v>
      </c>
      <c r="C388" s="3">
        <v>204.1</v>
      </c>
      <c r="D388" s="3">
        <v>269.5</v>
      </c>
      <c r="E388" s="3">
        <v>210.5</v>
      </c>
      <c r="F388" s="3">
        <v>329.7</v>
      </c>
      <c r="G388" s="3">
        <v>342.8</v>
      </c>
      <c r="H388" s="3">
        <v>213.6</v>
      </c>
      <c r="I388" s="3">
        <v>205.4</v>
      </c>
      <c r="J388" s="3">
        <v>123.8</v>
      </c>
      <c r="K388" s="3">
        <v>186.5</v>
      </c>
      <c r="L388" s="3">
        <v>268</v>
      </c>
      <c r="M388" s="3">
        <v>277.2</v>
      </c>
      <c r="N388" s="3">
        <v>255.5</v>
      </c>
      <c r="O388" s="3">
        <v>370.7</v>
      </c>
      <c r="P388" s="3">
        <v>200.1</v>
      </c>
      <c r="Q388" s="3">
        <v>237.3</v>
      </c>
      <c r="R388" s="3">
        <v>202.7</v>
      </c>
      <c r="S388" s="3">
        <v>235.1</v>
      </c>
      <c r="T388" s="3">
        <v>194.6</v>
      </c>
      <c r="U388" s="3">
        <v>224.9</v>
      </c>
      <c r="V388" s="3">
        <v>186.3</v>
      </c>
      <c r="W388" s="3">
        <v>270.8</v>
      </c>
      <c r="X388" s="3">
        <v>196.8</v>
      </c>
      <c r="Y388" s="3">
        <v>298.39999999999998</v>
      </c>
      <c r="Z388" s="3">
        <v>237.5</v>
      </c>
      <c r="AA388" s="3">
        <v>220.9</v>
      </c>
      <c r="AB388" s="3">
        <v>228.5</v>
      </c>
      <c r="AC388" s="3">
        <v>182.2</v>
      </c>
      <c r="AD388" s="3">
        <v>160.19999999999999</v>
      </c>
      <c r="AE388" s="3">
        <v>261.7</v>
      </c>
      <c r="AF388" s="3">
        <v>221.4</v>
      </c>
      <c r="AG388" s="3">
        <v>211.9</v>
      </c>
      <c r="AH388" s="3">
        <v>268.89999999999998</v>
      </c>
      <c r="AI388" s="3">
        <v>200.5</v>
      </c>
      <c r="AJ388" s="3">
        <v>346</v>
      </c>
      <c r="AK388" s="3">
        <v>393.1</v>
      </c>
      <c r="AL388" s="3">
        <v>342.8</v>
      </c>
      <c r="AM388" s="3">
        <v>325.39999999999998</v>
      </c>
      <c r="AN388" s="3">
        <v>366.5</v>
      </c>
      <c r="AO388" s="3">
        <v>172.6</v>
      </c>
      <c r="AP388" s="3">
        <v>267.60000000000002</v>
      </c>
      <c r="AQ388" s="3">
        <v>366.8</v>
      </c>
      <c r="AR388" s="3">
        <v>197.8</v>
      </c>
      <c r="AS388" s="3">
        <v>812</v>
      </c>
      <c r="AT388" s="3">
        <v>601.29999999999995</v>
      </c>
      <c r="AU388" s="3">
        <v>371.6</v>
      </c>
      <c r="AV388" s="3">
        <v>239.7</v>
      </c>
      <c r="AW388" s="3">
        <v>390.7</v>
      </c>
      <c r="AX388" s="3">
        <v>366.9</v>
      </c>
      <c r="AY388" s="3">
        <v>524.1</v>
      </c>
      <c r="AZ388" s="3">
        <v>379.4</v>
      </c>
      <c r="BA388" s="3">
        <v>237.5</v>
      </c>
      <c r="BB388" s="3">
        <v>438.4</v>
      </c>
      <c r="BC388" s="3">
        <v>345.6</v>
      </c>
      <c r="BD388" s="3">
        <v>348.6</v>
      </c>
      <c r="BE388" s="3">
        <v>347</v>
      </c>
      <c r="BF388" s="3">
        <v>453.2</v>
      </c>
      <c r="BG388" s="3">
        <v>279.5</v>
      </c>
      <c r="BH388" s="3">
        <v>251.8</v>
      </c>
      <c r="BI388" s="3">
        <v>79.5</v>
      </c>
      <c r="BJ388" s="3">
        <v>215.5</v>
      </c>
      <c r="BK388" s="3">
        <v>214.3</v>
      </c>
      <c r="BL388" s="3">
        <v>247.8</v>
      </c>
      <c r="BM388" s="3">
        <v>421.6</v>
      </c>
      <c r="BN388" s="3">
        <v>110.9</v>
      </c>
      <c r="BO388" s="3">
        <v>421.9</v>
      </c>
      <c r="BP388" s="3">
        <v>493.2</v>
      </c>
      <c r="BQ388" s="3">
        <v>190</v>
      </c>
      <c r="BR388" s="3">
        <v>147.9</v>
      </c>
      <c r="BS388" s="3">
        <v>179</v>
      </c>
      <c r="BT388" s="3">
        <v>232.7</v>
      </c>
      <c r="BU388" s="3">
        <v>155.4</v>
      </c>
      <c r="BV388" s="3">
        <v>205.9</v>
      </c>
      <c r="BW388" s="3">
        <v>222.4</v>
      </c>
      <c r="BX388" s="3">
        <v>534</v>
      </c>
      <c r="BY388" s="3">
        <v>96.6</v>
      </c>
      <c r="BZ388" s="3">
        <v>451.3</v>
      </c>
      <c r="CA388" s="3">
        <v>360.1</v>
      </c>
      <c r="CB388" s="3">
        <v>802.9</v>
      </c>
      <c r="CC388" s="3">
        <v>423.9</v>
      </c>
      <c r="CD388" s="3">
        <v>486.5</v>
      </c>
      <c r="CE388" s="3">
        <v>323.89999999999998</v>
      </c>
      <c r="CF388" s="3">
        <v>6.9</v>
      </c>
      <c r="CG388" s="3">
        <v>123.4</v>
      </c>
      <c r="CH388" s="3">
        <v>93.6</v>
      </c>
      <c r="CI388" s="3">
        <v>453.9</v>
      </c>
      <c r="CJ388" s="3">
        <v>187.6</v>
      </c>
      <c r="CK388" s="3">
        <v>214.2</v>
      </c>
      <c r="CL388" s="3">
        <v>585.29999999999995</v>
      </c>
      <c r="CM388" s="3">
        <v>271.7</v>
      </c>
      <c r="CN388" s="3">
        <v>261.8</v>
      </c>
    </row>
    <row r="389" spans="1:92" x14ac:dyDescent="0.25">
      <c r="A389" s="4">
        <v>43556</v>
      </c>
      <c r="B389" s="3">
        <v>225.6</v>
      </c>
      <c r="C389" s="3">
        <v>207.2</v>
      </c>
      <c r="D389" s="3">
        <v>274.8</v>
      </c>
      <c r="E389" s="3">
        <v>207.9</v>
      </c>
      <c r="F389" s="3">
        <v>329.4</v>
      </c>
      <c r="G389" s="3">
        <v>347.8</v>
      </c>
      <c r="H389" s="3">
        <v>212.3</v>
      </c>
      <c r="I389" s="3">
        <v>201.5</v>
      </c>
      <c r="J389" s="3">
        <v>123.2</v>
      </c>
      <c r="K389" s="3">
        <v>186.8</v>
      </c>
      <c r="L389" s="3">
        <v>264.10000000000002</v>
      </c>
      <c r="M389" s="3">
        <v>275.10000000000002</v>
      </c>
      <c r="N389" s="3">
        <v>249.9</v>
      </c>
      <c r="O389" s="3">
        <v>371.6</v>
      </c>
      <c r="P389" s="3">
        <v>214.9</v>
      </c>
      <c r="Q389" s="3">
        <v>243.4</v>
      </c>
      <c r="R389" s="3">
        <v>201.7</v>
      </c>
      <c r="S389" s="3">
        <v>235.4</v>
      </c>
      <c r="T389" s="3">
        <v>186.9</v>
      </c>
      <c r="U389" s="3">
        <v>221</v>
      </c>
      <c r="V389" s="3">
        <v>182.2</v>
      </c>
      <c r="W389" s="3">
        <v>272.39999999999998</v>
      </c>
      <c r="X389" s="3">
        <v>193.1</v>
      </c>
      <c r="Y389" s="3">
        <v>298.89999999999998</v>
      </c>
      <c r="Z389" s="3">
        <v>234.3</v>
      </c>
      <c r="AA389" s="3">
        <v>215.5</v>
      </c>
      <c r="AB389" s="3">
        <v>226.2</v>
      </c>
      <c r="AC389" s="3">
        <v>180.7</v>
      </c>
      <c r="AD389" s="3">
        <v>159.19999999999999</v>
      </c>
      <c r="AE389" s="3">
        <v>256.39999999999998</v>
      </c>
      <c r="AF389" s="3">
        <v>221.7</v>
      </c>
      <c r="AG389" s="3">
        <v>211.2</v>
      </c>
      <c r="AH389" s="3">
        <v>278.10000000000002</v>
      </c>
      <c r="AI389" s="3">
        <v>194.8</v>
      </c>
      <c r="AJ389" s="3">
        <v>347.8</v>
      </c>
      <c r="AK389" s="3">
        <v>395.2</v>
      </c>
      <c r="AL389" s="3">
        <v>344.1</v>
      </c>
      <c r="AM389" s="3">
        <v>324.60000000000002</v>
      </c>
      <c r="AN389" s="3">
        <v>368.4</v>
      </c>
      <c r="AO389" s="3">
        <v>167.7</v>
      </c>
      <c r="AP389" s="3">
        <v>269.39999999999998</v>
      </c>
      <c r="AQ389" s="3">
        <v>368.4</v>
      </c>
      <c r="AR389" s="3">
        <v>199.7</v>
      </c>
      <c r="AS389" s="3">
        <v>806.9</v>
      </c>
      <c r="AT389" s="3">
        <v>602.5</v>
      </c>
      <c r="AU389" s="3">
        <v>371.7</v>
      </c>
      <c r="AV389" s="3">
        <v>239.3</v>
      </c>
      <c r="AW389" s="3">
        <v>390.4</v>
      </c>
      <c r="AX389" s="3">
        <v>384.1</v>
      </c>
      <c r="AY389" s="3">
        <v>540.29999999999995</v>
      </c>
      <c r="AZ389" s="3">
        <v>379.9</v>
      </c>
      <c r="BA389" s="3">
        <v>237.9</v>
      </c>
      <c r="BB389" s="3">
        <v>444.5</v>
      </c>
      <c r="BC389" s="3">
        <v>339.9</v>
      </c>
      <c r="BD389" s="3">
        <v>386.4</v>
      </c>
      <c r="BE389" s="3">
        <v>379.5</v>
      </c>
      <c r="BF389" s="3">
        <v>458.1</v>
      </c>
      <c r="BG389" s="3">
        <v>273.89999999999998</v>
      </c>
      <c r="BH389" s="3">
        <v>248.9</v>
      </c>
      <c r="BI389" s="3">
        <v>78.7</v>
      </c>
      <c r="BJ389" s="3">
        <v>211.5</v>
      </c>
      <c r="BK389" s="3">
        <v>214</v>
      </c>
      <c r="BL389" s="3">
        <v>248.4</v>
      </c>
      <c r="BM389" s="3">
        <v>438.5</v>
      </c>
      <c r="BN389" s="3">
        <v>112.6</v>
      </c>
      <c r="BO389" s="3">
        <v>423.4</v>
      </c>
      <c r="BP389" s="3">
        <v>497.2</v>
      </c>
      <c r="BQ389" s="3">
        <v>191.6</v>
      </c>
      <c r="BR389" s="3">
        <v>150.4</v>
      </c>
      <c r="BS389" s="3">
        <v>179.5</v>
      </c>
      <c r="BT389" s="3">
        <v>231.8</v>
      </c>
      <c r="BU389" s="3">
        <v>155</v>
      </c>
      <c r="BV389" s="3">
        <v>205.9</v>
      </c>
      <c r="BW389" s="3">
        <v>222.2</v>
      </c>
      <c r="BX389" s="3">
        <v>540.4</v>
      </c>
      <c r="BY389" s="3">
        <v>96.1</v>
      </c>
      <c r="BZ389" s="3">
        <v>451.7</v>
      </c>
      <c r="CA389" s="3">
        <v>366.4</v>
      </c>
      <c r="CB389" s="3">
        <v>824.2</v>
      </c>
      <c r="CC389" s="3">
        <v>433.7</v>
      </c>
      <c r="CD389" s="3">
        <v>530.6</v>
      </c>
      <c r="CE389" s="3">
        <v>380.4</v>
      </c>
      <c r="CF389" s="3">
        <v>6.8</v>
      </c>
      <c r="CG389" s="3">
        <v>122.1</v>
      </c>
      <c r="CH389" s="3">
        <v>91.1</v>
      </c>
      <c r="CI389" s="3">
        <v>459.6</v>
      </c>
      <c r="CJ389" s="3">
        <v>187.9</v>
      </c>
      <c r="CK389" s="3">
        <v>223.7</v>
      </c>
      <c r="CL389" s="3">
        <v>596.79999999999995</v>
      </c>
      <c r="CM389" s="3">
        <v>270.7</v>
      </c>
      <c r="CN389" s="3">
        <v>262.89999999999998</v>
      </c>
    </row>
    <row r="390" spans="1:92" x14ac:dyDescent="0.25">
      <c r="A390" s="4">
        <v>43586</v>
      </c>
      <c r="B390" s="3">
        <v>225.2</v>
      </c>
      <c r="C390" s="3">
        <v>207.7</v>
      </c>
      <c r="D390" s="3">
        <v>272.5</v>
      </c>
      <c r="E390" s="3">
        <v>209.6</v>
      </c>
      <c r="F390" s="3">
        <v>332</v>
      </c>
      <c r="G390" s="3">
        <v>346.2</v>
      </c>
      <c r="H390" s="3">
        <v>216.6</v>
      </c>
      <c r="I390" s="3">
        <v>206</v>
      </c>
      <c r="J390" s="3">
        <v>122.5</v>
      </c>
      <c r="K390" s="3">
        <v>186.4</v>
      </c>
      <c r="L390" s="3">
        <v>272</v>
      </c>
      <c r="M390" s="3">
        <v>281.7</v>
      </c>
      <c r="N390" s="3">
        <v>259</v>
      </c>
      <c r="O390" s="3">
        <v>369.4</v>
      </c>
      <c r="P390" s="3">
        <v>208.4</v>
      </c>
      <c r="Q390" s="3">
        <v>237.6</v>
      </c>
      <c r="R390" s="3">
        <v>201.8</v>
      </c>
      <c r="S390" s="3">
        <v>236.7</v>
      </c>
      <c r="T390" s="3">
        <v>197.4</v>
      </c>
      <c r="U390" s="3">
        <v>225</v>
      </c>
      <c r="V390" s="3">
        <v>183.6</v>
      </c>
      <c r="W390" s="3">
        <v>271.3</v>
      </c>
      <c r="X390" s="3">
        <v>192.5</v>
      </c>
      <c r="Y390" s="3">
        <v>300.39999999999998</v>
      </c>
      <c r="Z390" s="3">
        <v>231.9</v>
      </c>
      <c r="AA390" s="3">
        <v>221.3</v>
      </c>
      <c r="AB390" s="3">
        <v>221.2</v>
      </c>
      <c r="AC390" s="3">
        <v>181</v>
      </c>
      <c r="AD390" s="3">
        <v>159.6</v>
      </c>
      <c r="AE390" s="3">
        <v>256</v>
      </c>
      <c r="AF390" s="3">
        <v>217.9</v>
      </c>
      <c r="AG390" s="3">
        <v>207.3</v>
      </c>
      <c r="AH390" s="3">
        <v>275.60000000000002</v>
      </c>
      <c r="AI390" s="3">
        <v>195.6</v>
      </c>
      <c r="AJ390" s="3">
        <v>348.2</v>
      </c>
      <c r="AK390" s="3">
        <v>397.7</v>
      </c>
      <c r="AL390" s="3">
        <v>345.3</v>
      </c>
      <c r="AM390" s="3">
        <v>325.5</v>
      </c>
      <c r="AN390" s="3">
        <v>368.7</v>
      </c>
      <c r="AO390" s="3">
        <v>169.5</v>
      </c>
      <c r="AP390" s="3">
        <v>270.10000000000002</v>
      </c>
      <c r="AQ390" s="3">
        <v>369.4</v>
      </c>
      <c r="AR390" s="3">
        <v>200.1</v>
      </c>
      <c r="AS390" s="3">
        <v>806.9</v>
      </c>
      <c r="AT390" s="3">
        <v>602</v>
      </c>
      <c r="AU390" s="3">
        <v>372.3</v>
      </c>
      <c r="AV390" s="3">
        <v>240.1</v>
      </c>
      <c r="AW390" s="3">
        <v>393.1</v>
      </c>
      <c r="AX390" s="3">
        <v>384.1</v>
      </c>
      <c r="AY390" s="3">
        <v>540.29999999999995</v>
      </c>
      <c r="AZ390" s="3">
        <v>380.8</v>
      </c>
      <c r="BA390" s="3">
        <v>241.3</v>
      </c>
      <c r="BB390" s="3">
        <v>447</v>
      </c>
      <c r="BC390" s="3">
        <v>342.8</v>
      </c>
      <c r="BD390" s="3">
        <v>386.4</v>
      </c>
      <c r="BE390" s="3">
        <v>379.5</v>
      </c>
      <c r="BF390" s="3">
        <v>463.9</v>
      </c>
      <c r="BG390" s="3">
        <v>279.60000000000002</v>
      </c>
      <c r="BH390" s="3">
        <v>251.5</v>
      </c>
      <c r="BI390" s="3">
        <v>79.400000000000006</v>
      </c>
      <c r="BJ390" s="3">
        <v>214.3</v>
      </c>
      <c r="BK390" s="3">
        <v>210.8</v>
      </c>
      <c r="BL390" s="3">
        <v>248.7</v>
      </c>
      <c r="BM390" s="3">
        <v>438.5</v>
      </c>
      <c r="BN390" s="3">
        <v>113.6</v>
      </c>
      <c r="BO390" s="3">
        <v>424.8</v>
      </c>
      <c r="BP390" s="3">
        <v>499.8</v>
      </c>
      <c r="BQ390" s="3">
        <v>193.7</v>
      </c>
      <c r="BR390" s="3">
        <v>151</v>
      </c>
      <c r="BS390" s="3">
        <v>181.3</v>
      </c>
      <c r="BT390" s="3">
        <v>233.6</v>
      </c>
      <c r="BU390" s="3">
        <v>155.80000000000001</v>
      </c>
      <c r="BV390" s="3">
        <v>207.3</v>
      </c>
      <c r="BW390" s="3">
        <v>222.4</v>
      </c>
      <c r="BX390" s="3">
        <v>541.20000000000005</v>
      </c>
      <c r="BY390" s="3">
        <v>95.6</v>
      </c>
      <c r="BZ390" s="3">
        <v>453.3</v>
      </c>
      <c r="CA390" s="3">
        <v>379.2</v>
      </c>
      <c r="CB390" s="3">
        <v>843</v>
      </c>
      <c r="CC390" s="3">
        <v>422.5</v>
      </c>
      <c r="CD390" s="3">
        <v>487.8</v>
      </c>
      <c r="CE390" s="3">
        <v>366.3</v>
      </c>
      <c r="CF390" s="3">
        <v>6.9</v>
      </c>
      <c r="CG390" s="3">
        <v>123.6</v>
      </c>
      <c r="CH390" s="3">
        <v>92.6</v>
      </c>
      <c r="CI390" s="3">
        <v>455.1</v>
      </c>
      <c r="CJ390" s="3">
        <v>187.2</v>
      </c>
      <c r="CK390" s="3">
        <v>223.7</v>
      </c>
      <c r="CL390" s="3">
        <v>597</v>
      </c>
      <c r="CM390" s="3">
        <v>270.5</v>
      </c>
      <c r="CN390" s="3">
        <v>266.7</v>
      </c>
    </row>
    <row r="391" spans="1:92" x14ac:dyDescent="0.25">
      <c r="A391" s="4">
        <v>43617</v>
      </c>
      <c r="B391" s="3">
        <v>222.1</v>
      </c>
      <c r="C391" s="3">
        <v>208.4</v>
      </c>
      <c r="D391" s="3">
        <v>266.89999999999998</v>
      </c>
      <c r="E391" s="3">
        <v>208.1</v>
      </c>
      <c r="F391" s="3">
        <v>329.3</v>
      </c>
      <c r="G391" s="3">
        <v>340.2</v>
      </c>
      <c r="H391" s="3">
        <v>213.1</v>
      </c>
      <c r="I391" s="3">
        <v>206.1</v>
      </c>
      <c r="J391" s="3">
        <v>122.4</v>
      </c>
      <c r="K391" s="3">
        <v>188.9</v>
      </c>
      <c r="L391" s="3">
        <v>273.5</v>
      </c>
      <c r="M391" s="3">
        <v>280.10000000000002</v>
      </c>
      <c r="N391" s="3">
        <v>263.3</v>
      </c>
      <c r="O391" s="3">
        <v>374.4</v>
      </c>
      <c r="P391" s="3">
        <v>209.7</v>
      </c>
      <c r="Q391" s="3">
        <v>237.5</v>
      </c>
      <c r="R391" s="3">
        <v>200.6</v>
      </c>
      <c r="S391" s="3">
        <v>235.1</v>
      </c>
      <c r="T391" s="3">
        <v>195.3</v>
      </c>
      <c r="U391" s="3">
        <v>227.2</v>
      </c>
      <c r="V391" s="3">
        <v>186.2</v>
      </c>
      <c r="W391" s="3">
        <v>272.2</v>
      </c>
      <c r="X391" s="3">
        <v>195.4</v>
      </c>
      <c r="Y391" s="3">
        <v>299.8</v>
      </c>
      <c r="Z391" s="3">
        <v>235.3</v>
      </c>
      <c r="AA391" s="3">
        <v>225.7</v>
      </c>
      <c r="AB391" s="3">
        <v>224.1</v>
      </c>
      <c r="AC391" s="3">
        <v>181.3</v>
      </c>
      <c r="AD391" s="3">
        <v>160.19999999999999</v>
      </c>
      <c r="AE391" s="3">
        <v>253.4</v>
      </c>
      <c r="AF391" s="3">
        <v>223.8</v>
      </c>
      <c r="AG391" s="3">
        <v>212.4</v>
      </c>
      <c r="AH391" s="3">
        <v>287.7</v>
      </c>
      <c r="AI391" s="3">
        <v>194.5</v>
      </c>
      <c r="AJ391" s="3">
        <v>349</v>
      </c>
      <c r="AK391" s="3">
        <v>398.4</v>
      </c>
      <c r="AL391" s="3">
        <v>346.1</v>
      </c>
      <c r="AM391" s="3">
        <v>326.39999999999998</v>
      </c>
      <c r="AN391" s="3">
        <v>369</v>
      </c>
      <c r="AO391" s="3">
        <v>171</v>
      </c>
      <c r="AP391" s="3">
        <v>270.8</v>
      </c>
      <c r="AQ391" s="3">
        <v>370.2</v>
      </c>
      <c r="AR391" s="3">
        <v>200.7</v>
      </c>
      <c r="AS391" s="3">
        <v>806.5</v>
      </c>
      <c r="AT391" s="3">
        <v>601.79999999999995</v>
      </c>
      <c r="AU391" s="3">
        <v>372.7</v>
      </c>
      <c r="AV391" s="3">
        <v>238.9</v>
      </c>
      <c r="AW391" s="3">
        <v>392.7</v>
      </c>
      <c r="AX391" s="3">
        <v>384.1</v>
      </c>
      <c r="AY391" s="3">
        <v>540.29999999999995</v>
      </c>
      <c r="AZ391" s="3">
        <v>381</v>
      </c>
      <c r="BA391" s="3">
        <v>242</v>
      </c>
      <c r="BB391" s="3">
        <v>450.5</v>
      </c>
      <c r="BC391" s="3">
        <v>344.8</v>
      </c>
      <c r="BD391" s="3">
        <v>386.4</v>
      </c>
      <c r="BE391" s="3">
        <v>379.5</v>
      </c>
      <c r="BF391" s="3">
        <v>449.4</v>
      </c>
      <c r="BG391" s="3">
        <v>285.60000000000002</v>
      </c>
      <c r="BH391" s="3">
        <v>252.7</v>
      </c>
      <c r="BI391" s="3">
        <v>78.7</v>
      </c>
      <c r="BJ391" s="3">
        <v>213.5</v>
      </c>
      <c r="BK391" s="3">
        <v>214.5</v>
      </c>
      <c r="BL391" s="3">
        <v>249.8</v>
      </c>
      <c r="BM391" s="3">
        <v>438.5</v>
      </c>
      <c r="BN391" s="3">
        <v>114.1</v>
      </c>
      <c r="BO391" s="3">
        <v>427.4</v>
      </c>
      <c r="BP391" s="3">
        <v>499</v>
      </c>
      <c r="BQ391" s="3">
        <v>192.8</v>
      </c>
      <c r="BR391" s="3">
        <v>148.69999999999999</v>
      </c>
      <c r="BS391" s="3">
        <v>180.7</v>
      </c>
      <c r="BT391" s="3">
        <v>233.5</v>
      </c>
      <c r="BU391" s="3">
        <v>154.69999999999999</v>
      </c>
      <c r="BV391" s="3">
        <v>206.1</v>
      </c>
      <c r="BW391" s="3">
        <v>222.4</v>
      </c>
      <c r="BX391" s="3">
        <v>541.9</v>
      </c>
      <c r="BY391" s="3">
        <v>95</v>
      </c>
      <c r="BZ391" s="3">
        <v>454.3</v>
      </c>
      <c r="CA391" s="3">
        <v>381</v>
      </c>
      <c r="CB391" s="3">
        <v>843.7</v>
      </c>
      <c r="CC391" s="3">
        <v>428.5</v>
      </c>
      <c r="CD391" s="3">
        <v>496.7</v>
      </c>
      <c r="CE391" s="3">
        <v>378.2</v>
      </c>
      <c r="CF391" s="3">
        <v>6.8</v>
      </c>
      <c r="CG391" s="3">
        <v>126.7</v>
      </c>
      <c r="CH391" s="3">
        <v>90.5</v>
      </c>
      <c r="CI391" s="3">
        <v>457.6</v>
      </c>
      <c r="CJ391" s="3">
        <v>186.5</v>
      </c>
      <c r="CK391" s="3">
        <v>223.7</v>
      </c>
      <c r="CL391" s="3">
        <v>599.1</v>
      </c>
      <c r="CM391" s="3">
        <v>271.60000000000002</v>
      </c>
      <c r="CN391" s="3">
        <v>265.89999999999998</v>
      </c>
    </row>
    <row r="392" spans="1:92" x14ac:dyDescent="0.25">
      <c r="A392" s="4">
        <v>43647</v>
      </c>
      <c r="B392" s="3">
        <v>224.9</v>
      </c>
      <c r="C392" s="3">
        <v>209.2</v>
      </c>
      <c r="D392" s="3">
        <v>270.39999999999998</v>
      </c>
      <c r="E392" s="3">
        <v>206.1</v>
      </c>
      <c r="F392" s="3">
        <v>327.8</v>
      </c>
      <c r="G392" s="3">
        <v>337</v>
      </c>
      <c r="H392" s="3">
        <v>216.6</v>
      </c>
      <c r="I392" s="3">
        <v>207.7</v>
      </c>
      <c r="J392" s="3">
        <v>122.1</v>
      </c>
      <c r="K392" s="3">
        <v>187.6</v>
      </c>
      <c r="L392" s="3">
        <v>275</v>
      </c>
      <c r="M392" s="3">
        <v>278.39999999999998</v>
      </c>
      <c r="N392" s="3">
        <v>267.7</v>
      </c>
      <c r="O392" s="3">
        <v>373.8</v>
      </c>
      <c r="P392" s="3">
        <v>221.4</v>
      </c>
      <c r="Q392" s="3">
        <v>243.2</v>
      </c>
      <c r="R392" s="3">
        <v>199.4</v>
      </c>
      <c r="S392" s="3">
        <v>233.5</v>
      </c>
      <c r="T392" s="3">
        <v>192.7</v>
      </c>
      <c r="U392" s="3">
        <v>230.8</v>
      </c>
      <c r="V392" s="3">
        <v>185.9</v>
      </c>
      <c r="W392" s="3">
        <v>270.39999999999998</v>
      </c>
      <c r="X392" s="3">
        <v>193.8</v>
      </c>
      <c r="Y392" s="3">
        <v>299.3</v>
      </c>
      <c r="Z392" s="3">
        <v>234.2</v>
      </c>
      <c r="AA392" s="3">
        <v>225.5</v>
      </c>
      <c r="AB392" s="3">
        <v>222.8</v>
      </c>
      <c r="AC392" s="3">
        <v>183.9</v>
      </c>
      <c r="AD392" s="3">
        <v>161.4</v>
      </c>
      <c r="AE392" s="3">
        <v>259.7</v>
      </c>
      <c r="AF392" s="3">
        <v>221.2</v>
      </c>
      <c r="AG392" s="3">
        <v>210.8</v>
      </c>
      <c r="AH392" s="3">
        <v>277.3</v>
      </c>
      <c r="AI392" s="3">
        <v>194.3</v>
      </c>
      <c r="AJ392" s="3">
        <v>349.8</v>
      </c>
      <c r="AK392" s="3">
        <v>398.4</v>
      </c>
      <c r="AL392" s="3">
        <v>347</v>
      </c>
      <c r="AM392" s="3">
        <v>327.3</v>
      </c>
      <c r="AN392" s="3">
        <v>369.5</v>
      </c>
      <c r="AO392" s="3">
        <v>172.1</v>
      </c>
      <c r="AP392" s="3">
        <v>270.3</v>
      </c>
      <c r="AQ392" s="3">
        <v>370.8</v>
      </c>
      <c r="AR392" s="3">
        <v>199.6</v>
      </c>
      <c r="AS392" s="3">
        <v>806.5</v>
      </c>
      <c r="AT392" s="3">
        <v>602.20000000000005</v>
      </c>
      <c r="AU392" s="3">
        <v>372.8</v>
      </c>
      <c r="AV392" s="3">
        <v>239.9</v>
      </c>
      <c r="AW392" s="3">
        <v>393.9</v>
      </c>
      <c r="AX392" s="3">
        <v>384.1</v>
      </c>
      <c r="AY392" s="3">
        <v>540.29999999999995</v>
      </c>
      <c r="AZ392" s="3">
        <v>381.6</v>
      </c>
      <c r="BA392" s="3">
        <v>241.2</v>
      </c>
      <c r="BB392" s="3">
        <v>454.2</v>
      </c>
      <c r="BC392" s="3">
        <v>344.2</v>
      </c>
      <c r="BD392" s="3">
        <v>386.4</v>
      </c>
      <c r="BE392" s="3">
        <v>379.5</v>
      </c>
      <c r="BF392" s="3">
        <v>447.6</v>
      </c>
      <c r="BG392" s="3">
        <v>274.89999999999998</v>
      </c>
      <c r="BH392" s="3">
        <v>249.2</v>
      </c>
      <c r="BI392" s="3">
        <v>77.400000000000006</v>
      </c>
      <c r="BJ392" s="3">
        <v>210</v>
      </c>
      <c r="BK392" s="3">
        <v>214</v>
      </c>
      <c r="BL392" s="3">
        <v>250.6</v>
      </c>
      <c r="BM392" s="3">
        <v>438.5</v>
      </c>
      <c r="BN392" s="3">
        <v>113.5</v>
      </c>
      <c r="BO392" s="3">
        <v>427.7</v>
      </c>
      <c r="BP392" s="3">
        <v>501.6</v>
      </c>
      <c r="BQ392" s="3">
        <v>189.2</v>
      </c>
      <c r="BR392" s="3">
        <v>142.4</v>
      </c>
      <c r="BS392" s="3">
        <v>177.3</v>
      </c>
      <c r="BT392" s="3">
        <v>227</v>
      </c>
      <c r="BU392" s="3">
        <v>153.30000000000001</v>
      </c>
      <c r="BV392" s="3">
        <v>205.1</v>
      </c>
      <c r="BW392" s="3">
        <v>221.4</v>
      </c>
      <c r="BX392" s="3">
        <v>543.29999999999995</v>
      </c>
      <c r="BY392" s="3">
        <v>95.2</v>
      </c>
      <c r="BZ392" s="3">
        <v>454.4</v>
      </c>
      <c r="CA392" s="3">
        <v>373.3</v>
      </c>
      <c r="CB392" s="3">
        <v>841.7</v>
      </c>
      <c r="CC392" s="3">
        <v>428.5</v>
      </c>
      <c r="CD392" s="3">
        <v>503.3</v>
      </c>
      <c r="CE392" s="3">
        <v>409.4</v>
      </c>
      <c r="CF392" s="3">
        <v>6.7</v>
      </c>
      <c r="CG392" s="3">
        <v>119.1</v>
      </c>
      <c r="CH392" s="3">
        <v>93.5</v>
      </c>
      <c r="CI392" s="3">
        <v>463.6</v>
      </c>
      <c r="CJ392" s="3">
        <v>186.9</v>
      </c>
      <c r="CK392" s="3">
        <v>223.6</v>
      </c>
      <c r="CL392" s="3">
        <v>602.1</v>
      </c>
      <c r="CM392" s="3">
        <v>273.10000000000002</v>
      </c>
      <c r="CN392" s="3">
        <v>271.3</v>
      </c>
    </row>
    <row r="393" spans="1:92" x14ac:dyDescent="0.25">
      <c r="A393" s="4">
        <v>43678</v>
      </c>
      <c r="B393" s="3">
        <v>222.9</v>
      </c>
      <c r="C393" s="3">
        <v>212</v>
      </c>
      <c r="D393" s="3">
        <v>275.2</v>
      </c>
      <c r="E393" s="3">
        <v>207.6</v>
      </c>
      <c r="F393" s="3">
        <v>332</v>
      </c>
      <c r="G393" s="3">
        <v>346.6</v>
      </c>
      <c r="H393" s="3">
        <v>214.8</v>
      </c>
      <c r="I393" s="3">
        <v>204.7</v>
      </c>
      <c r="J393" s="3">
        <v>121.3</v>
      </c>
      <c r="K393" s="3">
        <v>191.4</v>
      </c>
      <c r="L393" s="3">
        <v>270.89999999999998</v>
      </c>
      <c r="M393" s="3">
        <v>274.2</v>
      </c>
      <c r="N393" s="3">
        <v>263.8</v>
      </c>
      <c r="O393" s="3">
        <v>362.8</v>
      </c>
      <c r="P393" s="3">
        <v>218</v>
      </c>
      <c r="Q393" s="3">
        <v>238.4</v>
      </c>
      <c r="R393" s="3">
        <v>199</v>
      </c>
      <c r="S393" s="3">
        <v>236.4</v>
      </c>
      <c r="T393" s="3">
        <v>199.9</v>
      </c>
      <c r="U393" s="3">
        <v>219</v>
      </c>
      <c r="V393" s="3">
        <v>184.4</v>
      </c>
      <c r="W393" s="3">
        <v>273.39999999999998</v>
      </c>
      <c r="X393" s="3">
        <v>195.5</v>
      </c>
      <c r="Y393" s="3">
        <v>301.5</v>
      </c>
      <c r="Z393" s="3">
        <v>236.9</v>
      </c>
      <c r="AA393" s="3">
        <v>225.1</v>
      </c>
      <c r="AB393" s="3">
        <v>226.3</v>
      </c>
      <c r="AC393" s="3">
        <v>183.3</v>
      </c>
      <c r="AD393" s="3">
        <v>160.9</v>
      </c>
      <c r="AE393" s="3">
        <v>258.7</v>
      </c>
      <c r="AF393" s="3">
        <v>219.3</v>
      </c>
      <c r="AG393" s="3">
        <v>207.8</v>
      </c>
      <c r="AH393" s="3">
        <v>285.2</v>
      </c>
      <c r="AI393" s="3">
        <v>198.5</v>
      </c>
      <c r="AJ393" s="3">
        <v>350.8</v>
      </c>
      <c r="AK393" s="3">
        <v>397.9</v>
      </c>
      <c r="AL393" s="3">
        <v>348.4</v>
      </c>
      <c r="AM393" s="3">
        <v>326.60000000000002</v>
      </c>
      <c r="AN393" s="3">
        <v>370.2</v>
      </c>
      <c r="AO393" s="3">
        <v>169.6</v>
      </c>
      <c r="AP393" s="3">
        <v>272.10000000000002</v>
      </c>
      <c r="AQ393" s="3">
        <v>371.7</v>
      </c>
      <c r="AR393" s="3">
        <v>202</v>
      </c>
      <c r="AS393" s="3">
        <v>806.5</v>
      </c>
      <c r="AT393" s="3">
        <v>596.6</v>
      </c>
      <c r="AU393" s="3">
        <v>373.1</v>
      </c>
      <c r="AV393" s="3">
        <v>240.3</v>
      </c>
      <c r="AW393" s="3">
        <v>395.3</v>
      </c>
      <c r="AX393" s="3">
        <v>384.1</v>
      </c>
      <c r="AY393" s="3">
        <v>540.29999999999995</v>
      </c>
      <c r="AZ393" s="3">
        <v>381.6</v>
      </c>
      <c r="BA393" s="3">
        <v>242.5</v>
      </c>
      <c r="BB393" s="3">
        <v>458.8</v>
      </c>
      <c r="BC393" s="3">
        <v>341.9</v>
      </c>
      <c r="BD393" s="3">
        <v>386.4</v>
      </c>
      <c r="BE393" s="3">
        <v>379.5</v>
      </c>
      <c r="BF393" s="3">
        <v>453.1</v>
      </c>
      <c r="BG393" s="3">
        <v>281.10000000000002</v>
      </c>
      <c r="BH393" s="3">
        <v>250.9</v>
      </c>
      <c r="BI393" s="3">
        <v>78.3</v>
      </c>
      <c r="BJ393" s="3">
        <v>213.9</v>
      </c>
      <c r="BK393" s="3">
        <v>212.2</v>
      </c>
      <c r="BL393" s="3">
        <v>249.6</v>
      </c>
      <c r="BM393" s="3">
        <v>438.5</v>
      </c>
      <c r="BN393" s="3">
        <v>113.8</v>
      </c>
      <c r="BO393" s="3">
        <v>429.1</v>
      </c>
      <c r="BP393" s="3">
        <v>502.6</v>
      </c>
      <c r="BQ393" s="3">
        <v>192.1</v>
      </c>
      <c r="BR393" s="3">
        <v>148.69999999999999</v>
      </c>
      <c r="BS393" s="3">
        <v>181.2</v>
      </c>
      <c r="BT393" s="3">
        <v>227.8</v>
      </c>
      <c r="BU393" s="3">
        <v>154.9</v>
      </c>
      <c r="BV393" s="3">
        <v>206.5</v>
      </c>
      <c r="BW393" s="3">
        <v>223</v>
      </c>
      <c r="BX393" s="3">
        <v>544.20000000000005</v>
      </c>
      <c r="BY393" s="3">
        <v>94.7</v>
      </c>
      <c r="BZ393" s="3">
        <v>455.4</v>
      </c>
      <c r="CA393" s="3">
        <v>377</v>
      </c>
      <c r="CB393" s="3">
        <v>852.1</v>
      </c>
      <c r="CC393" s="3">
        <v>426.2</v>
      </c>
      <c r="CD393" s="3">
        <v>514</v>
      </c>
      <c r="CE393" s="3">
        <v>475.6</v>
      </c>
      <c r="CF393" s="3">
        <v>6.7</v>
      </c>
      <c r="CG393" s="3">
        <v>120.2</v>
      </c>
      <c r="CH393" s="3">
        <v>91.6</v>
      </c>
      <c r="CI393" s="3">
        <v>464.3</v>
      </c>
      <c r="CJ393" s="3">
        <v>187.4</v>
      </c>
      <c r="CK393" s="3">
        <v>223.6</v>
      </c>
      <c r="CL393" s="3">
        <v>603.1</v>
      </c>
      <c r="CM393" s="3">
        <v>274.7</v>
      </c>
      <c r="CN393" s="3">
        <v>269.89999999999998</v>
      </c>
    </row>
    <row r="394" spans="1:92" x14ac:dyDescent="0.25">
      <c r="A394" s="4">
        <v>43709</v>
      </c>
      <c r="B394" s="3">
        <v>220.1</v>
      </c>
      <c r="C394" s="3">
        <v>205.2</v>
      </c>
      <c r="D394" s="3">
        <v>270.10000000000002</v>
      </c>
      <c r="E394" s="3">
        <v>202.6</v>
      </c>
      <c r="F394" s="3">
        <v>334.1</v>
      </c>
      <c r="G394" s="3">
        <v>350.2</v>
      </c>
      <c r="H394" s="3">
        <v>213.1</v>
      </c>
      <c r="I394" s="3">
        <v>208.5</v>
      </c>
      <c r="J394" s="3">
        <v>119</v>
      </c>
      <c r="K394" s="3">
        <v>192.9</v>
      </c>
      <c r="L394" s="3">
        <v>276.5</v>
      </c>
      <c r="M394" s="3">
        <v>284.2</v>
      </c>
      <c r="N394" s="3">
        <v>265.3</v>
      </c>
      <c r="O394" s="3">
        <v>361.6</v>
      </c>
      <c r="P394" s="3">
        <v>208</v>
      </c>
      <c r="Q394" s="3">
        <v>239</v>
      </c>
      <c r="R394" s="3">
        <v>198.1</v>
      </c>
      <c r="S394" s="3">
        <v>236.3</v>
      </c>
      <c r="T394" s="3">
        <v>199.6</v>
      </c>
      <c r="U394" s="3">
        <v>222.6</v>
      </c>
      <c r="V394" s="3">
        <v>185.4</v>
      </c>
      <c r="W394" s="3">
        <v>275.3</v>
      </c>
      <c r="X394" s="3">
        <v>195</v>
      </c>
      <c r="Y394" s="3">
        <v>301.2</v>
      </c>
      <c r="Z394" s="3">
        <v>232.5</v>
      </c>
      <c r="AA394" s="3">
        <v>221.8</v>
      </c>
      <c r="AB394" s="3">
        <v>221.8</v>
      </c>
      <c r="AC394" s="3">
        <v>181.7</v>
      </c>
      <c r="AD394" s="3">
        <v>159.5</v>
      </c>
      <c r="AE394" s="3">
        <v>256.60000000000002</v>
      </c>
      <c r="AF394" s="3">
        <v>224.4</v>
      </c>
      <c r="AG394" s="3">
        <v>213.2</v>
      </c>
      <c r="AH394" s="3">
        <v>287</v>
      </c>
      <c r="AI394" s="3">
        <v>193.6</v>
      </c>
      <c r="AJ394" s="3">
        <v>351.6</v>
      </c>
      <c r="AK394" s="3">
        <v>399.2</v>
      </c>
      <c r="AL394" s="3">
        <v>349.4</v>
      </c>
      <c r="AM394" s="3">
        <v>328.1</v>
      </c>
      <c r="AN394" s="3">
        <v>371.3</v>
      </c>
      <c r="AO394" s="3">
        <v>171.3</v>
      </c>
      <c r="AP394" s="3">
        <v>271.39999999999998</v>
      </c>
      <c r="AQ394" s="3">
        <v>372.2</v>
      </c>
      <c r="AR394" s="3">
        <v>200.3</v>
      </c>
      <c r="AS394" s="3">
        <v>807.3</v>
      </c>
      <c r="AT394" s="3">
        <v>596</v>
      </c>
      <c r="AU394" s="3">
        <v>373.6</v>
      </c>
      <c r="AV394" s="3">
        <v>241</v>
      </c>
      <c r="AW394" s="3">
        <v>400</v>
      </c>
      <c r="AX394" s="3">
        <v>384.1</v>
      </c>
      <c r="AY394" s="3">
        <v>540.29999999999995</v>
      </c>
      <c r="AZ394" s="3">
        <v>381.9</v>
      </c>
      <c r="BA394" s="3">
        <v>243.9</v>
      </c>
      <c r="BB394" s="3">
        <v>459.7</v>
      </c>
      <c r="BC394" s="3">
        <v>343.2</v>
      </c>
      <c r="BD394" s="3">
        <v>386.4</v>
      </c>
      <c r="BE394" s="3">
        <v>379.5</v>
      </c>
      <c r="BF394" s="3">
        <v>453.2</v>
      </c>
      <c r="BG394" s="3">
        <v>286.89999999999998</v>
      </c>
      <c r="BH394" s="3">
        <v>254.5</v>
      </c>
      <c r="BI394" s="3">
        <v>79.2</v>
      </c>
      <c r="BJ394" s="3">
        <v>213.2</v>
      </c>
      <c r="BK394" s="3">
        <v>211.9</v>
      </c>
      <c r="BL394" s="3">
        <v>250</v>
      </c>
      <c r="BM394" s="3">
        <v>438.5</v>
      </c>
      <c r="BN394" s="3">
        <v>115.2</v>
      </c>
      <c r="BO394" s="3">
        <v>430.4</v>
      </c>
      <c r="BP394" s="3">
        <v>506</v>
      </c>
      <c r="BQ394" s="3">
        <v>197.2</v>
      </c>
      <c r="BR394" s="3">
        <v>156.30000000000001</v>
      </c>
      <c r="BS394" s="3">
        <v>187.3</v>
      </c>
      <c r="BT394" s="3">
        <v>231.6</v>
      </c>
      <c r="BU394" s="3">
        <v>156.30000000000001</v>
      </c>
      <c r="BV394" s="3">
        <v>208.6</v>
      </c>
      <c r="BW394" s="3">
        <v>223.9</v>
      </c>
      <c r="BX394" s="3">
        <v>545.4</v>
      </c>
      <c r="BY394" s="3">
        <v>94.1</v>
      </c>
      <c r="BZ394" s="3">
        <v>456.2</v>
      </c>
      <c r="CA394" s="3">
        <v>375.2</v>
      </c>
      <c r="CB394" s="3">
        <v>859.5</v>
      </c>
      <c r="CC394" s="3">
        <v>423.8</v>
      </c>
      <c r="CD394" s="3">
        <v>502.1</v>
      </c>
      <c r="CE394" s="3">
        <v>356.8</v>
      </c>
      <c r="CF394" s="3">
        <v>6.6</v>
      </c>
      <c r="CG394" s="3">
        <v>123</v>
      </c>
      <c r="CH394" s="3">
        <v>92.9</v>
      </c>
      <c r="CI394" s="3">
        <v>475.9</v>
      </c>
      <c r="CJ394" s="3">
        <v>187.5</v>
      </c>
      <c r="CK394" s="3">
        <v>223.6</v>
      </c>
      <c r="CL394" s="3">
        <v>611.70000000000005</v>
      </c>
      <c r="CM394" s="3">
        <v>276.89999999999998</v>
      </c>
      <c r="CN394" s="3">
        <v>272.5</v>
      </c>
    </row>
    <row r="395" spans="1:92" x14ac:dyDescent="0.25">
      <c r="A395" s="4">
        <v>43739</v>
      </c>
      <c r="B395" s="3">
        <v>219.1</v>
      </c>
      <c r="C395" s="3">
        <v>208.5</v>
      </c>
      <c r="D395" s="3">
        <v>276.10000000000002</v>
      </c>
      <c r="E395" s="3">
        <v>202.7</v>
      </c>
      <c r="F395" s="3">
        <v>330.4</v>
      </c>
      <c r="G395" s="3">
        <v>344.8</v>
      </c>
      <c r="H395" s="3">
        <v>212</v>
      </c>
      <c r="I395" s="3">
        <v>205.8</v>
      </c>
      <c r="J395" s="3">
        <v>119.7</v>
      </c>
      <c r="K395" s="3">
        <v>190.3</v>
      </c>
      <c r="L395" s="3">
        <v>273.7</v>
      </c>
      <c r="M395" s="3">
        <v>277.10000000000002</v>
      </c>
      <c r="N395" s="3">
        <v>266.60000000000002</v>
      </c>
      <c r="O395" s="3">
        <v>368.4</v>
      </c>
      <c r="P395" s="3">
        <v>205.1</v>
      </c>
      <c r="Q395" s="3">
        <v>238.6</v>
      </c>
      <c r="R395" s="3">
        <v>197.5</v>
      </c>
      <c r="S395" s="3">
        <v>235.1</v>
      </c>
      <c r="T395" s="3">
        <v>197.1</v>
      </c>
      <c r="U395" s="3">
        <v>229.7</v>
      </c>
      <c r="V395" s="3">
        <v>184.7</v>
      </c>
      <c r="W395" s="3">
        <v>273.2</v>
      </c>
      <c r="X395" s="3">
        <v>191.8</v>
      </c>
      <c r="Y395" s="3">
        <v>296.3</v>
      </c>
      <c r="Z395" s="3">
        <v>224.9</v>
      </c>
      <c r="AA395" s="3">
        <v>207</v>
      </c>
      <c r="AB395" s="3">
        <v>217.1</v>
      </c>
      <c r="AC395" s="3">
        <v>178.7</v>
      </c>
      <c r="AD395" s="3">
        <v>155.19999999999999</v>
      </c>
      <c r="AE395" s="3">
        <v>259.7</v>
      </c>
      <c r="AF395" s="3">
        <v>224.8</v>
      </c>
      <c r="AG395" s="3">
        <v>213.8</v>
      </c>
      <c r="AH395" s="3">
        <v>284.7</v>
      </c>
      <c r="AI395" s="3">
        <v>197</v>
      </c>
      <c r="AJ395" s="3">
        <v>352.7</v>
      </c>
      <c r="AK395" s="3">
        <v>399.4</v>
      </c>
      <c r="AL395" s="3">
        <v>350</v>
      </c>
      <c r="AM395" s="3">
        <v>328.5</v>
      </c>
      <c r="AN395" s="3">
        <v>371.6</v>
      </c>
      <c r="AO395" s="3">
        <v>171.7</v>
      </c>
      <c r="AP395" s="3">
        <v>272.7</v>
      </c>
      <c r="AQ395" s="3">
        <v>373.4</v>
      </c>
      <c r="AR395" s="3">
        <v>201.8</v>
      </c>
      <c r="AS395" s="3">
        <v>808</v>
      </c>
      <c r="AT395" s="3">
        <v>596.9</v>
      </c>
      <c r="AU395" s="3">
        <v>373.9</v>
      </c>
      <c r="AV395" s="3">
        <v>240.2</v>
      </c>
      <c r="AW395" s="3">
        <v>399.8</v>
      </c>
      <c r="AX395" s="3">
        <v>384.1</v>
      </c>
      <c r="AY395" s="3">
        <v>540.29999999999995</v>
      </c>
      <c r="AZ395" s="3">
        <v>382.9</v>
      </c>
      <c r="BA395" s="3">
        <v>242.6</v>
      </c>
      <c r="BB395" s="3">
        <v>456.2</v>
      </c>
      <c r="BC395" s="3">
        <v>348.2</v>
      </c>
      <c r="BD395" s="3">
        <v>378.1</v>
      </c>
      <c r="BE395" s="3">
        <v>345.7</v>
      </c>
      <c r="BF395" s="3">
        <v>465.9</v>
      </c>
      <c r="BG395" s="3">
        <v>280.10000000000002</v>
      </c>
      <c r="BH395" s="3">
        <v>250.6</v>
      </c>
      <c r="BI395" s="3">
        <v>79.5</v>
      </c>
      <c r="BJ395" s="3">
        <v>212.2</v>
      </c>
      <c r="BK395" s="3">
        <v>212.5</v>
      </c>
      <c r="BL395" s="3">
        <v>250.4</v>
      </c>
      <c r="BM395" s="3">
        <v>438.5</v>
      </c>
      <c r="BN395" s="3">
        <v>115.3</v>
      </c>
      <c r="BO395" s="3">
        <v>431.1</v>
      </c>
      <c r="BP395" s="3">
        <v>506.2</v>
      </c>
      <c r="BQ395" s="3">
        <v>199</v>
      </c>
      <c r="BR395" s="3">
        <v>157.5</v>
      </c>
      <c r="BS395" s="3">
        <v>190.4</v>
      </c>
      <c r="BT395" s="3">
        <v>233.3</v>
      </c>
      <c r="BU395" s="3">
        <v>158.1</v>
      </c>
      <c r="BV395" s="3">
        <v>207.1</v>
      </c>
      <c r="BW395" s="3">
        <v>224.6</v>
      </c>
      <c r="BX395" s="3">
        <v>543</v>
      </c>
      <c r="BY395" s="3">
        <v>94.2</v>
      </c>
      <c r="BZ395" s="3">
        <v>457.1</v>
      </c>
      <c r="CA395" s="3">
        <v>373.4</v>
      </c>
      <c r="CB395" s="3">
        <v>869.8</v>
      </c>
      <c r="CC395" s="3">
        <v>422.7</v>
      </c>
      <c r="CD395" s="3">
        <v>494</v>
      </c>
      <c r="CE395" s="3">
        <v>354.3</v>
      </c>
      <c r="CF395" s="3">
        <v>6.7</v>
      </c>
      <c r="CG395" s="3">
        <v>123</v>
      </c>
      <c r="CH395" s="3">
        <v>93.1</v>
      </c>
      <c r="CI395" s="3">
        <v>459.9</v>
      </c>
      <c r="CJ395" s="3">
        <v>188.1</v>
      </c>
      <c r="CK395" s="3">
        <v>223.7</v>
      </c>
      <c r="CL395" s="3">
        <v>610.20000000000005</v>
      </c>
      <c r="CM395" s="3">
        <v>279.2</v>
      </c>
      <c r="CN395" s="3">
        <v>269.3</v>
      </c>
    </row>
    <row r="396" spans="1:92" x14ac:dyDescent="0.25">
      <c r="A396" s="4">
        <v>43770</v>
      </c>
      <c r="B396" s="3">
        <v>219</v>
      </c>
      <c r="C396" s="3">
        <v>208.3</v>
      </c>
      <c r="D396" s="3">
        <v>276.60000000000002</v>
      </c>
      <c r="E396" s="3">
        <v>205.5</v>
      </c>
      <c r="F396" s="3">
        <v>328.1</v>
      </c>
      <c r="G396" s="3">
        <v>335.7</v>
      </c>
      <c r="H396" s="3">
        <v>219.2</v>
      </c>
      <c r="I396" s="3">
        <v>207.1</v>
      </c>
      <c r="J396" s="3">
        <v>119.3</v>
      </c>
      <c r="K396" s="3">
        <v>192.8</v>
      </c>
      <c r="L396" s="3">
        <v>276</v>
      </c>
      <c r="M396" s="3">
        <v>279.2</v>
      </c>
      <c r="N396" s="3">
        <v>268.89999999999998</v>
      </c>
      <c r="O396" s="3">
        <v>364.8</v>
      </c>
      <c r="P396" s="3">
        <v>210.9</v>
      </c>
      <c r="Q396" s="3">
        <v>238.3</v>
      </c>
      <c r="R396" s="3">
        <v>198.1</v>
      </c>
      <c r="S396" s="3">
        <v>235.6</v>
      </c>
      <c r="T396" s="3">
        <v>199.2</v>
      </c>
      <c r="U396" s="3">
        <v>222.2</v>
      </c>
      <c r="V396" s="3">
        <v>182.3</v>
      </c>
      <c r="W396" s="3">
        <v>273.60000000000002</v>
      </c>
      <c r="X396" s="3">
        <v>190.9</v>
      </c>
      <c r="Y396" s="3">
        <v>299.3</v>
      </c>
      <c r="Z396" s="3">
        <v>227.1</v>
      </c>
      <c r="AA396" s="3">
        <v>206.6</v>
      </c>
      <c r="AB396" s="3">
        <v>220</v>
      </c>
      <c r="AC396" s="3">
        <v>179</v>
      </c>
      <c r="AD396" s="3">
        <v>155.30000000000001</v>
      </c>
      <c r="AE396" s="3">
        <v>261.3</v>
      </c>
      <c r="AF396" s="3">
        <v>232</v>
      </c>
      <c r="AG396" s="3">
        <v>221.9</v>
      </c>
      <c r="AH396" s="3">
        <v>282.7</v>
      </c>
      <c r="AI396" s="3">
        <v>200.2</v>
      </c>
      <c r="AJ396" s="3">
        <v>353.8</v>
      </c>
      <c r="AK396" s="3">
        <v>399.5</v>
      </c>
      <c r="AL396" s="3">
        <v>352.4</v>
      </c>
      <c r="AM396" s="3">
        <v>329.2</v>
      </c>
      <c r="AN396" s="3">
        <v>372.3</v>
      </c>
      <c r="AO396" s="3">
        <v>172.2</v>
      </c>
      <c r="AP396" s="3">
        <v>272.10000000000002</v>
      </c>
      <c r="AQ396" s="3">
        <v>374.1</v>
      </c>
      <c r="AR396" s="3">
        <v>200.2</v>
      </c>
      <c r="AS396" s="3">
        <v>808.3</v>
      </c>
      <c r="AT396" s="3">
        <v>598</v>
      </c>
      <c r="AU396" s="3">
        <v>374.5</v>
      </c>
      <c r="AV396" s="3">
        <v>240.4</v>
      </c>
      <c r="AW396" s="3">
        <v>400.2</v>
      </c>
      <c r="AX396" s="3">
        <v>384.1</v>
      </c>
      <c r="AY396" s="3">
        <v>540.29999999999995</v>
      </c>
      <c r="AZ396" s="3">
        <v>383</v>
      </c>
      <c r="BA396" s="3">
        <v>244.8</v>
      </c>
      <c r="BB396" s="3">
        <v>460</v>
      </c>
      <c r="BC396" s="3">
        <v>356.3</v>
      </c>
      <c r="BD396" s="3">
        <v>378.1</v>
      </c>
      <c r="BE396" s="3">
        <v>345.7</v>
      </c>
      <c r="BF396" s="3">
        <v>455.2</v>
      </c>
      <c r="BG396" s="3">
        <v>283.3</v>
      </c>
      <c r="BH396" s="3">
        <v>255.1</v>
      </c>
      <c r="BI396" s="3">
        <v>76.400000000000006</v>
      </c>
      <c r="BJ396" s="3">
        <v>213.6</v>
      </c>
      <c r="BK396" s="3">
        <v>212.4</v>
      </c>
      <c r="BL396" s="3">
        <v>251</v>
      </c>
      <c r="BM396" s="3">
        <v>438.5</v>
      </c>
      <c r="BN396" s="3">
        <v>115.1</v>
      </c>
      <c r="BO396" s="3">
        <v>432.2</v>
      </c>
      <c r="BP396" s="3">
        <v>507.1</v>
      </c>
      <c r="BQ396" s="3">
        <v>200.7</v>
      </c>
      <c r="BR396" s="3">
        <v>159.6</v>
      </c>
      <c r="BS396" s="3">
        <v>193.1</v>
      </c>
      <c r="BT396" s="3">
        <v>234.9</v>
      </c>
      <c r="BU396" s="3">
        <v>159.9</v>
      </c>
      <c r="BV396" s="3">
        <v>209.3</v>
      </c>
      <c r="BW396" s="3">
        <v>226.3</v>
      </c>
      <c r="BX396" s="3">
        <v>543.5</v>
      </c>
      <c r="BY396" s="3">
        <v>95</v>
      </c>
      <c r="BZ396" s="3">
        <v>459.2</v>
      </c>
      <c r="CA396" s="3">
        <v>369.7</v>
      </c>
      <c r="CB396" s="3">
        <v>873.7</v>
      </c>
      <c r="CC396" s="3">
        <v>420.4</v>
      </c>
      <c r="CD396" s="3">
        <v>491.3</v>
      </c>
      <c r="CE396" s="3">
        <v>334.5</v>
      </c>
      <c r="CF396" s="3">
        <v>6.7</v>
      </c>
      <c r="CG396" s="3">
        <v>128.5</v>
      </c>
      <c r="CH396" s="3">
        <v>92.9</v>
      </c>
      <c r="CI396" s="3">
        <v>477.4</v>
      </c>
      <c r="CJ396" s="3">
        <v>191.8</v>
      </c>
      <c r="CK396" s="3">
        <v>223.7</v>
      </c>
      <c r="CL396" s="3">
        <v>608.9</v>
      </c>
      <c r="CM396" s="3">
        <v>280.8</v>
      </c>
      <c r="CN396" s="3">
        <v>266.7</v>
      </c>
    </row>
    <row r="397" spans="1:92" x14ac:dyDescent="0.25">
      <c r="A397" s="4">
        <v>43800</v>
      </c>
      <c r="B397" s="3">
        <v>221.4</v>
      </c>
      <c r="C397" s="3">
        <v>214</v>
      </c>
      <c r="D397" s="3">
        <v>275.10000000000002</v>
      </c>
      <c r="E397" s="3">
        <v>207.8</v>
      </c>
      <c r="F397" s="3">
        <v>324.39999999999998</v>
      </c>
      <c r="G397" s="3">
        <v>326.8</v>
      </c>
      <c r="H397" s="3">
        <v>220.7</v>
      </c>
      <c r="I397" s="3">
        <v>207.7</v>
      </c>
      <c r="J397" s="3">
        <v>118.6</v>
      </c>
      <c r="K397" s="3">
        <v>195</v>
      </c>
      <c r="L397" s="3">
        <v>276</v>
      </c>
      <c r="M397" s="3">
        <v>278.89999999999998</v>
      </c>
      <c r="N397" s="3">
        <v>269.2</v>
      </c>
      <c r="O397" s="3">
        <v>370.5</v>
      </c>
      <c r="P397" s="3">
        <v>211.5</v>
      </c>
      <c r="Q397" s="3">
        <v>242.9</v>
      </c>
      <c r="R397" s="3">
        <v>198.2</v>
      </c>
      <c r="S397" s="3">
        <v>237.2</v>
      </c>
      <c r="T397" s="3">
        <v>201.8</v>
      </c>
      <c r="U397" s="3">
        <v>222.4</v>
      </c>
      <c r="V397" s="3">
        <v>182.8</v>
      </c>
      <c r="W397" s="3">
        <v>277.8</v>
      </c>
      <c r="X397" s="3">
        <v>194.4</v>
      </c>
      <c r="Y397" s="3">
        <v>299</v>
      </c>
      <c r="Z397" s="3">
        <v>235.2</v>
      </c>
      <c r="AA397" s="3">
        <v>210.8</v>
      </c>
      <c r="AB397" s="3">
        <v>228.9</v>
      </c>
      <c r="AC397" s="3">
        <v>179.4</v>
      </c>
      <c r="AD397" s="3">
        <v>156.69999999999999</v>
      </c>
      <c r="AE397" s="3">
        <v>256.8</v>
      </c>
      <c r="AF397" s="3">
        <v>231.8</v>
      </c>
      <c r="AG397" s="3">
        <v>221.2</v>
      </c>
      <c r="AH397" s="3">
        <v>286.89999999999998</v>
      </c>
      <c r="AI397" s="3">
        <v>195.6</v>
      </c>
      <c r="AJ397" s="3">
        <v>354.1</v>
      </c>
      <c r="AK397" s="3">
        <v>400</v>
      </c>
      <c r="AL397" s="3">
        <v>353.4</v>
      </c>
      <c r="AM397" s="3">
        <v>327</v>
      </c>
      <c r="AN397" s="3">
        <v>372.8</v>
      </c>
      <c r="AO397" s="3">
        <v>166.7</v>
      </c>
      <c r="AP397" s="3">
        <v>268</v>
      </c>
      <c r="AQ397" s="3">
        <v>374.1</v>
      </c>
      <c r="AR397" s="3">
        <v>193.4</v>
      </c>
      <c r="AS397" s="3">
        <v>809.1</v>
      </c>
      <c r="AT397" s="3">
        <v>596</v>
      </c>
      <c r="AU397" s="3">
        <v>374.9</v>
      </c>
      <c r="AV397" s="3">
        <v>241.1</v>
      </c>
      <c r="AW397" s="3">
        <v>401.4</v>
      </c>
      <c r="AX397" s="3">
        <v>384.1</v>
      </c>
      <c r="AY397" s="3">
        <v>540.29999999999995</v>
      </c>
      <c r="AZ397" s="3">
        <v>383.1</v>
      </c>
      <c r="BA397" s="3">
        <v>244.6</v>
      </c>
      <c r="BB397" s="3">
        <v>461.2</v>
      </c>
      <c r="BC397" s="3">
        <v>358.3</v>
      </c>
      <c r="BD397" s="3">
        <v>378.1</v>
      </c>
      <c r="BE397" s="3">
        <v>345.7</v>
      </c>
      <c r="BF397" s="3">
        <v>455.2</v>
      </c>
      <c r="BG397" s="3">
        <v>293.89999999999998</v>
      </c>
      <c r="BH397" s="3">
        <v>255.9</v>
      </c>
      <c r="BI397" s="3">
        <v>77.5</v>
      </c>
      <c r="BJ397" s="3">
        <v>215.4</v>
      </c>
      <c r="BK397" s="3">
        <v>212.5</v>
      </c>
      <c r="BL397" s="3">
        <v>251.5</v>
      </c>
      <c r="BM397" s="3">
        <v>438.5</v>
      </c>
      <c r="BN397" s="3">
        <v>116.3</v>
      </c>
      <c r="BO397" s="3">
        <v>432.9</v>
      </c>
      <c r="BP397" s="3">
        <v>509.3</v>
      </c>
      <c r="BQ397" s="3">
        <v>197.9</v>
      </c>
      <c r="BR397" s="3">
        <v>155.1</v>
      </c>
      <c r="BS397" s="3">
        <v>192.6</v>
      </c>
      <c r="BT397" s="3">
        <v>234.6</v>
      </c>
      <c r="BU397" s="3">
        <v>157.69999999999999</v>
      </c>
      <c r="BV397" s="3">
        <v>209</v>
      </c>
      <c r="BW397" s="3">
        <v>226.1</v>
      </c>
      <c r="BX397" s="3">
        <v>544.9</v>
      </c>
      <c r="BY397" s="3">
        <v>95</v>
      </c>
      <c r="BZ397" s="3">
        <v>459.4</v>
      </c>
      <c r="CA397" s="3">
        <v>367.5</v>
      </c>
      <c r="CB397" s="3">
        <v>889</v>
      </c>
      <c r="CC397" s="3">
        <v>424.6</v>
      </c>
      <c r="CD397" s="3">
        <v>503</v>
      </c>
      <c r="CE397" s="3">
        <v>369.2</v>
      </c>
      <c r="CF397" s="3">
        <v>6.4</v>
      </c>
      <c r="CG397" s="3">
        <v>128.80000000000001</v>
      </c>
      <c r="CH397" s="3">
        <v>92.4</v>
      </c>
      <c r="CI397" s="3">
        <v>467.7</v>
      </c>
      <c r="CJ397" s="3">
        <v>193.2</v>
      </c>
      <c r="CK397" s="3">
        <v>223.7</v>
      </c>
      <c r="CL397" s="3">
        <v>608.29999999999995</v>
      </c>
      <c r="CM397" s="3">
        <v>283.10000000000002</v>
      </c>
      <c r="CN397" s="3">
        <v>262.8</v>
      </c>
    </row>
    <row r="398" spans="1:92" x14ac:dyDescent="0.25">
      <c r="A398" s="4">
        <v>43831</v>
      </c>
      <c r="B398" s="3">
        <v>223.7</v>
      </c>
      <c r="C398" s="3">
        <v>205.3</v>
      </c>
      <c r="D398" s="3">
        <v>271.39999999999998</v>
      </c>
      <c r="E398" s="3">
        <v>209.1</v>
      </c>
      <c r="F398" s="3">
        <v>322.3</v>
      </c>
      <c r="G398" s="3">
        <v>353.3</v>
      </c>
      <c r="H398" s="3">
        <v>220.7</v>
      </c>
      <c r="I398" s="3">
        <v>210</v>
      </c>
      <c r="J398" s="3">
        <v>119.1</v>
      </c>
      <c r="K398" s="3">
        <v>195.1</v>
      </c>
      <c r="L398" s="3">
        <v>272</v>
      </c>
      <c r="M398" s="3">
        <v>276</v>
      </c>
      <c r="N398" s="3">
        <v>264.3</v>
      </c>
      <c r="O398" s="3">
        <v>358</v>
      </c>
      <c r="P398" s="3">
        <v>189.1</v>
      </c>
      <c r="Q398" s="3">
        <v>242.7</v>
      </c>
      <c r="R398" s="3">
        <v>199.5</v>
      </c>
      <c r="S398" s="3">
        <v>233.9</v>
      </c>
      <c r="T398" s="3">
        <v>192.4</v>
      </c>
      <c r="U398" s="3">
        <v>222.2</v>
      </c>
      <c r="V398" s="3">
        <v>186.5</v>
      </c>
      <c r="W398" s="3">
        <v>275.39999999999998</v>
      </c>
      <c r="X398" s="3">
        <v>199.1</v>
      </c>
      <c r="Y398" s="3">
        <v>305.89999999999998</v>
      </c>
      <c r="Z398" s="3">
        <v>234.3</v>
      </c>
      <c r="AA398" s="3">
        <v>214.6</v>
      </c>
      <c r="AB398" s="3">
        <v>226.4</v>
      </c>
      <c r="AC398" s="3">
        <v>181</v>
      </c>
      <c r="AD398" s="3">
        <v>158.30000000000001</v>
      </c>
      <c r="AE398" s="3">
        <v>258.2</v>
      </c>
      <c r="AF398" s="3">
        <v>230.4</v>
      </c>
      <c r="AG398" s="3">
        <v>219.4</v>
      </c>
      <c r="AH398" s="3">
        <v>289.39999999999998</v>
      </c>
      <c r="AI398" s="3">
        <v>196.3</v>
      </c>
      <c r="AJ398" s="3">
        <v>354.9</v>
      </c>
      <c r="AK398" s="3">
        <v>402.5</v>
      </c>
      <c r="AL398" s="3">
        <v>354.7</v>
      </c>
      <c r="AM398" s="3">
        <v>330.2</v>
      </c>
      <c r="AN398" s="3">
        <v>372.7</v>
      </c>
      <c r="AO398" s="3">
        <v>173.9</v>
      </c>
      <c r="AP398" s="3">
        <v>274.39999999999998</v>
      </c>
      <c r="AQ398" s="3">
        <v>374.6</v>
      </c>
      <c r="AR398" s="3">
        <v>203.8</v>
      </c>
      <c r="AS398" s="3">
        <v>808.8</v>
      </c>
      <c r="AT398" s="3">
        <v>596.5</v>
      </c>
      <c r="AU398" s="3">
        <v>375.3</v>
      </c>
      <c r="AV398" s="3">
        <v>238.5</v>
      </c>
      <c r="AW398" s="3">
        <v>401.7</v>
      </c>
      <c r="AX398" s="3">
        <v>384.1</v>
      </c>
      <c r="AY398" s="3">
        <v>540.29999999999995</v>
      </c>
      <c r="AZ398" s="3">
        <v>383.7</v>
      </c>
      <c r="BA398" s="3">
        <v>244.6</v>
      </c>
      <c r="BB398" s="3">
        <v>458.1</v>
      </c>
      <c r="BC398" s="3">
        <v>355</v>
      </c>
      <c r="BD398" s="3">
        <v>378.1</v>
      </c>
      <c r="BE398" s="3">
        <v>345.7</v>
      </c>
      <c r="BF398" s="3">
        <v>467.3</v>
      </c>
      <c r="BG398" s="3">
        <v>274</v>
      </c>
      <c r="BH398" s="3">
        <v>251</v>
      </c>
      <c r="BI398" s="3">
        <v>76.400000000000006</v>
      </c>
      <c r="BJ398" s="3">
        <v>206.1</v>
      </c>
      <c r="BK398" s="3">
        <v>213.4</v>
      </c>
      <c r="BL398" s="3">
        <v>252.5</v>
      </c>
      <c r="BM398" s="3">
        <v>438.5</v>
      </c>
      <c r="BN398" s="3">
        <v>116.5</v>
      </c>
      <c r="BO398" s="3">
        <v>433.7</v>
      </c>
      <c r="BP398" s="3">
        <v>508.5</v>
      </c>
      <c r="BQ398" s="3">
        <v>191.1</v>
      </c>
      <c r="BR398" s="3">
        <v>146.9</v>
      </c>
      <c r="BS398" s="3">
        <v>186.5</v>
      </c>
      <c r="BT398" s="3">
        <v>232.6</v>
      </c>
      <c r="BU398" s="3">
        <v>154.4</v>
      </c>
      <c r="BV398" s="3">
        <v>205.7</v>
      </c>
      <c r="BW398" s="3">
        <v>229.5</v>
      </c>
      <c r="BX398" s="3">
        <v>551.29999999999995</v>
      </c>
      <c r="BY398" s="3">
        <v>95.1</v>
      </c>
      <c r="BZ398" s="3">
        <v>462.5</v>
      </c>
      <c r="CA398" s="3">
        <v>375</v>
      </c>
      <c r="CB398" s="3">
        <v>891.1</v>
      </c>
      <c r="CC398" s="3">
        <v>430.2</v>
      </c>
      <c r="CD398" s="3">
        <v>489</v>
      </c>
      <c r="CE398" s="3">
        <v>324.5</v>
      </c>
      <c r="CF398" s="3">
        <v>6.5</v>
      </c>
      <c r="CG398" s="3">
        <v>116.2</v>
      </c>
      <c r="CH398" s="3">
        <v>93.4</v>
      </c>
      <c r="CI398" s="3">
        <v>467.2</v>
      </c>
      <c r="CJ398" s="3">
        <v>193.1</v>
      </c>
      <c r="CK398" s="3">
        <v>223.7</v>
      </c>
      <c r="CL398" s="3">
        <v>597.29999999999995</v>
      </c>
      <c r="CM398" s="3">
        <v>284.7</v>
      </c>
      <c r="CN398" s="3">
        <v>261.2</v>
      </c>
    </row>
    <row r="399" spans="1:92" x14ac:dyDescent="0.25">
      <c r="A399" s="4">
        <v>43862</v>
      </c>
      <c r="B399" s="3">
        <v>221.1</v>
      </c>
      <c r="C399" s="3">
        <v>208.5</v>
      </c>
      <c r="D399" s="3">
        <v>271.39999999999998</v>
      </c>
      <c r="E399" s="3">
        <v>207.9</v>
      </c>
      <c r="F399" s="3">
        <v>321</v>
      </c>
      <c r="G399" s="3">
        <v>351.8</v>
      </c>
      <c r="H399" s="3">
        <v>220.9</v>
      </c>
      <c r="I399" s="3">
        <v>210.5</v>
      </c>
      <c r="J399" s="3">
        <v>118.6</v>
      </c>
      <c r="K399" s="3">
        <v>195.2</v>
      </c>
      <c r="L399" s="3">
        <v>274.39999999999998</v>
      </c>
      <c r="M399" s="3">
        <v>273</v>
      </c>
      <c r="N399" s="3">
        <v>271.8</v>
      </c>
      <c r="O399" s="3">
        <v>363.4</v>
      </c>
      <c r="P399" s="3">
        <v>198</v>
      </c>
      <c r="Q399" s="3">
        <v>242</v>
      </c>
      <c r="R399" s="3">
        <v>199.3</v>
      </c>
      <c r="S399" s="3">
        <v>235.8</v>
      </c>
      <c r="T399" s="3">
        <v>199.2</v>
      </c>
      <c r="U399" s="3">
        <v>220.3</v>
      </c>
      <c r="V399" s="3">
        <v>179.9</v>
      </c>
      <c r="W399" s="3">
        <v>281.3</v>
      </c>
      <c r="X399" s="3">
        <v>194.5</v>
      </c>
      <c r="Y399" s="3">
        <v>302.10000000000002</v>
      </c>
      <c r="Z399" s="3">
        <v>235.1</v>
      </c>
      <c r="AA399" s="3">
        <v>219.7</v>
      </c>
      <c r="AB399" s="3">
        <v>225.7</v>
      </c>
      <c r="AC399" s="3">
        <v>181.1</v>
      </c>
      <c r="AD399" s="3">
        <v>157.9</v>
      </c>
      <c r="AE399" s="3">
        <v>260.8</v>
      </c>
      <c r="AF399" s="3">
        <v>232.7</v>
      </c>
      <c r="AG399" s="3">
        <v>222.1</v>
      </c>
      <c r="AH399" s="3">
        <v>290.2</v>
      </c>
      <c r="AI399" s="3">
        <v>194.5</v>
      </c>
      <c r="AJ399" s="3">
        <v>356.4</v>
      </c>
      <c r="AK399" s="3">
        <v>402.8</v>
      </c>
      <c r="AL399" s="3">
        <v>356</v>
      </c>
      <c r="AM399" s="3">
        <v>330.9</v>
      </c>
      <c r="AN399" s="3">
        <v>373.6</v>
      </c>
      <c r="AO399" s="3">
        <v>173.9</v>
      </c>
      <c r="AP399" s="3">
        <v>274.39999999999998</v>
      </c>
      <c r="AQ399" s="3">
        <v>375.6</v>
      </c>
      <c r="AR399" s="3">
        <v>203.2</v>
      </c>
      <c r="AS399" s="3">
        <v>809.7</v>
      </c>
      <c r="AT399" s="3">
        <v>600.29999999999995</v>
      </c>
      <c r="AU399" s="3">
        <v>375.5</v>
      </c>
      <c r="AV399" s="3">
        <v>237</v>
      </c>
      <c r="AW399" s="3">
        <v>400.1</v>
      </c>
      <c r="AX399" s="3">
        <v>384.1</v>
      </c>
      <c r="AY399" s="3">
        <v>540.29999999999995</v>
      </c>
      <c r="AZ399" s="3">
        <v>384.3</v>
      </c>
      <c r="BA399" s="3">
        <v>244.9</v>
      </c>
      <c r="BB399" s="3">
        <v>454.8</v>
      </c>
      <c r="BC399" s="3">
        <v>359</v>
      </c>
      <c r="BD399" s="3">
        <v>378.1</v>
      </c>
      <c r="BE399" s="3">
        <v>345.7</v>
      </c>
      <c r="BF399" s="3">
        <v>427</v>
      </c>
      <c r="BG399" s="3">
        <v>285.10000000000002</v>
      </c>
      <c r="BH399" s="3">
        <v>255.3</v>
      </c>
      <c r="BI399" s="3">
        <v>78</v>
      </c>
      <c r="BJ399" s="3">
        <v>212.6</v>
      </c>
      <c r="BK399" s="3">
        <v>214.8</v>
      </c>
      <c r="BL399" s="3">
        <v>253.3</v>
      </c>
      <c r="BM399" s="3">
        <v>438.5</v>
      </c>
      <c r="BN399" s="3">
        <v>116.3</v>
      </c>
      <c r="BO399" s="3">
        <v>435.1</v>
      </c>
      <c r="BP399" s="3">
        <v>508.7</v>
      </c>
      <c r="BQ399" s="3">
        <v>194.8</v>
      </c>
      <c r="BR399" s="3">
        <v>158.80000000000001</v>
      </c>
      <c r="BS399" s="3">
        <v>191.3</v>
      </c>
      <c r="BT399" s="3">
        <v>233.9</v>
      </c>
      <c r="BU399" s="3">
        <v>158.1</v>
      </c>
      <c r="BV399" s="3">
        <v>211.6</v>
      </c>
      <c r="BW399" s="3">
        <v>230</v>
      </c>
      <c r="BX399" s="3">
        <v>552.9</v>
      </c>
      <c r="BY399" s="3">
        <v>96.3</v>
      </c>
      <c r="BZ399" s="3">
        <v>462.4</v>
      </c>
      <c r="CA399" s="3">
        <v>364</v>
      </c>
      <c r="CB399" s="3">
        <v>906</v>
      </c>
      <c r="CC399" s="3">
        <v>438.8</v>
      </c>
      <c r="CD399" s="3">
        <v>507.6</v>
      </c>
      <c r="CE399" s="3">
        <v>336.6</v>
      </c>
      <c r="CF399" s="3">
        <v>6.5</v>
      </c>
      <c r="CG399" s="3">
        <v>131</v>
      </c>
      <c r="CH399" s="3">
        <v>92.7</v>
      </c>
      <c r="CI399" s="3">
        <v>488.5</v>
      </c>
      <c r="CJ399" s="3">
        <v>192.5</v>
      </c>
      <c r="CK399" s="3">
        <v>223.7</v>
      </c>
      <c r="CL399" s="3">
        <v>601.9</v>
      </c>
      <c r="CM399" s="3">
        <v>285.7</v>
      </c>
      <c r="CN399" s="3">
        <v>264.60000000000002</v>
      </c>
    </row>
    <row r="400" spans="1:92" x14ac:dyDescent="0.25">
      <c r="A400" s="4">
        <v>43891</v>
      </c>
      <c r="B400" s="3">
        <v>223.4</v>
      </c>
      <c r="C400" s="3">
        <v>216.7</v>
      </c>
      <c r="D400" s="3">
        <v>280.8</v>
      </c>
      <c r="E400" s="3">
        <v>209.7</v>
      </c>
      <c r="F400" s="3">
        <v>330.5</v>
      </c>
      <c r="G400" s="3">
        <v>362.2</v>
      </c>
      <c r="H400" s="3">
        <v>221</v>
      </c>
      <c r="I400" s="3">
        <v>210.7</v>
      </c>
      <c r="J400" s="3">
        <v>119.2</v>
      </c>
      <c r="K400" s="3">
        <v>192</v>
      </c>
      <c r="L400" s="3">
        <v>274.5</v>
      </c>
      <c r="M400" s="3">
        <v>276.2</v>
      </c>
      <c r="N400" s="3">
        <v>268.89999999999998</v>
      </c>
      <c r="O400" s="3">
        <v>375.3</v>
      </c>
      <c r="P400" s="3">
        <v>208</v>
      </c>
      <c r="Q400" s="3">
        <v>241.8</v>
      </c>
      <c r="R400" s="3">
        <v>201.6</v>
      </c>
      <c r="S400" s="3">
        <v>237.9</v>
      </c>
      <c r="T400" s="3">
        <v>198.8</v>
      </c>
      <c r="U400" s="3">
        <v>228.9</v>
      </c>
      <c r="V400" s="3">
        <v>186.6</v>
      </c>
      <c r="W400" s="3">
        <v>279.3</v>
      </c>
      <c r="X400" s="3">
        <v>197.5</v>
      </c>
      <c r="Y400" s="3">
        <v>302.39999999999998</v>
      </c>
      <c r="Z400" s="3">
        <v>227.6</v>
      </c>
      <c r="AA400" s="3">
        <v>212.2</v>
      </c>
      <c r="AB400" s="3">
        <v>218.7</v>
      </c>
      <c r="AC400" s="3">
        <v>179</v>
      </c>
      <c r="AD400" s="3">
        <v>156</v>
      </c>
      <c r="AE400" s="3">
        <v>258.10000000000002</v>
      </c>
      <c r="AF400" s="3">
        <v>225.7</v>
      </c>
      <c r="AG400" s="3">
        <v>215.1</v>
      </c>
      <c r="AH400" s="3">
        <v>283</v>
      </c>
      <c r="AI400" s="3">
        <v>203</v>
      </c>
      <c r="AJ400" s="3">
        <v>356.4</v>
      </c>
      <c r="AK400" s="3">
        <v>403.4</v>
      </c>
      <c r="AL400" s="3">
        <v>357</v>
      </c>
      <c r="AM400" s="3">
        <v>330.8</v>
      </c>
      <c r="AN400" s="3">
        <v>374</v>
      </c>
      <c r="AO400" s="3">
        <v>173.2</v>
      </c>
      <c r="AP400" s="3">
        <v>273.39999999999998</v>
      </c>
      <c r="AQ400" s="3">
        <v>376.8</v>
      </c>
      <c r="AR400" s="3">
        <v>200.6</v>
      </c>
      <c r="AS400" s="3">
        <v>825.5</v>
      </c>
      <c r="AT400" s="3">
        <v>611.29999999999995</v>
      </c>
      <c r="AU400" s="3">
        <v>375.9</v>
      </c>
      <c r="AV400" s="3">
        <v>237.9</v>
      </c>
      <c r="AW400" s="3">
        <v>399.8</v>
      </c>
      <c r="AX400" s="3">
        <v>384.1</v>
      </c>
      <c r="AY400" s="3">
        <v>540.29999999999995</v>
      </c>
      <c r="AZ400" s="3">
        <v>384.7</v>
      </c>
      <c r="BA400" s="3">
        <v>246</v>
      </c>
      <c r="BB400" s="3">
        <v>455.4</v>
      </c>
      <c r="BC400" s="3">
        <v>359</v>
      </c>
      <c r="BD400" s="3">
        <v>378.1</v>
      </c>
      <c r="BE400" s="3">
        <v>345.7</v>
      </c>
      <c r="BF400" s="3">
        <v>371</v>
      </c>
      <c r="BG400" s="3">
        <v>286.10000000000002</v>
      </c>
      <c r="BH400" s="3">
        <v>256</v>
      </c>
      <c r="BI400" s="3">
        <v>78.2</v>
      </c>
      <c r="BJ400" s="3">
        <v>212.8</v>
      </c>
      <c r="BK400" s="3">
        <v>214.1</v>
      </c>
      <c r="BL400" s="3">
        <v>253.8</v>
      </c>
      <c r="BM400" s="3">
        <v>438.5</v>
      </c>
      <c r="BN400" s="3">
        <v>117.6</v>
      </c>
      <c r="BO400" s="3">
        <v>435.8</v>
      </c>
      <c r="BP400" s="3">
        <v>508.5</v>
      </c>
      <c r="BQ400" s="3">
        <v>194.6</v>
      </c>
      <c r="BR400" s="3">
        <v>160.4</v>
      </c>
      <c r="BS400" s="3">
        <v>188.2</v>
      </c>
      <c r="BT400" s="3">
        <v>234.4</v>
      </c>
      <c r="BU400" s="3">
        <v>160.80000000000001</v>
      </c>
      <c r="BV400" s="3">
        <v>211.1</v>
      </c>
      <c r="BW400" s="3">
        <v>230.9</v>
      </c>
      <c r="BX400" s="3">
        <v>553.9</v>
      </c>
      <c r="BY400" s="3">
        <v>97.1</v>
      </c>
      <c r="BZ400" s="3">
        <v>466</v>
      </c>
      <c r="CA400" s="3">
        <v>353.7</v>
      </c>
      <c r="CB400" s="3">
        <v>935.7</v>
      </c>
      <c r="CC400" s="3">
        <v>434.7</v>
      </c>
      <c r="CD400" s="3">
        <v>493.5</v>
      </c>
      <c r="CE400" s="3">
        <v>347.9</v>
      </c>
      <c r="CF400" s="3">
        <v>6.6</v>
      </c>
      <c r="CG400" s="3">
        <v>121.7</v>
      </c>
      <c r="CH400" s="3">
        <v>94.3</v>
      </c>
      <c r="CI400" s="3">
        <v>497.6</v>
      </c>
      <c r="CJ400" s="3">
        <v>194</v>
      </c>
      <c r="CK400" s="3">
        <v>223.7</v>
      </c>
      <c r="CL400" s="3">
        <v>603.29999999999995</v>
      </c>
      <c r="CM400" s="3">
        <v>285.5</v>
      </c>
      <c r="CN400" s="3">
        <v>264.10000000000002</v>
      </c>
    </row>
    <row r="401" spans="1:92" x14ac:dyDescent="0.25">
      <c r="A401" s="4">
        <v>43922</v>
      </c>
      <c r="B401" s="3">
        <v>222.5</v>
      </c>
      <c r="C401" s="3">
        <v>217.7</v>
      </c>
      <c r="D401" s="3">
        <v>277</v>
      </c>
      <c r="E401" s="3">
        <v>208.7</v>
      </c>
      <c r="F401" s="3">
        <v>322.5</v>
      </c>
      <c r="G401" s="3">
        <v>353.5</v>
      </c>
      <c r="H401" s="3">
        <v>227.2</v>
      </c>
      <c r="I401" s="3">
        <v>210.8</v>
      </c>
      <c r="J401" s="3">
        <v>119.7</v>
      </c>
      <c r="K401" s="3">
        <v>194.5</v>
      </c>
      <c r="L401" s="3">
        <v>272.7</v>
      </c>
      <c r="M401" s="3">
        <v>276.3</v>
      </c>
      <c r="N401" s="3">
        <v>265.3</v>
      </c>
      <c r="O401" s="3">
        <v>379.9</v>
      </c>
      <c r="P401" s="3">
        <v>217.7</v>
      </c>
      <c r="Q401" s="3">
        <v>237.9</v>
      </c>
      <c r="R401" s="3">
        <v>199.5</v>
      </c>
      <c r="S401" s="3">
        <v>238.5</v>
      </c>
      <c r="T401" s="3">
        <v>191.7</v>
      </c>
      <c r="U401" s="3">
        <v>236.2</v>
      </c>
      <c r="V401" s="3">
        <v>177.6</v>
      </c>
      <c r="W401" s="3">
        <v>278</v>
      </c>
      <c r="X401" s="3">
        <v>192.7</v>
      </c>
      <c r="Y401" s="3">
        <v>302.10000000000002</v>
      </c>
      <c r="Z401" s="3">
        <v>233.3</v>
      </c>
      <c r="AA401" s="3">
        <v>221.8</v>
      </c>
      <c r="AB401" s="3">
        <v>222.6</v>
      </c>
      <c r="AC401" s="3">
        <v>183</v>
      </c>
      <c r="AD401" s="3">
        <v>158.19999999999999</v>
      </c>
      <c r="AE401" s="3">
        <v>270</v>
      </c>
      <c r="AF401" s="3">
        <v>225.9</v>
      </c>
      <c r="AG401" s="3">
        <v>214.8</v>
      </c>
      <c r="AH401" s="3">
        <v>285.5</v>
      </c>
      <c r="AI401" s="3">
        <v>196.8</v>
      </c>
      <c r="AJ401" s="3">
        <v>360.2</v>
      </c>
      <c r="AK401" s="3">
        <v>407.4</v>
      </c>
      <c r="AL401" s="3">
        <v>363.3</v>
      </c>
      <c r="AM401" s="3">
        <v>329.6</v>
      </c>
      <c r="AN401" s="3">
        <v>372.9</v>
      </c>
      <c r="AO401" s="3">
        <v>172.2</v>
      </c>
      <c r="AP401" s="3">
        <v>274.3</v>
      </c>
      <c r="AQ401" s="3">
        <v>375.7</v>
      </c>
      <c r="AR401" s="3">
        <v>202.9</v>
      </c>
      <c r="AS401" s="3">
        <v>830.9</v>
      </c>
      <c r="AT401" s="3">
        <v>603.9</v>
      </c>
      <c r="AU401" s="3">
        <v>378.2</v>
      </c>
      <c r="AV401" s="3">
        <v>236.7</v>
      </c>
      <c r="AW401" s="3">
        <v>401.9</v>
      </c>
      <c r="AX401" s="3">
        <v>399.1</v>
      </c>
      <c r="AY401" s="3">
        <v>522.9</v>
      </c>
      <c r="AZ401" s="3">
        <v>383.5</v>
      </c>
      <c r="BA401" s="3">
        <v>244.9</v>
      </c>
      <c r="BB401" s="3">
        <v>453.9</v>
      </c>
      <c r="BC401" s="3">
        <v>358.7</v>
      </c>
      <c r="BD401" s="3">
        <v>378.8</v>
      </c>
      <c r="BE401" s="3">
        <v>333.2</v>
      </c>
      <c r="BF401" s="3">
        <v>310.89999999999998</v>
      </c>
      <c r="BG401" s="3">
        <v>282.8</v>
      </c>
      <c r="BH401" s="3">
        <v>251.1</v>
      </c>
      <c r="BI401" s="3">
        <v>78</v>
      </c>
      <c r="BJ401" s="3">
        <v>207.7</v>
      </c>
      <c r="BK401" s="3">
        <v>215.8</v>
      </c>
      <c r="BL401" s="3">
        <v>255.4</v>
      </c>
      <c r="BM401" s="3">
        <v>461.8</v>
      </c>
      <c r="BN401" s="3">
        <v>117.1</v>
      </c>
      <c r="BO401" s="3">
        <v>435.3</v>
      </c>
      <c r="BP401" s="3">
        <v>509.9</v>
      </c>
      <c r="BQ401" s="3">
        <v>190.1</v>
      </c>
      <c r="BR401" s="3">
        <v>157.4</v>
      </c>
      <c r="BS401" s="3">
        <v>186.9</v>
      </c>
      <c r="BT401" s="3">
        <v>238.5</v>
      </c>
      <c r="BU401" s="3">
        <v>157.80000000000001</v>
      </c>
      <c r="BV401" s="3">
        <v>205.1</v>
      </c>
      <c r="BW401" s="3">
        <v>230.2</v>
      </c>
      <c r="BX401" s="3">
        <v>556.5</v>
      </c>
      <c r="BY401" s="3">
        <v>98</v>
      </c>
      <c r="BZ401" s="3">
        <v>467.5</v>
      </c>
      <c r="CA401" s="3">
        <v>323.60000000000002</v>
      </c>
      <c r="CB401" s="3">
        <v>928.5</v>
      </c>
      <c r="CC401" s="3">
        <v>444.5</v>
      </c>
      <c r="CD401" s="3">
        <v>497.1</v>
      </c>
      <c r="CE401" s="3">
        <v>388.4</v>
      </c>
      <c r="CF401" s="3">
        <v>6.6</v>
      </c>
      <c r="CG401" s="3">
        <v>133.6</v>
      </c>
      <c r="CH401" s="3">
        <v>95.6</v>
      </c>
      <c r="CI401" s="3">
        <v>460.7</v>
      </c>
      <c r="CJ401" s="3">
        <v>192.3</v>
      </c>
      <c r="CK401" s="3">
        <v>230.2</v>
      </c>
      <c r="CL401" s="3">
        <v>606.20000000000005</v>
      </c>
      <c r="CM401" s="3">
        <v>284.60000000000002</v>
      </c>
      <c r="CN401" s="3">
        <v>264.89999999999998</v>
      </c>
    </row>
    <row r="402" spans="1:92" x14ac:dyDescent="0.25">
      <c r="A402" s="4">
        <v>43952</v>
      </c>
      <c r="B402" s="3">
        <v>220.5</v>
      </c>
      <c r="C402" s="3">
        <v>213.3</v>
      </c>
      <c r="D402" s="3">
        <v>284.8</v>
      </c>
      <c r="E402" s="3">
        <v>206.7</v>
      </c>
      <c r="F402" s="3">
        <v>327.2</v>
      </c>
      <c r="G402" s="3">
        <v>358.7</v>
      </c>
      <c r="H402" s="3">
        <v>227.3</v>
      </c>
      <c r="I402" s="3">
        <v>209.6</v>
      </c>
      <c r="J402" s="3">
        <v>119.9</v>
      </c>
      <c r="K402" s="3">
        <v>194.9</v>
      </c>
      <c r="L402" s="3">
        <v>278.39999999999998</v>
      </c>
      <c r="M402" s="3">
        <v>273.3</v>
      </c>
      <c r="N402" s="3">
        <v>279.2</v>
      </c>
      <c r="O402" s="3">
        <v>372.2</v>
      </c>
      <c r="P402" s="3">
        <v>218</v>
      </c>
      <c r="Q402" s="3">
        <v>239.7</v>
      </c>
      <c r="R402" s="3">
        <v>204.1</v>
      </c>
      <c r="S402" s="3">
        <v>238.4</v>
      </c>
      <c r="T402" s="3">
        <v>190.4</v>
      </c>
      <c r="U402" s="3">
        <v>236.6</v>
      </c>
      <c r="V402" s="3">
        <v>185</v>
      </c>
      <c r="W402" s="3">
        <v>279.2</v>
      </c>
      <c r="X402" s="3">
        <v>200.9</v>
      </c>
      <c r="Y402" s="3">
        <v>302</v>
      </c>
      <c r="Z402" s="3">
        <v>240.8</v>
      </c>
      <c r="AA402" s="3">
        <v>218.6</v>
      </c>
      <c r="AB402" s="3">
        <v>233.5</v>
      </c>
      <c r="AC402" s="3">
        <v>183.4</v>
      </c>
      <c r="AD402" s="3">
        <v>158.6</v>
      </c>
      <c r="AE402" s="3">
        <v>270.39999999999998</v>
      </c>
      <c r="AF402" s="3">
        <v>226.3</v>
      </c>
      <c r="AG402" s="3">
        <v>214.3</v>
      </c>
      <c r="AH402" s="3">
        <v>290.2</v>
      </c>
      <c r="AI402" s="3">
        <v>198</v>
      </c>
      <c r="AJ402" s="3">
        <v>360.9</v>
      </c>
      <c r="AK402" s="3">
        <v>408.2</v>
      </c>
      <c r="AL402" s="3">
        <v>362.7</v>
      </c>
      <c r="AM402" s="3">
        <v>329.8</v>
      </c>
      <c r="AN402" s="3">
        <v>372.7</v>
      </c>
      <c r="AO402" s="3">
        <v>172.9</v>
      </c>
      <c r="AP402" s="3">
        <v>275.3</v>
      </c>
      <c r="AQ402" s="3">
        <v>375.5</v>
      </c>
      <c r="AR402" s="3">
        <v>204.8</v>
      </c>
      <c r="AS402" s="3">
        <v>832.5</v>
      </c>
      <c r="AT402" s="3">
        <v>592.5</v>
      </c>
      <c r="AU402" s="3">
        <v>378.8</v>
      </c>
      <c r="AV402" s="3">
        <v>223.6</v>
      </c>
      <c r="AW402" s="3">
        <v>402.9</v>
      </c>
      <c r="AX402" s="3">
        <v>399.1</v>
      </c>
      <c r="AY402" s="3">
        <v>522.9</v>
      </c>
      <c r="AZ402" s="3">
        <v>384.8</v>
      </c>
      <c r="BA402" s="3">
        <v>247.5</v>
      </c>
      <c r="BB402" s="3">
        <v>453.3</v>
      </c>
      <c r="BC402" s="3">
        <v>358.7</v>
      </c>
      <c r="BD402" s="3">
        <v>378.8</v>
      </c>
      <c r="BE402" s="3">
        <v>333.2</v>
      </c>
      <c r="BF402" s="3">
        <v>298.2</v>
      </c>
      <c r="BG402" s="3">
        <v>284.3</v>
      </c>
      <c r="BH402" s="3">
        <v>253.3</v>
      </c>
      <c r="BI402" s="3">
        <v>78</v>
      </c>
      <c r="BJ402" s="3">
        <v>210.8</v>
      </c>
      <c r="BK402" s="3">
        <v>216.8</v>
      </c>
      <c r="BL402" s="3">
        <v>255.6</v>
      </c>
      <c r="BM402" s="3">
        <v>461.8</v>
      </c>
      <c r="BN402" s="3">
        <v>118</v>
      </c>
      <c r="BO402" s="3">
        <v>436</v>
      </c>
      <c r="BP402" s="3">
        <v>507.2</v>
      </c>
      <c r="BQ402" s="3">
        <v>188.7</v>
      </c>
      <c r="BR402" s="3">
        <v>161.80000000000001</v>
      </c>
      <c r="BS402" s="3">
        <v>186.6</v>
      </c>
      <c r="BT402" s="3">
        <v>241.2</v>
      </c>
      <c r="BU402" s="3">
        <v>158</v>
      </c>
      <c r="BV402" s="3">
        <v>204.9</v>
      </c>
      <c r="BW402" s="3">
        <v>230.4</v>
      </c>
      <c r="BX402" s="3">
        <v>556.20000000000005</v>
      </c>
      <c r="BY402" s="3">
        <v>98.4</v>
      </c>
      <c r="BZ402" s="3">
        <v>466</v>
      </c>
      <c r="CA402" s="3">
        <v>313.5</v>
      </c>
      <c r="CB402" s="3">
        <v>928.4</v>
      </c>
      <c r="CC402" s="3">
        <v>432.1</v>
      </c>
      <c r="CD402" s="3">
        <v>497</v>
      </c>
      <c r="CE402" s="3">
        <v>372.9</v>
      </c>
      <c r="CF402" s="3">
        <v>6.7</v>
      </c>
      <c r="CG402" s="3">
        <v>127.4</v>
      </c>
      <c r="CH402" s="3">
        <v>95.3</v>
      </c>
      <c r="CI402" s="3">
        <v>463</v>
      </c>
      <c r="CJ402" s="3">
        <v>192.7</v>
      </c>
      <c r="CK402" s="3">
        <v>230.2</v>
      </c>
      <c r="CL402" s="3">
        <v>611</v>
      </c>
      <c r="CM402" s="3">
        <v>284.5</v>
      </c>
      <c r="CN402" s="3">
        <v>267.8</v>
      </c>
    </row>
    <row r="403" spans="1:92" x14ac:dyDescent="0.25">
      <c r="A403" s="4">
        <v>43983</v>
      </c>
      <c r="B403" s="3">
        <v>218.9</v>
      </c>
      <c r="C403" s="3">
        <v>217.4</v>
      </c>
      <c r="D403" s="3">
        <v>275.39999999999998</v>
      </c>
      <c r="E403" s="3">
        <v>213.9</v>
      </c>
      <c r="F403" s="3">
        <v>325</v>
      </c>
      <c r="G403" s="3">
        <v>356.2</v>
      </c>
      <c r="H403" s="3">
        <v>229.9</v>
      </c>
      <c r="I403" s="3">
        <v>210</v>
      </c>
      <c r="J403" s="3">
        <v>120</v>
      </c>
      <c r="K403" s="3">
        <v>194.1</v>
      </c>
      <c r="L403" s="3">
        <v>278.60000000000002</v>
      </c>
      <c r="M403" s="3">
        <v>272.60000000000002</v>
      </c>
      <c r="N403" s="3">
        <v>280.2</v>
      </c>
      <c r="O403" s="3">
        <v>366.8</v>
      </c>
      <c r="P403" s="3">
        <v>211.1</v>
      </c>
      <c r="Q403" s="3">
        <v>242.9</v>
      </c>
      <c r="R403" s="3">
        <v>205</v>
      </c>
      <c r="S403" s="3">
        <v>236.9</v>
      </c>
      <c r="T403" s="3">
        <v>193.4</v>
      </c>
      <c r="U403" s="3">
        <v>228.9</v>
      </c>
      <c r="V403" s="3">
        <v>180.9</v>
      </c>
      <c r="W403" s="3">
        <v>281.2</v>
      </c>
      <c r="X403" s="3">
        <v>200.9</v>
      </c>
      <c r="Y403" s="3">
        <v>296.2</v>
      </c>
      <c r="Z403" s="3">
        <v>228.9</v>
      </c>
      <c r="AA403" s="3">
        <v>209.8</v>
      </c>
      <c r="AB403" s="3">
        <v>221.2</v>
      </c>
      <c r="AC403" s="3">
        <v>182.2</v>
      </c>
      <c r="AD403" s="3">
        <v>157.5</v>
      </c>
      <c r="AE403" s="3">
        <v>269.2</v>
      </c>
      <c r="AF403" s="3">
        <v>227.6</v>
      </c>
      <c r="AG403" s="3">
        <v>215.9</v>
      </c>
      <c r="AH403" s="3">
        <v>290.10000000000002</v>
      </c>
      <c r="AI403" s="3">
        <v>200.3</v>
      </c>
      <c r="AJ403" s="3">
        <v>356.5</v>
      </c>
      <c r="AK403" s="3">
        <v>408.8</v>
      </c>
      <c r="AL403" s="3">
        <v>364.7</v>
      </c>
      <c r="AM403" s="3">
        <v>330.1</v>
      </c>
      <c r="AN403" s="3">
        <v>373.2</v>
      </c>
      <c r="AO403" s="3">
        <v>172.8</v>
      </c>
      <c r="AP403" s="3">
        <v>274.7</v>
      </c>
      <c r="AQ403" s="3">
        <v>376</v>
      </c>
      <c r="AR403" s="3">
        <v>203.3</v>
      </c>
      <c r="AS403" s="3">
        <v>832.8</v>
      </c>
      <c r="AT403" s="3">
        <v>586.1</v>
      </c>
      <c r="AU403" s="3">
        <v>379.1</v>
      </c>
      <c r="AV403" s="3">
        <v>220.5</v>
      </c>
      <c r="AW403" s="3">
        <v>403.5</v>
      </c>
      <c r="AX403" s="3">
        <v>399.1</v>
      </c>
      <c r="AY403" s="3">
        <v>522.9</v>
      </c>
      <c r="AZ403" s="3">
        <v>384.9</v>
      </c>
      <c r="BA403" s="3">
        <v>245.3</v>
      </c>
      <c r="BB403" s="3">
        <v>451.6</v>
      </c>
      <c r="BC403" s="3">
        <v>358.4</v>
      </c>
      <c r="BD403" s="3">
        <v>378.8</v>
      </c>
      <c r="BE403" s="3">
        <v>333.2</v>
      </c>
      <c r="BF403" s="3">
        <v>330.9</v>
      </c>
      <c r="BG403" s="3">
        <v>292.60000000000002</v>
      </c>
      <c r="BH403" s="3">
        <v>257.10000000000002</v>
      </c>
      <c r="BI403" s="3">
        <v>77.8</v>
      </c>
      <c r="BJ403" s="3">
        <v>213.5</v>
      </c>
      <c r="BK403" s="3">
        <v>215.8</v>
      </c>
      <c r="BL403" s="3">
        <v>252.4</v>
      </c>
      <c r="BM403" s="3">
        <v>461.8</v>
      </c>
      <c r="BN403" s="3">
        <v>118.5</v>
      </c>
      <c r="BO403" s="3">
        <v>437</v>
      </c>
      <c r="BP403" s="3">
        <v>505.9</v>
      </c>
      <c r="BQ403" s="3">
        <v>194.6</v>
      </c>
      <c r="BR403" s="3">
        <v>161.6</v>
      </c>
      <c r="BS403" s="3">
        <v>186.7</v>
      </c>
      <c r="BT403" s="3">
        <v>242.2</v>
      </c>
      <c r="BU403" s="3">
        <v>157.1</v>
      </c>
      <c r="BV403" s="3">
        <v>209</v>
      </c>
      <c r="BW403" s="3">
        <v>229.3</v>
      </c>
      <c r="BX403" s="3">
        <v>556.70000000000005</v>
      </c>
      <c r="BY403" s="3">
        <v>98.3</v>
      </c>
      <c r="BZ403" s="3">
        <v>465.4</v>
      </c>
      <c r="CA403" s="3">
        <v>316.10000000000002</v>
      </c>
      <c r="CB403" s="3">
        <v>929.2</v>
      </c>
      <c r="CC403" s="3">
        <v>438.7</v>
      </c>
      <c r="CD403" s="3">
        <v>497.2</v>
      </c>
      <c r="CE403" s="3">
        <v>385.9</v>
      </c>
      <c r="CF403" s="3">
        <v>6.7</v>
      </c>
      <c r="CG403" s="3">
        <v>129.69999999999999</v>
      </c>
      <c r="CH403" s="3">
        <v>95.2</v>
      </c>
      <c r="CI403" s="3">
        <v>468.8</v>
      </c>
      <c r="CJ403" s="3">
        <v>193.5</v>
      </c>
      <c r="CK403" s="3">
        <v>230.2</v>
      </c>
      <c r="CL403" s="3">
        <v>613.5</v>
      </c>
      <c r="CM403" s="3">
        <v>284.89999999999998</v>
      </c>
      <c r="CN403" s="3">
        <v>266.60000000000002</v>
      </c>
    </row>
    <row r="404" spans="1:92" x14ac:dyDescent="0.25">
      <c r="A404" s="4">
        <v>44013</v>
      </c>
      <c r="B404" s="3">
        <v>218.5</v>
      </c>
      <c r="C404" s="3">
        <v>217.6</v>
      </c>
      <c r="D404" s="3">
        <v>282.60000000000002</v>
      </c>
      <c r="E404" s="3">
        <v>210.7</v>
      </c>
      <c r="F404" s="3">
        <v>318.39999999999998</v>
      </c>
      <c r="G404" s="3">
        <v>349</v>
      </c>
      <c r="H404" s="3">
        <v>230.1</v>
      </c>
      <c r="I404" s="3">
        <v>209.6</v>
      </c>
      <c r="J404" s="3">
        <v>120</v>
      </c>
      <c r="K404" s="3">
        <v>193.6</v>
      </c>
      <c r="L404" s="3">
        <v>275.3</v>
      </c>
      <c r="M404" s="3">
        <v>270.3</v>
      </c>
      <c r="N404" s="3">
        <v>276.2</v>
      </c>
      <c r="O404" s="3">
        <v>376.5</v>
      </c>
      <c r="P404" s="3">
        <v>224.8</v>
      </c>
      <c r="Q404" s="3">
        <v>238.8</v>
      </c>
      <c r="R404" s="3">
        <v>205.6</v>
      </c>
      <c r="S404" s="3">
        <v>236.1</v>
      </c>
      <c r="T404" s="3">
        <v>192.1</v>
      </c>
      <c r="U404" s="3">
        <v>236.6</v>
      </c>
      <c r="V404" s="3">
        <v>190</v>
      </c>
      <c r="W404" s="3">
        <v>276.60000000000002</v>
      </c>
      <c r="X404" s="3">
        <v>199.2</v>
      </c>
      <c r="Y404" s="3">
        <v>295.89999999999998</v>
      </c>
      <c r="Z404" s="3">
        <v>229.4</v>
      </c>
      <c r="AA404" s="3">
        <v>207.4</v>
      </c>
      <c r="AB404" s="3">
        <v>222.7</v>
      </c>
      <c r="AC404" s="3">
        <v>181</v>
      </c>
      <c r="AD404" s="3">
        <v>156.6</v>
      </c>
      <c r="AE404" s="3">
        <v>266.8</v>
      </c>
      <c r="AF404" s="3">
        <v>222.5</v>
      </c>
      <c r="AG404" s="3">
        <v>210.5</v>
      </c>
      <c r="AH404" s="3">
        <v>286.2</v>
      </c>
      <c r="AI404" s="3">
        <v>198.8</v>
      </c>
      <c r="AJ404" s="3">
        <v>357.5</v>
      </c>
      <c r="AK404" s="3">
        <v>411.3</v>
      </c>
      <c r="AL404" s="3">
        <v>365.6</v>
      </c>
      <c r="AM404" s="3">
        <v>334.8</v>
      </c>
      <c r="AN404" s="3">
        <v>379.2</v>
      </c>
      <c r="AO404" s="3">
        <v>174.3</v>
      </c>
      <c r="AP404" s="3">
        <v>277.5</v>
      </c>
      <c r="AQ404" s="3">
        <v>382.3</v>
      </c>
      <c r="AR404" s="3">
        <v>203.7</v>
      </c>
      <c r="AS404" s="3">
        <v>836.3</v>
      </c>
      <c r="AT404" s="3">
        <v>590.9</v>
      </c>
      <c r="AU404" s="3">
        <v>380.8</v>
      </c>
      <c r="AV404" s="3">
        <v>221.3</v>
      </c>
      <c r="AW404" s="3">
        <v>406.4</v>
      </c>
      <c r="AX404" s="3">
        <v>399.1</v>
      </c>
      <c r="AY404" s="3">
        <v>522.9</v>
      </c>
      <c r="AZ404" s="3">
        <v>384.9</v>
      </c>
      <c r="BA404" s="3">
        <v>245.5</v>
      </c>
      <c r="BB404" s="3">
        <v>452.1</v>
      </c>
      <c r="BC404" s="3">
        <v>359.8</v>
      </c>
      <c r="BD404" s="3">
        <v>378.4</v>
      </c>
      <c r="BE404" s="3">
        <v>333.2</v>
      </c>
      <c r="BF404" s="3">
        <v>332.8</v>
      </c>
      <c r="BG404" s="3">
        <v>287</v>
      </c>
      <c r="BH404" s="3">
        <v>256</v>
      </c>
      <c r="BI404" s="3">
        <v>78.599999999999994</v>
      </c>
      <c r="BJ404" s="3">
        <v>215.4</v>
      </c>
      <c r="BK404" s="3">
        <v>212.6</v>
      </c>
      <c r="BL404" s="3">
        <v>252</v>
      </c>
      <c r="BM404" s="3">
        <v>461.8</v>
      </c>
      <c r="BN404" s="3">
        <v>119</v>
      </c>
      <c r="BO404" s="3">
        <v>439.6</v>
      </c>
      <c r="BP404" s="3">
        <v>506.9</v>
      </c>
      <c r="BQ404" s="3">
        <v>194.5</v>
      </c>
      <c r="BR404" s="3">
        <v>158</v>
      </c>
      <c r="BS404" s="3">
        <v>188.3</v>
      </c>
      <c r="BT404" s="3">
        <v>242.4</v>
      </c>
      <c r="BU404" s="3">
        <v>158.6</v>
      </c>
      <c r="BV404" s="3">
        <v>209</v>
      </c>
      <c r="BW404" s="3">
        <v>228.6</v>
      </c>
      <c r="BX404" s="3">
        <v>574</v>
      </c>
      <c r="BY404" s="3">
        <v>98</v>
      </c>
      <c r="BZ404" s="3">
        <v>462.6</v>
      </c>
      <c r="CA404" s="3">
        <v>329.5</v>
      </c>
      <c r="CB404" s="3">
        <v>908.3</v>
      </c>
      <c r="CC404" s="3">
        <v>433.6</v>
      </c>
      <c r="CD404" s="3">
        <v>534.79999999999995</v>
      </c>
      <c r="CE404" s="3">
        <v>412.7</v>
      </c>
      <c r="CF404" s="3">
        <v>6.7</v>
      </c>
      <c r="CG404" s="3">
        <v>127.3</v>
      </c>
      <c r="CH404" s="3">
        <v>96.5</v>
      </c>
      <c r="CI404" s="3">
        <v>475.8</v>
      </c>
      <c r="CJ404" s="3">
        <v>192</v>
      </c>
      <c r="CK404" s="3">
        <v>230.2</v>
      </c>
      <c r="CL404" s="3">
        <v>616.5</v>
      </c>
      <c r="CM404" s="3">
        <v>292.5</v>
      </c>
      <c r="CN404" s="3">
        <v>270.10000000000002</v>
      </c>
    </row>
    <row r="405" spans="1:92" x14ac:dyDescent="0.25">
      <c r="A405" s="4">
        <v>44044</v>
      </c>
      <c r="B405" s="3">
        <v>222.6</v>
      </c>
      <c r="C405" s="3">
        <v>214.9</v>
      </c>
      <c r="D405" s="3">
        <v>274.8</v>
      </c>
      <c r="E405" s="3">
        <v>210.5</v>
      </c>
      <c r="F405" s="3">
        <v>318.10000000000002</v>
      </c>
      <c r="G405" s="3">
        <v>348.6</v>
      </c>
      <c r="H405" s="3">
        <v>227</v>
      </c>
      <c r="I405" s="3">
        <v>210.2</v>
      </c>
      <c r="J405" s="3">
        <v>119.1</v>
      </c>
      <c r="K405" s="3">
        <v>195.8</v>
      </c>
      <c r="L405" s="3">
        <v>277.89999999999998</v>
      </c>
      <c r="M405" s="3">
        <v>275.8</v>
      </c>
      <c r="N405" s="3">
        <v>275.89999999999998</v>
      </c>
      <c r="O405" s="3">
        <v>364.8</v>
      </c>
      <c r="P405" s="3">
        <v>202.9</v>
      </c>
      <c r="Q405" s="3">
        <v>240.5</v>
      </c>
      <c r="R405" s="3">
        <v>206.6</v>
      </c>
      <c r="S405" s="3">
        <v>238.1</v>
      </c>
      <c r="T405" s="3">
        <v>196.3</v>
      </c>
      <c r="U405" s="3">
        <v>217</v>
      </c>
      <c r="V405" s="3">
        <v>173</v>
      </c>
      <c r="W405" s="3">
        <v>281.60000000000002</v>
      </c>
      <c r="X405" s="3">
        <v>197.9</v>
      </c>
      <c r="Y405" s="3">
        <v>304.5</v>
      </c>
      <c r="Z405" s="3">
        <v>236.6</v>
      </c>
      <c r="AA405" s="3">
        <v>203.9</v>
      </c>
      <c r="AB405" s="3">
        <v>233.2</v>
      </c>
      <c r="AC405" s="3">
        <v>179</v>
      </c>
      <c r="AD405" s="3">
        <v>155.69999999999999</v>
      </c>
      <c r="AE405" s="3">
        <v>259.8</v>
      </c>
      <c r="AF405" s="3">
        <v>223.9</v>
      </c>
      <c r="AG405" s="3">
        <v>211.8</v>
      </c>
      <c r="AH405" s="3">
        <v>288</v>
      </c>
      <c r="AI405" s="3">
        <v>198</v>
      </c>
      <c r="AJ405" s="3">
        <v>305.3</v>
      </c>
      <c r="AK405" s="3">
        <v>378.7</v>
      </c>
      <c r="AL405" s="3">
        <v>357</v>
      </c>
      <c r="AM405" s="3">
        <v>333</v>
      </c>
      <c r="AN405" s="3">
        <v>379</v>
      </c>
      <c r="AO405" s="3">
        <v>170.8</v>
      </c>
      <c r="AP405" s="3">
        <v>275.39999999999998</v>
      </c>
      <c r="AQ405" s="3">
        <v>380.2</v>
      </c>
      <c r="AR405" s="3">
        <v>201.5</v>
      </c>
      <c r="AS405" s="3">
        <v>834.7</v>
      </c>
      <c r="AT405" s="3">
        <v>620</v>
      </c>
      <c r="AU405" s="3">
        <v>381.2</v>
      </c>
      <c r="AV405" s="3">
        <v>221</v>
      </c>
      <c r="AW405" s="3">
        <v>408.6</v>
      </c>
      <c r="AX405" s="3">
        <v>399.1</v>
      </c>
      <c r="AY405" s="3">
        <v>522.9</v>
      </c>
      <c r="AZ405" s="3">
        <v>386</v>
      </c>
      <c r="BA405" s="3">
        <v>246.1</v>
      </c>
      <c r="BB405" s="3">
        <v>450.4</v>
      </c>
      <c r="BC405" s="3">
        <v>356.7</v>
      </c>
      <c r="BD405" s="3">
        <v>378.4</v>
      </c>
      <c r="BE405" s="3">
        <v>333.2</v>
      </c>
      <c r="BF405" s="3">
        <v>331.5</v>
      </c>
      <c r="BG405" s="3">
        <v>287.7</v>
      </c>
      <c r="BH405" s="3">
        <v>256.7</v>
      </c>
      <c r="BI405" s="3">
        <v>78.599999999999994</v>
      </c>
      <c r="BJ405" s="3">
        <v>215.6</v>
      </c>
      <c r="BK405" s="3">
        <v>213.9</v>
      </c>
      <c r="BL405" s="3">
        <v>251</v>
      </c>
      <c r="BM405" s="3">
        <v>461.8</v>
      </c>
      <c r="BN405" s="3">
        <v>118.8</v>
      </c>
      <c r="BO405" s="3">
        <v>439.4</v>
      </c>
      <c r="BP405" s="3">
        <v>510.3</v>
      </c>
      <c r="BQ405" s="3">
        <v>195.6</v>
      </c>
      <c r="BR405" s="3">
        <v>158.69999999999999</v>
      </c>
      <c r="BS405" s="3">
        <v>192.5</v>
      </c>
      <c r="BT405" s="3">
        <v>240.7</v>
      </c>
      <c r="BU405" s="3">
        <v>159.6</v>
      </c>
      <c r="BV405" s="3">
        <v>210</v>
      </c>
      <c r="BW405" s="3">
        <v>228.5</v>
      </c>
      <c r="BX405" s="3">
        <v>569.70000000000005</v>
      </c>
      <c r="BY405" s="3">
        <v>98.7</v>
      </c>
      <c r="BZ405" s="3">
        <v>465.9</v>
      </c>
      <c r="CA405" s="3">
        <v>333.8</v>
      </c>
      <c r="CB405" s="3">
        <v>910.2</v>
      </c>
      <c r="CC405" s="3">
        <v>432.7</v>
      </c>
      <c r="CD405" s="3">
        <v>606</v>
      </c>
      <c r="CE405" s="3">
        <v>410.9</v>
      </c>
      <c r="CF405" s="3">
        <v>6.8</v>
      </c>
      <c r="CG405" s="3">
        <v>126.9</v>
      </c>
      <c r="CH405" s="3">
        <v>95.6</v>
      </c>
      <c r="CI405" s="3">
        <v>484.6</v>
      </c>
      <c r="CJ405" s="3">
        <v>188.1</v>
      </c>
      <c r="CK405" s="3">
        <v>230.2</v>
      </c>
      <c r="CL405" s="3">
        <v>617.70000000000005</v>
      </c>
      <c r="CM405" s="3">
        <v>291.10000000000002</v>
      </c>
      <c r="CN405" s="3">
        <v>272.39999999999998</v>
      </c>
    </row>
    <row r="406" spans="1:92" x14ac:dyDescent="0.25">
      <c r="A406" s="4">
        <v>44075</v>
      </c>
      <c r="B406" s="3">
        <v>223.7</v>
      </c>
      <c r="C406" s="3">
        <v>210</v>
      </c>
      <c r="D406" s="3">
        <v>273.60000000000002</v>
      </c>
      <c r="E406" s="3">
        <v>208.5</v>
      </c>
      <c r="F406" s="3">
        <v>324</v>
      </c>
      <c r="G406" s="3">
        <v>355.1</v>
      </c>
      <c r="H406" s="3">
        <v>233.6</v>
      </c>
      <c r="I406" s="3">
        <v>209.1</v>
      </c>
      <c r="J406" s="3">
        <v>118.1</v>
      </c>
      <c r="K406" s="3">
        <v>193.4</v>
      </c>
      <c r="L406" s="3">
        <v>274.10000000000002</v>
      </c>
      <c r="M406" s="3">
        <v>269.8</v>
      </c>
      <c r="N406" s="3">
        <v>274.2</v>
      </c>
      <c r="O406" s="3">
        <v>361.3</v>
      </c>
      <c r="P406" s="3">
        <v>197.4</v>
      </c>
      <c r="Q406" s="3">
        <v>232</v>
      </c>
      <c r="R406" s="3">
        <v>206.3</v>
      </c>
      <c r="S406" s="3">
        <v>237.2</v>
      </c>
      <c r="T406" s="3">
        <v>186.1</v>
      </c>
      <c r="U406" s="3">
        <v>217.7</v>
      </c>
      <c r="V406" s="3">
        <v>175.2</v>
      </c>
      <c r="W406" s="3">
        <v>282.5</v>
      </c>
      <c r="X406" s="3">
        <v>197.4</v>
      </c>
      <c r="Y406" s="3">
        <v>302.89999999999998</v>
      </c>
      <c r="Z406" s="3">
        <v>230.7</v>
      </c>
      <c r="AA406" s="3">
        <v>198</v>
      </c>
      <c r="AB406" s="3">
        <v>227.7</v>
      </c>
      <c r="AC406" s="3">
        <v>177.3</v>
      </c>
      <c r="AD406" s="3">
        <v>154</v>
      </c>
      <c r="AE406" s="3">
        <v>257.8</v>
      </c>
      <c r="AF406" s="3">
        <v>222.7</v>
      </c>
      <c r="AG406" s="3">
        <v>210.8</v>
      </c>
      <c r="AH406" s="3">
        <v>285.7</v>
      </c>
      <c r="AI406" s="3">
        <v>198.2</v>
      </c>
      <c r="AJ406" s="3">
        <v>348.8</v>
      </c>
      <c r="AK406" s="3">
        <v>408.3</v>
      </c>
      <c r="AL406" s="3">
        <v>361.4</v>
      </c>
      <c r="AM406" s="3">
        <v>332.9</v>
      </c>
      <c r="AN406" s="3">
        <v>379.5</v>
      </c>
      <c r="AO406" s="3">
        <v>169.7</v>
      </c>
      <c r="AP406" s="3">
        <v>274.10000000000002</v>
      </c>
      <c r="AQ406" s="3">
        <v>376.9</v>
      </c>
      <c r="AR406" s="3">
        <v>201.7</v>
      </c>
      <c r="AS406" s="3">
        <v>836.3</v>
      </c>
      <c r="AT406" s="3">
        <v>625.9</v>
      </c>
      <c r="AU406" s="3">
        <v>381.7</v>
      </c>
      <c r="AV406" s="3">
        <v>221</v>
      </c>
      <c r="AW406" s="3">
        <v>412.1</v>
      </c>
      <c r="AX406" s="3">
        <v>399.1</v>
      </c>
      <c r="AY406" s="3">
        <v>522.9</v>
      </c>
      <c r="AZ406" s="3">
        <v>385.7</v>
      </c>
      <c r="BA406" s="3">
        <v>246.6</v>
      </c>
      <c r="BB406" s="3">
        <v>451.4</v>
      </c>
      <c r="BC406" s="3">
        <v>360.2</v>
      </c>
      <c r="BD406" s="3">
        <v>378.4</v>
      </c>
      <c r="BE406" s="3">
        <v>333.2</v>
      </c>
      <c r="BF406" s="3">
        <v>322.3</v>
      </c>
      <c r="BG406" s="3">
        <v>292.39999999999998</v>
      </c>
      <c r="BH406" s="3">
        <v>258.5</v>
      </c>
      <c r="BI406" s="3">
        <v>79.8</v>
      </c>
      <c r="BJ406" s="3">
        <v>207.4</v>
      </c>
      <c r="BK406" s="3">
        <v>210.9</v>
      </c>
      <c r="BL406" s="3">
        <v>251.9</v>
      </c>
      <c r="BM406" s="3">
        <v>462.9</v>
      </c>
      <c r="BN406" s="3">
        <v>119.2</v>
      </c>
      <c r="BO406" s="3">
        <v>440.5</v>
      </c>
      <c r="BP406" s="3">
        <v>513.20000000000005</v>
      </c>
      <c r="BQ406" s="3">
        <v>201.9</v>
      </c>
      <c r="BR406" s="3">
        <v>166.3</v>
      </c>
      <c r="BS406" s="3">
        <v>195.7</v>
      </c>
      <c r="BT406" s="3">
        <v>243.8</v>
      </c>
      <c r="BU406" s="3">
        <v>161.4</v>
      </c>
      <c r="BV406" s="3">
        <v>211.2</v>
      </c>
      <c r="BW406" s="3">
        <v>226.9</v>
      </c>
      <c r="BX406" s="3">
        <v>569.9</v>
      </c>
      <c r="BY406" s="3">
        <v>99.9</v>
      </c>
      <c r="BZ406" s="3">
        <v>468.7</v>
      </c>
      <c r="CA406" s="3">
        <v>334.5</v>
      </c>
      <c r="CB406" s="3">
        <v>905.5</v>
      </c>
      <c r="CC406" s="3">
        <v>433.6</v>
      </c>
      <c r="CD406" s="3">
        <v>588.29999999999995</v>
      </c>
      <c r="CE406" s="3">
        <v>356.1</v>
      </c>
      <c r="CF406" s="3">
        <v>6.9</v>
      </c>
      <c r="CG406" s="3">
        <v>128.4</v>
      </c>
      <c r="CH406" s="3">
        <v>94.8</v>
      </c>
      <c r="CI406" s="3">
        <v>502.1</v>
      </c>
      <c r="CJ406" s="3">
        <v>192.3</v>
      </c>
      <c r="CK406" s="3">
        <v>230.2</v>
      </c>
      <c r="CL406" s="3">
        <v>620.20000000000005</v>
      </c>
      <c r="CM406" s="3">
        <v>290.39999999999998</v>
      </c>
      <c r="CN406" s="3">
        <v>268.60000000000002</v>
      </c>
    </row>
    <row r="407" spans="1:92" x14ac:dyDescent="0.25">
      <c r="A407" s="4">
        <v>44105</v>
      </c>
      <c r="B407" s="3">
        <v>223.8</v>
      </c>
      <c r="C407" s="3">
        <v>208.4</v>
      </c>
      <c r="D407" s="3">
        <v>287.8</v>
      </c>
      <c r="E407" s="3">
        <v>208.9</v>
      </c>
      <c r="F407" s="3">
        <v>320.10000000000002</v>
      </c>
      <c r="G407" s="3">
        <v>350.9</v>
      </c>
      <c r="H407" s="3">
        <v>226.5</v>
      </c>
      <c r="I407" s="3">
        <v>206.2</v>
      </c>
      <c r="J407" s="3">
        <v>117.6</v>
      </c>
      <c r="K407" s="3">
        <v>193.6</v>
      </c>
      <c r="L407" s="3">
        <v>269.89999999999998</v>
      </c>
      <c r="M407" s="3">
        <v>266.5</v>
      </c>
      <c r="N407" s="3">
        <v>269.3</v>
      </c>
      <c r="O407" s="3">
        <v>356.7</v>
      </c>
      <c r="P407" s="3">
        <v>189.5</v>
      </c>
      <c r="Q407" s="3">
        <v>232.3</v>
      </c>
      <c r="R407" s="3">
        <v>202.8</v>
      </c>
      <c r="S407" s="3">
        <v>237.6</v>
      </c>
      <c r="T407" s="3">
        <v>190.1</v>
      </c>
      <c r="U407" s="3">
        <v>224.3</v>
      </c>
      <c r="V407" s="3">
        <v>173.5</v>
      </c>
      <c r="W407" s="3">
        <v>282.60000000000002</v>
      </c>
      <c r="X407" s="3">
        <v>196.2</v>
      </c>
      <c r="Y407" s="3">
        <v>301</v>
      </c>
      <c r="Z407" s="3">
        <v>230.4</v>
      </c>
      <c r="AA407" s="3">
        <v>193.6</v>
      </c>
      <c r="AB407" s="3">
        <v>228.9</v>
      </c>
      <c r="AC407" s="3">
        <v>176.1</v>
      </c>
      <c r="AD407" s="3">
        <v>153.19999999999999</v>
      </c>
      <c r="AE407" s="3">
        <v>254.7</v>
      </c>
      <c r="AF407" s="3">
        <v>227.5</v>
      </c>
      <c r="AG407" s="3">
        <v>217.2</v>
      </c>
      <c r="AH407" s="3">
        <v>283.5</v>
      </c>
      <c r="AI407" s="3">
        <v>197.4</v>
      </c>
      <c r="AJ407" s="3">
        <v>351.8</v>
      </c>
      <c r="AK407" s="3">
        <v>406.7</v>
      </c>
      <c r="AL407" s="3">
        <v>363</v>
      </c>
      <c r="AM407" s="3">
        <v>333.2</v>
      </c>
      <c r="AN407" s="3">
        <v>379.1</v>
      </c>
      <c r="AO407" s="3">
        <v>171</v>
      </c>
      <c r="AP407" s="3">
        <v>274.39999999999998</v>
      </c>
      <c r="AQ407" s="3">
        <v>376.9</v>
      </c>
      <c r="AR407" s="3">
        <v>202.3</v>
      </c>
      <c r="AS407" s="3">
        <v>836.1</v>
      </c>
      <c r="AT407" s="3">
        <v>622.9</v>
      </c>
      <c r="AU407" s="3">
        <v>382.1</v>
      </c>
      <c r="AV407" s="3">
        <v>221</v>
      </c>
      <c r="AW407" s="3">
        <v>417.7</v>
      </c>
      <c r="AX407" s="3">
        <v>399.1</v>
      </c>
      <c r="AY407" s="3">
        <v>522.9</v>
      </c>
      <c r="AZ407" s="3">
        <v>385.5</v>
      </c>
      <c r="BA407" s="3">
        <v>245.2</v>
      </c>
      <c r="BB407" s="3">
        <v>454</v>
      </c>
      <c r="BC407" s="3">
        <v>365.4</v>
      </c>
      <c r="BD407" s="3">
        <v>366.3</v>
      </c>
      <c r="BE407" s="3">
        <v>291.3</v>
      </c>
      <c r="BF407" s="3">
        <v>331.8</v>
      </c>
      <c r="BG407" s="3">
        <v>288.60000000000002</v>
      </c>
      <c r="BH407" s="3">
        <v>257.89999999999998</v>
      </c>
      <c r="BI407" s="3">
        <v>80.599999999999994</v>
      </c>
      <c r="BJ407" s="3">
        <v>212.3</v>
      </c>
      <c r="BK407" s="3">
        <v>213.2</v>
      </c>
      <c r="BL407" s="3">
        <v>252.5</v>
      </c>
      <c r="BM407" s="3">
        <v>462.9</v>
      </c>
      <c r="BN407" s="3">
        <v>119.2</v>
      </c>
      <c r="BO407" s="3">
        <v>442.3</v>
      </c>
      <c r="BP407" s="3">
        <v>515.9</v>
      </c>
      <c r="BQ407" s="3">
        <v>207.1</v>
      </c>
      <c r="BR407" s="3">
        <v>172.1</v>
      </c>
      <c r="BS407" s="3">
        <v>203</v>
      </c>
      <c r="BT407" s="3">
        <v>248.4</v>
      </c>
      <c r="BU407" s="3">
        <v>162.6</v>
      </c>
      <c r="BV407" s="3">
        <v>210.7</v>
      </c>
      <c r="BW407" s="3">
        <v>228.6</v>
      </c>
      <c r="BX407" s="3">
        <v>567</v>
      </c>
      <c r="BY407" s="3">
        <v>101</v>
      </c>
      <c r="BZ407" s="3">
        <v>471.1</v>
      </c>
      <c r="CA407" s="3">
        <v>334.1</v>
      </c>
      <c r="CB407" s="3">
        <v>901.3</v>
      </c>
      <c r="CC407" s="3">
        <v>432.5</v>
      </c>
      <c r="CD407" s="3">
        <v>552.1</v>
      </c>
      <c r="CE407" s="3">
        <v>355.2</v>
      </c>
      <c r="CF407" s="3">
        <v>6.9</v>
      </c>
      <c r="CG407" s="3">
        <v>126.3</v>
      </c>
      <c r="CH407" s="3">
        <v>95.5</v>
      </c>
      <c r="CI407" s="3">
        <v>494.5</v>
      </c>
      <c r="CJ407" s="3">
        <v>193.9</v>
      </c>
      <c r="CK407" s="3">
        <v>230.2</v>
      </c>
      <c r="CL407" s="3">
        <v>616.20000000000005</v>
      </c>
      <c r="CM407" s="3">
        <v>289.39999999999998</v>
      </c>
      <c r="CN407" s="3">
        <v>265.7</v>
      </c>
    </row>
    <row r="408" spans="1:92" x14ac:dyDescent="0.25">
      <c r="A408" s="4">
        <v>44136</v>
      </c>
      <c r="B408" s="3">
        <v>223.1</v>
      </c>
      <c r="C408" s="3">
        <v>210.4</v>
      </c>
      <c r="D408" s="3">
        <v>280.10000000000002</v>
      </c>
      <c r="E408" s="3">
        <v>204.3</v>
      </c>
      <c r="F408" s="3">
        <v>313.5</v>
      </c>
      <c r="G408" s="3">
        <v>343.6</v>
      </c>
      <c r="H408" s="3">
        <v>227.6</v>
      </c>
      <c r="I408" s="3">
        <v>206.1</v>
      </c>
      <c r="J408" s="3">
        <v>115.3</v>
      </c>
      <c r="K408" s="3">
        <v>193.5</v>
      </c>
      <c r="L408" s="3">
        <v>271.7</v>
      </c>
      <c r="M408" s="3">
        <v>268.2</v>
      </c>
      <c r="N408" s="3">
        <v>271.10000000000002</v>
      </c>
      <c r="O408" s="3">
        <v>351.5</v>
      </c>
      <c r="P408" s="3">
        <v>203.2</v>
      </c>
      <c r="Q408" s="3">
        <v>233.4</v>
      </c>
      <c r="R408" s="3">
        <v>200.4</v>
      </c>
      <c r="S408" s="3">
        <v>239</v>
      </c>
      <c r="T408" s="3">
        <v>194.2</v>
      </c>
      <c r="U408" s="3">
        <v>211.6</v>
      </c>
      <c r="V408" s="3">
        <v>170</v>
      </c>
      <c r="W408" s="3">
        <v>274.89999999999998</v>
      </c>
      <c r="X408" s="3">
        <v>193.6</v>
      </c>
      <c r="Y408" s="3">
        <v>297.3</v>
      </c>
      <c r="Z408" s="3">
        <v>230.5</v>
      </c>
      <c r="AA408" s="3">
        <v>185.2</v>
      </c>
      <c r="AB408" s="3">
        <v>231.9</v>
      </c>
      <c r="AC408" s="3">
        <v>176</v>
      </c>
      <c r="AD408" s="3">
        <v>153</v>
      </c>
      <c r="AE408" s="3">
        <v>255.4</v>
      </c>
      <c r="AF408" s="3">
        <v>228.7</v>
      </c>
      <c r="AG408" s="3">
        <v>217.1</v>
      </c>
      <c r="AH408" s="3">
        <v>290.8</v>
      </c>
      <c r="AI408" s="3">
        <v>200.3</v>
      </c>
      <c r="AJ408" s="3">
        <v>350.9</v>
      </c>
      <c r="AK408" s="3">
        <v>379.5</v>
      </c>
      <c r="AL408" s="3">
        <v>365.9</v>
      </c>
      <c r="AM408" s="3">
        <v>331.9</v>
      </c>
      <c r="AN408" s="3">
        <v>378.1</v>
      </c>
      <c r="AO408" s="3">
        <v>169.5</v>
      </c>
      <c r="AP408" s="3">
        <v>274.2</v>
      </c>
      <c r="AQ408" s="3">
        <v>375.9</v>
      </c>
      <c r="AR408" s="3">
        <v>202.5</v>
      </c>
      <c r="AS408" s="3">
        <v>838.2</v>
      </c>
      <c r="AT408" s="3">
        <v>611.1</v>
      </c>
      <c r="AU408" s="3">
        <v>382.3</v>
      </c>
      <c r="AV408" s="3">
        <v>220.6</v>
      </c>
      <c r="AW408" s="3">
        <v>420.5</v>
      </c>
      <c r="AX408" s="3">
        <v>399.1</v>
      </c>
      <c r="AY408" s="3">
        <v>522.9</v>
      </c>
      <c r="AZ408" s="3">
        <v>384.6</v>
      </c>
      <c r="BA408" s="3">
        <v>246.9</v>
      </c>
      <c r="BB408" s="3">
        <v>453.9</v>
      </c>
      <c r="BC408" s="3">
        <v>370</v>
      </c>
      <c r="BD408" s="3">
        <v>366.3</v>
      </c>
      <c r="BE408" s="3">
        <v>291.3</v>
      </c>
      <c r="BF408" s="3">
        <v>319.7</v>
      </c>
      <c r="BG408" s="3">
        <v>290.89999999999998</v>
      </c>
      <c r="BH408" s="3">
        <v>259.10000000000002</v>
      </c>
      <c r="BI408" s="3">
        <v>78.7</v>
      </c>
      <c r="BJ408" s="3">
        <v>212.4</v>
      </c>
      <c r="BK408" s="3">
        <v>208.2</v>
      </c>
      <c r="BL408" s="3">
        <v>252.5</v>
      </c>
      <c r="BM408" s="3">
        <v>462.9</v>
      </c>
      <c r="BN408" s="3">
        <v>119.6</v>
      </c>
      <c r="BO408" s="3">
        <v>443.3</v>
      </c>
      <c r="BP408" s="3">
        <v>515.70000000000005</v>
      </c>
      <c r="BQ408" s="3">
        <v>199.3</v>
      </c>
      <c r="BR408" s="3">
        <v>167.2</v>
      </c>
      <c r="BS408" s="3">
        <v>195.9</v>
      </c>
      <c r="BT408" s="3">
        <v>244.1</v>
      </c>
      <c r="BU408" s="3">
        <v>160.4</v>
      </c>
      <c r="BV408" s="3">
        <v>209.1</v>
      </c>
      <c r="BW408" s="3">
        <v>228.8</v>
      </c>
      <c r="BX408" s="3">
        <v>566.5</v>
      </c>
      <c r="BY408" s="3">
        <v>100.7</v>
      </c>
      <c r="BZ408" s="3">
        <v>470.8</v>
      </c>
      <c r="CA408" s="3">
        <v>332</v>
      </c>
      <c r="CB408" s="3">
        <v>881.8</v>
      </c>
      <c r="CC408" s="3">
        <v>429.8</v>
      </c>
      <c r="CD408" s="3">
        <v>551.6</v>
      </c>
      <c r="CE408" s="3">
        <v>345.6</v>
      </c>
      <c r="CF408" s="3">
        <v>6.8</v>
      </c>
      <c r="CG408" s="3">
        <v>131.6</v>
      </c>
      <c r="CH408" s="3">
        <v>97.3</v>
      </c>
      <c r="CI408" s="3">
        <v>471.3</v>
      </c>
      <c r="CJ408" s="3">
        <v>191.9</v>
      </c>
      <c r="CK408" s="3">
        <v>230.2</v>
      </c>
      <c r="CL408" s="3">
        <v>612</v>
      </c>
      <c r="CM408" s="3">
        <v>288.7</v>
      </c>
      <c r="CN408" s="3">
        <v>271.60000000000002</v>
      </c>
    </row>
    <row r="409" spans="1:92" x14ac:dyDescent="0.25">
      <c r="A409" s="4">
        <v>44166</v>
      </c>
      <c r="B409" s="3">
        <v>220.8</v>
      </c>
      <c r="C409" s="3">
        <v>212.5</v>
      </c>
      <c r="D409" s="3">
        <v>284.39999999999998</v>
      </c>
      <c r="E409" s="3">
        <v>201</v>
      </c>
      <c r="F409" s="3">
        <v>329.4</v>
      </c>
      <c r="G409" s="3">
        <v>361</v>
      </c>
      <c r="H409" s="3">
        <v>227.1</v>
      </c>
      <c r="I409" s="3">
        <v>202.1</v>
      </c>
      <c r="J409" s="3">
        <v>115.4</v>
      </c>
      <c r="K409" s="3">
        <v>190.9</v>
      </c>
      <c r="L409" s="3">
        <v>265</v>
      </c>
      <c r="M409" s="3">
        <v>258.10000000000002</v>
      </c>
      <c r="N409" s="3">
        <v>267.60000000000002</v>
      </c>
      <c r="O409" s="3">
        <v>362.3</v>
      </c>
      <c r="P409" s="3">
        <v>196.7</v>
      </c>
      <c r="Q409" s="3">
        <v>234.7</v>
      </c>
      <c r="R409" s="3">
        <v>199.2</v>
      </c>
      <c r="S409" s="3">
        <v>239.4</v>
      </c>
      <c r="T409" s="3">
        <v>197.5</v>
      </c>
      <c r="U409" s="3">
        <v>224.7</v>
      </c>
      <c r="V409" s="3">
        <v>178.4</v>
      </c>
      <c r="W409" s="3">
        <v>277.5</v>
      </c>
      <c r="X409" s="3">
        <v>192.9</v>
      </c>
      <c r="Y409" s="3">
        <v>294.39999999999998</v>
      </c>
      <c r="Z409" s="3">
        <v>227.2</v>
      </c>
      <c r="AA409" s="3">
        <v>178.2</v>
      </c>
      <c r="AB409" s="3">
        <v>230.1</v>
      </c>
      <c r="AC409" s="3">
        <v>172.9</v>
      </c>
      <c r="AD409" s="3">
        <v>150.6</v>
      </c>
      <c r="AE409" s="3">
        <v>249.5</v>
      </c>
      <c r="AF409" s="3">
        <v>230</v>
      </c>
      <c r="AG409" s="3">
        <v>219.2</v>
      </c>
      <c r="AH409" s="3">
        <v>288.39999999999998</v>
      </c>
      <c r="AI409" s="3">
        <v>196.2</v>
      </c>
      <c r="AJ409" s="3">
        <v>356.6</v>
      </c>
      <c r="AK409" s="3">
        <v>395.2</v>
      </c>
      <c r="AL409" s="3">
        <v>366.4</v>
      </c>
      <c r="AM409" s="3">
        <v>331.7</v>
      </c>
      <c r="AN409" s="3">
        <v>378.9</v>
      </c>
      <c r="AO409" s="3">
        <v>167.9</v>
      </c>
      <c r="AP409" s="3">
        <v>269.7</v>
      </c>
      <c r="AQ409" s="3">
        <v>374.2</v>
      </c>
      <c r="AR409" s="3">
        <v>196</v>
      </c>
      <c r="AS409" s="3">
        <v>855.4</v>
      </c>
      <c r="AT409" s="3">
        <v>630.20000000000005</v>
      </c>
      <c r="AU409" s="3">
        <v>382.8</v>
      </c>
      <c r="AV409" s="3">
        <v>220.5</v>
      </c>
      <c r="AW409" s="3">
        <v>426.2</v>
      </c>
      <c r="AX409" s="3">
        <v>399.1</v>
      </c>
      <c r="AY409" s="3">
        <v>522.9</v>
      </c>
      <c r="AZ409" s="3">
        <v>385.3</v>
      </c>
      <c r="BA409" s="3">
        <v>247.7</v>
      </c>
      <c r="BB409" s="3">
        <v>456.4</v>
      </c>
      <c r="BC409" s="3">
        <v>369</v>
      </c>
      <c r="BD409" s="3">
        <v>366.3</v>
      </c>
      <c r="BE409" s="3">
        <v>291.3</v>
      </c>
      <c r="BF409" s="3">
        <v>358</v>
      </c>
      <c r="BG409" s="3">
        <v>302.60000000000002</v>
      </c>
      <c r="BH409" s="3">
        <v>262.2</v>
      </c>
      <c r="BI409" s="3">
        <v>77.7</v>
      </c>
      <c r="BJ409" s="3">
        <v>212</v>
      </c>
      <c r="BK409" s="3">
        <v>207.5</v>
      </c>
      <c r="BL409" s="3">
        <v>253.3</v>
      </c>
      <c r="BM409" s="3">
        <v>462.9</v>
      </c>
      <c r="BN409" s="3">
        <v>119.7</v>
      </c>
      <c r="BO409" s="3">
        <v>444.6</v>
      </c>
      <c r="BP409" s="3">
        <v>515.5</v>
      </c>
      <c r="BQ409" s="3">
        <v>203.6</v>
      </c>
      <c r="BR409" s="3">
        <v>166.5</v>
      </c>
      <c r="BS409" s="3">
        <v>197</v>
      </c>
      <c r="BT409" s="3">
        <v>245.1</v>
      </c>
      <c r="BU409" s="3">
        <v>160.1</v>
      </c>
      <c r="BV409" s="3">
        <v>212.6</v>
      </c>
      <c r="BW409" s="3">
        <v>226.8</v>
      </c>
      <c r="BX409" s="3">
        <v>567.20000000000005</v>
      </c>
      <c r="BY409" s="3">
        <v>100.5</v>
      </c>
      <c r="BZ409" s="3">
        <v>468.2</v>
      </c>
      <c r="CA409" s="3">
        <v>335.8</v>
      </c>
      <c r="CB409" s="3">
        <v>890</v>
      </c>
      <c r="CC409" s="3">
        <v>434.5</v>
      </c>
      <c r="CD409" s="3">
        <v>595</v>
      </c>
      <c r="CE409" s="3">
        <v>395.4</v>
      </c>
      <c r="CF409" s="3">
        <v>6.8</v>
      </c>
      <c r="CG409" s="3">
        <v>135.80000000000001</v>
      </c>
      <c r="CH409" s="3">
        <v>97.4</v>
      </c>
      <c r="CI409" s="3">
        <v>471.3</v>
      </c>
      <c r="CJ409" s="3">
        <v>197.4</v>
      </c>
      <c r="CK409" s="3">
        <v>230.2</v>
      </c>
      <c r="CL409" s="3">
        <v>616.29999999999995</v>
      </c>
      <c r="CM409" s="3">
        <v>289.8</v>
      </c>
      <c r="CN409" s="3">
        <v>261.39999999999998</v>
      </c>
    </row>
    <row r="410" spans="1:92" x14ac:dyDescent="0.25">
      <c r="A410" s="4">
        <v>44197</v>
      </c>
      <c r="B410" s="3">
        <v>223.4</v>
      </c>
      <c r="C410" s="3">
        <v>207.3</v>
      </c>
      <c r="D410" s="3">
        <v>285</v>
      </c>
      <c r="E410" s="3">
        <v>204.1</v>
      </c>
      <c r="F410" s="3">
        <v>323.2</v>
      </c>
      <c r="G410" s="3">
        <v>354.2</v>
      </c>
      <c r="H410" s="3">
        <v>227.9</v>
      </c>
      <c r="I410" s="3">
        <v>202.4</v>
      </c>
      <c r="J410" s="3">
        <v>116</v>
      </c>
      <c r="K410" s="3">
        <v>193.1</v>
      </c>
      <c r="L410" s="3">
        <v>267.60000000000002</v>
      </c>
      <c r="M410" s="3">
        <v>268.10000000000002</v>
      </c>
      <c r="N410" s="3">
        <v>263.2</v>
      </c>
      <c r="O410" s="3">
        <v>368.5</v>
      </c>
      <c r="P410" s="3">
        <v>190.5</v>
      </c>
      <c r="Q410" s="3">
        <v>231.8</v>
      </c>
      <c r="R410" s="3">
        <v>199.3</v>
      </c>
      <c r="S410" s="3">
        <v>238.5</v>
      </c>
      <c r="T410" s="3">
        <v>187.2</v>
      </c>
      <c r="U410" s="3">
        <v>218.5</v>
      </c>
      <c r="V410" s="3">
        <v>173</v>
      </c>
      <c r="W410" s="3">
        <v>283</v>
      </c>
      <c r="X410" s="3">
        <v>185.1</v>
      </c>
      <c r="Y410" s="3">
        <v>305.8</v>
      </c>
      <c r="Z410" s="3">
        <v>228.2</v>
      </c>
      <c r="AA410" s="3">
        <v>182.6</v>
      </c>
      <c r="AB410" s="3">
        <v>229.8</v>
      </c>
      <c r="AC410" s="3">
        <v>175.4</v>
      </c>
      <c r="AD410" s="3">
        <v>153.4</v>
      </c>
      <c r="AE410" s="3">
        <v>249.9</v>
      </c>
      <c r="AF410" s="3">
        <v>228.1</v>
      </c>
      <c r="AG410" s="3">
        <v>217.3</v>
      </c>
      <c r="AH410" s="3">
        <v>286.5</v>
      </c>
      <c r="AI410" s="3">
        <v>195</v>
      </c>
      <c r="AJ410" s="3">
        <v>356.7</v>
      </c>
      <c r="AK410" s="3">
        <v>396.6</v>
      </c>
      <c r="AL410" s="3">
        <v>367.2</v>
      </c>
      <c r="AM410" s="3">
        <v>333.6</v>
      </c>
      <c r="AN410" s="3">
        <v>379.1</v>
      </c>
      <c r="AO410" s="3">
        <v>172</v>
      </c>
      <c r="AP410" s="3">
        <v>275.5</v>
      </c>
      <c r="AQ410" s="3">
        <v>374.3</v>
      </c>
      <c r="AR410" s="3">
        <v>205.9</v>
      </c>
      <c r="AS410" s="3">
        <v>855.6</v>
      </c>
      <c r="AT410" s="3">
        <v>632.20000000000005</v>
      </c>
      <c r="AU410" s="3">
        <v>383.4</v>
      </c>
      <c r="AV410" s="3">
        <v>220.6</v>
      </c>
      <c r="AW410" s="3">
        <v>428.7</v>
      </c>
      <c r="AX410" s="3">
        <v>399.1</v>
      </c>
      <c r="AY410" s="3">
        <v>522.9</v>
      </c>
      <c r="AZ410" s="3">
        <v>385.5</v>
      </c>
      <c r="BA410" s="3">
        <v>246.1</v>
      </c>
      <c r="BB410" s="3">
        <v>458.5</v>
      </c>
      <c r="BC410" s="3">
        <v>369.3</v>
      </c>
      <c r="BD410" s="3">
        <v>366.3</v>
      </c>
      <c r="BE410" s="3">
        <v>291.3</v>
      </c>
      <c r="BF410" s="3">
        <v>377</v>
      </c>
      <c r="BG410" s="3">
        <v>292.2</v>
      </c>
      <c r="BH410" s="3">
        <v>260.8</v>
      </c>
      <c r="BI410" s="3">
        <v>78.900000000000006</v>
      </c>
      <c r="BJ410" s="3">
        <v>205.1</v>
      </c>
      <c r="BK410" s="3">
        <v>208.8</v>
      </c>
      <c r="BL410" s="3">
        <v>253.9</v>
      </c>
      <c r="BM410" s="3">
        <v>488.8</v>
      </c>
      <c r="BN410" s="3">
        <v>118.7</v>
      </c>
      <c r="BO410" s="3">
        <v>444.8</v>
      </c>
      <c r="BP410" s="3">
        <v>517.5</v>
      </c>
      <c r="BQ410" s="3">
        <v>194.5</v>
      </c>
      <c r="BR410" s="3">
        <v>158.1</v>
      </c>
      <c r="BS410" s="3">
        <v>192.8</v>
      </c>
      <c r="BT410" s="3">
        <v>243.1</v>
      </c>
      <c r="BU410" s="3">
        <v>154.5</v>
      </c>
      <c r="BV410" s="3">
        <v>207</v>
      </c>
      <c r="BW410" s="3">
        <v>229.8</v>
      </c>
      <c r="BX410" s="3">
        <v>578.29999999999995</v>
      </c>
      <c r="BY410" s="3">
        <v>100.8</v>
      </c>
      <c r="BZ410" s="3">
        <v>472.6</v>
      </c>
      <c r="CA410" s="3">
        <v>342.1</v>
      </c>
      <c r="CB410" s="3">
        <v>869.6</v>
      </c>
      <c r="CC410" s="3">
        <v>430.5</v>
      </c>
      <c r="CD410" s="3">
        <v>595.1</v>
      </c>
      <c r="CE410" s="3">
        <v>336.7</v>
      </c>
      <c r="CF410" s="3">
        <v>6.8</v>
      </c>
      <c r="CG410" s="3">
        <v>122.2</v>
      </c>
      <c r="CH410" s="3">
        <v>99.9</v>
      </c>
      <c r="CI410" s="3">
        <v>473.7</v>
      </c>
      <c r="CJ410" s="3">
        <v>198.9</v>
      </c>
      <c r="CK410" s="3">
        <v>230.3</v>
      </c>
      <c r="CL410" s="3">
        <v>604.20000000000005</v>
      </c>
      <c r="CM410" s="3">
        <v>289.89999999999998</v>
      </c>
      <c r="CN410" s="3">
        <v>267.8</v>
      </c>
    </row>
    <row r="411" spans="1:92" x14ac:dyDescent="0.25">
      <c r="A411" s="4">
        <v>44228</v>
      </c>
      <c r="B411" s="3">
        <v>224.5</v>
      </c>
      <c r="C411" s="3">
        <v>209.4</v>
      </c>
      <c r="D411" s="3">
        <v>288.10000000000002</v>
      </c>
      <c r="E411" s="3">
        <v>202.5</v>
      </c>
      <c r="F411" s="3">
        <v>327.60000000000002</v>
      </c>
      <c r="G411" s="3">
        <v>359</v>
      </c>
      <c r="H411" s="3">
        <v>227.8</v>
      </c>
      <c r="I411" s="3">
        <v>201.6</v>
      </c>
      <c r="J411" s="3">
        <v>116.3</v>
      </c>
      <c r="K411" s="3">
        <v>191.2</v>
      </c>
      <c r="L411" s="3">
        <v>270.7</v>
      </c>
      <c r="M411" s="3">
        <v>262.39999999999998</v>
      </c>
      <c r="N411" s="3">
        <v>274.89999999999998</v>
      </c>
      <c r="O411" s="3">
        <v>369</v>
      </c>
      <c r="P411" s="3">
        <v>212</v>
      </c>
      <c r="Q411" s="3">
        <v>236.2</v>
      </c>
      <c r="R411" s="3">
        <v>199.9</v>
      </c>
      <c r="S411" s="3">
        <v>240.4</v>
      </c>
      <c r="T411" s="3">
        <v>198.7</v>
      </c>
      <c r="U411" s="3">
        <v>224.2</v>
      </c>
      <c r="V411" s="3">
        <v>166.4</v>
      </c>
      <c r="W411" s="3">
        <v>279.39999999999998</v>
      </c>
      <c r="X411" s="3">
        <v>182.4</v>
      </c>
      <c r="Y411" s="3">
        <v>294.7</v>
      </c>
      <c r="Z411" s="3">
        <v>233.6</v>
      </c>
      <c r="AA411" s="3">
        <v>180.5</v>
      </c>
      <c r="AB411" s="3">
        <v>238.1</v>
      </c>
      <c r="AC411" s="3">
        <v>175</v>
      </c>
      <c r="AD411" s="3">
        <v>153.1</v>
      </c>
      <c r="AE411" s="3">
        <v>249.4</v>
      </c>
      <c r="AF411" s="3">
        <v>231</v>
      </c>
      <c r="AG411" s="3">
        <v>220.2</v>
      </c>
      <c r="AH411" s="3">
        <v>289.39999999999998</v>
      </c>
      <c r="AI411" s="3">
        <v>197.8</v>
      </c>
      <c r="AJ411" s="3">
        <v>358</v>
      </c>
      <c r="AK411" s="3">
        <v>397.2</v>
      </c>
      <c r="AL411" s="3">
        <v>368.2</v>
      </c>
      <c r="AM411" s="3">
        <v>334.5</v>
      </c>
      <c r="AN411" s="3">
        <v>380.5</v>
      </c>
      <c r="AO411" s="3">
        <v>172</v>
      </c>
      <c r="AP411" s="3">
        <v>274.39999999999998</v>
      </c>
      <c r="AQ411" s="3">
        <v>375.7</v>
      </c>
      <c r="AR411" s="3">
        <v>203.7</v>
      </c>
      <c r="AS411" s="3">
        <v>857.5</v>
      </c>
      <c r="AT411" s="3">
        <v>622.9</v>
      </c>
      <c r="AU411" s="3">
        <v>383.8</v>
      </c>
      <c r="AV411" s="3">
        <v>220.4</v>
      </c>
      <c r="AW411" s="3">
        <v>431.3</v>
      </c>
      <c r="AX411" s="3">
        <v>399.1</v>
      </c>
      <c r="AY411" s="3">
        <v>522.9</v>
      </c>
      <c r="AZ411" s="3">
        <v>385.5</v>
      </c>
      <c r="BA411" s="3">
        <v>247.6</v>
      </c>
      <c r="BB411" s="3">
        <v>462.5</v>
      </c>
      <c r="BC411" s="3">
        <v>368.6</v>
      </c>
      <c r="BD411" s="3">
        <v>366.3</v>
      </c>
      <c r="BE411" s="3">
        <v>291.3</v>
      </c>
      <c r="BF411" s="3">
        <v>399.3</v>
      </c>
      <c r="BG411" s="3">
        <v>299.8</v>
      </c>
      <c r="BH411" s="3">
        <v>270.10000000000002</v>
      </c>
      <c r="BI411" s="3">
        <v>81.099999999999994</v>
      </c>
      <c r="BJ411" s="3">
        <v>210.9</v>
      </c>
      <c r="BK411" s="3">
        <v>209.4</v>
      </c>
      <c r="BL411" s="3">
        <v>253.3</v>
      </c>
      <c r="BM411" s="3">
        <v>488.8</v>
      </c>
      <c r="BN411" s="3">
        <v>118.3</v>
      </c>
      <c r="BO411" s="3">
        <v>446.2</v>
      </c>
      <c r="BP411" s="3">
        <v>517.1</v>
      </c>
      <c r="BQ411" s="3">
        <v>198.8</v>
      </c>
      <c r="BR411" s="3">
        <v>157.1</v>
      </c>
      <c r="BS411" s="3">
        <v>197.7</v>
      </c>
      <c r="BT411" s="3">
        <v>243.9</v>
      </c>
      <c r="BU411" s="3">
        <v>154.5</v>
      </c>
      <c r="BV411" s="3">
        <v>210.2</v>
      </c>
      <c r="BW411" s="3">
        <v>230</v>
      </c>
      <c r="BX411" s="3">
        <v>579.4</v>
      </c>
      <c r="BY411" s="3">
        <v>99.9</v>
      </c>
      <c r="BZ411" s="3">
        <v>472.9</v>
      </c>
      <c r="CA411" s="3">
        <v>354.7</v>
      </c>
      <c r="CB411" s="3">
        <v>855.8</v>
      </c>
      <c r="CC411" s="3">
        <v>441.2</v>
      </c>
      <c r="CD411" s="3">
        <v>595.70000000000005</v>
      </c>
      <c r="CE411" s="3">
        <v>349.3</v>
      </c>
      <c r="CF411" s="3">
        <v>6.9</v>
      </c>
      <c r="CG411" s="3">
        <v>129.6</v>
      </c>
      <c r="CH411" s="3">
        <v>98.9</v>
      </c>
      <c r="CI411" s="3">
        <v>492.7</v>
      </c>
      <c r="CJ411" s="3">
        <v>201.8</v>
      </c>
      <c r="CK411" s="3">
        <v>230.3</v>
      </c>
      <c r="CL411" s="3">
        <v>605.20000000000005</v>
      </c>
      <c r="CM411" s="3">
        <v>291</v>
      </c>
      <c r="CN411" s="3">
        <v>271.60000000000002</v>
      </c>
    </row>
    <row r="412" spans="1:92" x14ac:dyDescent="0.25">
      <c r="A412" s="4">
        <v>44256</v>
      </c>
      <c r="B412" s="3">
        <v>225.3</v>
      </c>
      <c r="C412" s="3">
        <v>208</v>
      </c>
      <c r="D412" s="3">
        <v>280.7</v>
      </c>
      <c r="E412" s="3">
        <v>204</v>
      </c>
      <c r="F412" s="3">
        <v>321.89999999999998</v>
      </c>
      <c r="G412" s="3">
        <v>352.9</v>
      </c>
      <c r="H412" s="3">
        <v>227</v>
      </c>
      <c r="I412" s="3">
        <v>201.2</v>
      </c>
      <c r="J412" s="3">
        <v>116.5</v>
      </c>
      <c r="K412" s="3">
        <v>191.2</v>
      </c>
      <c r="L412" s="3">
        <v>265.39999999999998</v>
      </c>
      <c r="M412" s="3">
        <v>253.4</v>
      </c>
      <c r="N412" s="3">
        <v>273.3</v>
      </c>
      <c r="O412" s="3">
        <v>378.3</v>
      </c>
      <c r="P412" s="3">
        <v>199.1</v>
      </c>
      <c r="Q412" s="3">
        <v>232.8</v>
      </c>
      <c r="R412" s="3">
        <v>200</v>
      </c>
      <c r="S412" s="3">
        <v>238</v>
      </c>
      <c r="T412" s="3">
        <v>192.3</v>
      </c>
      <c r="U412" s="3">
        <v>222</v>
      </c>
      <c r="V412" s="3">
        <v>179.5</v>
      </c>
      <c r="W412" s="3">
        <v>278</v>
      </c>
      <c r="X412" s="3">
        <v>183.8</v>
      </c>
      <c r="Y412" s="3">
        <v>296.3</v>
      </c>
      <c r="Z412" s="3">
        <v>230.8</v>
      </c>
      <c r="AA412" s="3">
        <v>181.4</v>
      </c>
      <c r="AB412" s="3">
        <v>233.9</v>
      </c>
      <c r="AC412" s="3">
        <v>174.7</v>
      </c>
      <c r="AD412" s="3">
        <v>152.1</v>
      </c>
      <c r="AE412" s="3">
        <v>252.9</v>
      </c>
      <c r="AF412" s="3">
        <v>228.2</v>
      </c>
      <c r="AG412" s="3">
        <v>217.8</v>
      </c>
      <c r="AH412" s="3">
        <v>283.8</v>
      </c>
      <c r="AI412" s="3">
        <v>194.8</v>
      </c>
      <c r="AJ412" s="3">
        <v>359</v>
      </c>
      <c r="AK412" s="3">
        <v>397.6</v>
      </c>
      <c r="AL412" s="3">
        <v>368.7</v>
      </c>
      <c r="AM412" s="3">
        <v>334.8</v>
      </c>
      <c r="AN412" s="3">
        <v>381.5</v>
      </c>
      <c r="AO412" s="3">
        <v>171.7</v>
      </c>
      <c r="AP412" s="3">
        <v>274.5</v>
      </c>
      <c r="AQ412" s="3">
        <v>376.7</v>
      </c>
      <c r="AR412" s="3">
        <v>203.5</v>
      </c>
      <c r="AS412" s="3">
        <v>856.9</v>
      </c>
      <c r="AT412" s="3">
        <v>623.4</v>
      </c>
      <c r="AU412" s="3">
        <v>384.1</v>
      </c>
      <c r="AV412" s="3">
        <v>221.2</v>
      </c>
      <c r="AW412" s="3">
        <v>431.1</v>
      </c>
      <c r="AX412" s="3">
        <v>399.1</v>
      </c>
      <c r="AY412" s="3">
        <v>522.9</v>
      </c>
      <c r="AZ412" s="3">
        <v>385.5</v>
      </c>
      <c r="BA412" s="3">
        <v>248.8</v>
      </c>
      <c r="BB412" s="3">
        <v>462.2</v>
      </c>
      <c r="BC412" s="3">
        <v>369.1</v>
      </c>
      <c r="BD412" s="3">
        <v>366.3</v>
      </c>
      <c r="BE412" s="3">
        <v>291.3</v>
      </c>
      <c r="BF412" s="3">
        <v>409</v>
      </c>
      <c r="BG412" s="3">
        <v>302.89999999999998</v>
      </c>
      <c r="BH412" s="3">
        <v>271.39999999999998</v>
      </c>
      <c r="BI412" s="3">
        <v>82</v>
      </c>
      <c r="BJ412" s="3">
        <v>213.7</v>
      </c>
      <c r="BK412" s="3">
        <v>208.4</v>
      </c>
      <c r="BL412" s="3">
        <v>254.8</v>
      </c>
      <c r="BM412" s="3">
        <v>488.8</v>
      </c>
      <c r="BN412" s="3">
        <v>119</v>
      </c>
      <c r="BO412" s="3">
        <v>446.9</v>
      </c>
      <c r="BP412" s="3">
        <v>517.70000000000005</v>
      </c>
      <c r="BQ412" s="3">
        <v>201.3</v>
      </c>
      <c r="BR412" s="3">
        <v>165.6</v>
      </c>
      <c r="BS412" s="3">
        <v>197.6</v>
      </c>
      <c r="BT412" s="3">
        <v>249</v>
      </c>
      <c r="BU412" s="3">
        <v>160.1</v>
      </c>
      <c r="BV412" s="3">
        <v>212.4</v>
      </c>
      <c r="BW412" s="3">
        <v>230.1</v>
      </c>
      <c r="BX412" s="3">
        <v>579.9</v>
      </c>
      <c r="BY412" s="3">
        <v>99.6</v>
      </c>
      <c r="BZ412" s="3">
        <v>473.9</v>
      </c>
      <c r="CA412" s="3">
        <v>364.2</v>
      </c>
      <c r="CB412" s="3">
        <v>864.3</v>
      </c>
      <c r="CC412" s="3">
        <v>446.7</v>
      </c>
      <c r="CD412" s="3">
        <v>596.20000000000005</v>
      </c>
      <c r="CE412" s="3">
        <v>361.7</v>
      </c>
      <c r="CF412" s="3">
        <v>6.8</v>
      </c>
      <c r="CG412" s="3">
        <v>124.8</v>
      </c>
      <c r="CH412" s="3">
        <v>99.8</v>
      </c>
      <c r="CI412" s="3">
        <v>490.8</v>
      </c>
      <c r="CJ412" s="3">
        <v>204.9</v>
      </c>
      <c r="CK412" s="3">
        <v>230.3</v>
      </c>
      <c r="CL412" s="3">
        <v>606.1</v>
      </c>
      <c r="CM412" s="3">
        <v>291.7</v>
      </c>
      <c r="CN412" s="3">
        <v>271.5</v>
      </c>
    </row>
    <row r="413" spans="1:92" x14ac:dyDescent="0.25">
      <c r="A413" s="4">
        <v>44287</v>
      </c>
      <c r="B413" s="3">
        <v>224.7</v>
      </c>
      <c r="C413" s="3">
        <v>209.8</v>
      </c>
      <c r="D413" s="3">
        <v>285.7</v>
      </c>
      <c r="E413" s="3">
        <v>202.2</v>
      </c>
      <c r="F413" s="3">
        <v>331.5</v>
      </c>
      <c r="G413" s="3">
        <v>363.4</v>
      </c>
      <c r="H413" s="3">
        <v>227.8</v>
      </c>
      <c r="I413" s="3">
        <v>201.6</v>
      </c>
      <c r="J413" s="3">
        <v>116.1</v>
      </c>
      <c r="K413" s="3">
        <v>191.2</v>
      </c>
      <c r="L413" s="3">
        <v>264.89999999999998</v>
      </c>
      <c r="M413" s="3">
        <v>264.10000000000002</v>
      </c>
      <c r="N413" s="3">
        <v>261.89999999999998</v>
      </c>
      <c r="O413" s="3">
        <v>364.6</v>
      </c>
      <c r="P413" s="3">
        <v>208.8</v>
      </c>
      <c r="Q413" s="3">
        <v>232.6</v>
      </c>
      <c r="R413" s="3">
        <v>200</v>
      </c>
      <c r="S413" s="3">
        <v>239.3</v>
      </c>
      <c r="T413" s="3">
        <v>198.4</v>
      </c>
      <c r="U413" s="3">
        <v>220.2</v>
      </c>
      <c r="V413" s="3">
        <v>174.1</v>
      </c>
      <c r="W413" s="3">
        <v>280.39999999999998</v>
      </c>
      <c r="X413" s="3">
        <v>187.8</v>
      </c>
      <c r="Y413" s="3">
        <v>303.2</v>
      </c>
      <c r="Z413" s="3">
        <v>233.8</v>
      </c>
      <c r="AA413" s="3">
        <v>181</v>
      </c>
      <c r="AB413" s="3">
        <v>238.1</v>
      </c>
      <c r="AC413" s="3">
        <v>176.1</v>
      </c>
      <c r="AD413" s="3">
        <v>153</v>
      </c>
      <c r="AE413" s="3">
        <v>256.5</v>
      </c>
      <c r="AF413" s="3">
        <v>228.8</v>
      </c>
      <c r="AG413" s="3">
        <v>218</v>
      </c>
      <c r="AH413" s="3">
        <v>287.39999999999998</v>
      </c>
      <c r="AI413" s="3">
        <v>199.4</v>
      </c>
      <c r="AJ413" s="3">
        <v>363.2</v>
      </c>
      <c r="AK413" s="3">
        <v>397.9</v>
      </c>
      <c r="AL413" s="3">
        <v>369.6</v>
      </c>
      <c r="AM413" s="3">
        <v>338</v>
      </c>
      <c r="AN413" s="3">
        <v>386</v>
      </c>
      <c r="AO413" s="3">
        <v>172.5</v>
      </c>
      <c r="AP413" s="3">
        <v>277.60000000000002</v>
      </c>
      <c r="AQ413" s="3">
        <v>381.2</v>
      </c>
      <c r="AR413" s="3">
        <v>205.6</v>
      </c>
      <c r="AS413" s="3">
        <v>857.9</v>
      </c>
      <c r="AT413" s="3">
        <v>623.20000000000005</v>
      </c>
      <c r="AU413" s="3">
        <v>385.1</v>
      </c>
      <c r="AV413" s="3">
        <v>221.4</v>
      </c>
      <c r="AW413" s="3">
        <v>437.2</v>
      </c>
      <c r="AX413" s="3">
        <v>415.2</v>
      </c>
      <c r="AY413" s="3">
        <v>532</v>
      </c>
      <c r="AZ413" s="3">
        <v>385.7</v>
      </c>
      <c r="BA413" s="3">
        <v>249.4</v>
      </c>
      <c r="BB413" s="3">
        <v>464.5</v>
      </c>
      <c r="BC413" s="3">
        <v>369.6</v>
      </c>
      <c r="BD413" s="3">
        <v>399.7</v>
      </c>
      <c r="BE413" s="3">
        <v>319</v>
      </c>
      <c r="BF413" s="3">
        <v>400.3</v>
      </c>
      <c r="BG413" s="3">
        <v>303.39999999999998</v>
      </c>
      <c r="BH413" s="3">
        <v>268.89999999999998</v>
      </c>
      <c r="BI413" s="3">
        <v>80.8</v>
      </c>
      <c r="BJ413" s="3">
        <v>213.3</v>
      </c>
      <c r="BK413" s="3">
        <v>208.7</v>
      </c>
      <c r="BL413" s="3">
        <v>255</v>
      </c>
      <c r="BM413" s="3">
        <v>488.8</v>
      </c>
      <c r="BN413" s="3">
        <v>121.8</v>
      </c>
      <c r="BO413" s="3">
        <v>449.1</v>
      </c>
      <c r="BP413" s="3">
        <v>518</v>
      </c>
      <c r="BQ413" s="3">
        <v>208.8</v>
      </c>
      <c r="BR413" s="3">
        <v>175.6</v>
      </c>
      <c r="BS413" s="3">
        <v>202.5</v>
      </c>
      <c r="BT413" s="3">
        <v>249.6</v>
      </c>
      <c r="BU413" s="3">
        <v>164.7</v>
      </c>
      <c r="BV413" s="3">
        <v>212.6</v>
      </c>
      <c r="BW413" s="3">
        <v>229.5</v>
      </c>
      <c r="BX413" s="3">
        <v>588.5</v>
      </c>
      <c r="BY413" s="3">
        <v>99.7</v>
      </c>
      <c r="BZ413" s="3">
        <v>473.6</v>
      </c>
      <c r="CA413" s="3">
        <v>368.1</v>
      </c>
      <c r="CB413" s="3">
        <v>870.1</v>
      </c>
      <c r="CC413" s="3">
        <v>459.5</v>
      </c>
      <c r="CD413" s="3">
        <v>603.1</v>
      </c>
      <c r="CE413" s="3">
        <v>404.8</v>
      </c>
      <c r="CF413" s="3">
        <v>6.7</v>
      </c>
      <c r="CG413" s="3">
        <v>126.5</v>
      </c>
      <c r="CH413" s="3">
        <v>97.7</v>
      </c>
      <c r="CI413" s="3">
        <v>492.6</v>
      </c>
      <c r="CJ413" s="3">
        <v>202.4</v>
      </c>
      <c r="CK413" s="3">
        <v>234.9</v>
      </c>
      <c r="CL413" s="3">
        <v>619.6</v>
      </c>
      <c r="CM413" s="3">
        <v>295.2</v>
      </c>
      <c r="CN413" s="3">
        <v>276.3</v>
      </c>
    </row>
    <row r="414" spans="1:92" x14ac:dyDescent="0.25">
      <c r="A414" s="4">
        <v>44317</v>
      </c>
      <c r="B414" s="3">
        <v>222.5</v>
      </c>
      <c r="C414" s="3">
        <v>207.7</v>
      </c>
      <c r="D414" s="3">
        <v>282.5</v>
      </c>
      <c r="E414" s="3">
        <v>204.5</v>
      </c>
      <c r="F414" s="3">
        <v>336.1</v>
      </c>
      <c r="G414" s="3">
        <v>368.4</v>
      </c>
      <c r="H414" s="3">
        <v>226.6</v>
      </c>
      <c r="I414" s="3">
        <v>200.3</v>
      </c>
      <c r="J414" s="3">
        <v>116.3</v>
      </c>
      <c r="K414" s="3">
        <v>186.9</v>
      </c>
      <c r="L414" s="3">
        <v>266</v>
      </c>
      <c r="M414" s="3">
        <v>254.4</v>
      </c>
      <c r="N414" s="3">
        <v>273.39999999999998</v>
      </c>
      <c r="O414" s="3">
        <v>376.2</v>
      </c>
      <c r="P414" s="3">
        <v>207.9</v>
      </c>
      <c r="Q414" s="3">
        <v>235.7</v>
      </c>
      <c r="R414" s="3">
        <v>201.5</v>
      </c>
      <c r="S414" s="3">
        <v>240.6</v>
      </c>
      <c r="T414" s="3">
        <v>198.9</v>
      </c>
      <c r="U414" s="3">
        <v>223.1</v>
      </c>
      <c r="V414" s="3">
        <v>177</v>
      </c>
      <c r="W414" s="3">
        <v>277.2</v>
      </c>
      <c r="X414" s="3">
        <v>187.2</v>
      </c>
      <c r="Y414" s="3">
        <v>301.60000000000002</v>
      </c>
      <c r="Z414" s="3">
        <v>232.9</v>
      </c>
      <c r="AA414" s="3">
        <v>181.4</v>
      </c>
      <c r="AB414" s="3">
        <v>236.7</v>
      </c>
      <c r="AC414" s="3">
        <v>176.9</v>
      </c>
      <c r="AD414" s="3">
        <v>153.6</v>
      </c>
      <c r="AE414" s="3">
        <v>258.7</v>
      </c>
      <c r="AF414" s="3">
        <v>229.7</v>
      </c>
      <c r="AG414" s="3">
        <v>218.8</v>
      </c>
      <c r="AH414" s="3">
        <v>288.5</v>
      </c>
      <c r="AI414" s="3">
        <v>196.6</v>
      </c>
      <c r="AJ414" s="3">
        <v>365.4</v>
      </c>
      <c r="AK414" s="3">
        <v>399.5</v>
      </c>
      <c r="AL414" s="3">
        <v>369.2</v>
      </c>
      <c r="AM414" s="3">
        <v>338</v>
      </c>
      <c r="AN414" s="3">
        <v>386.2</v>
      </c>
      <c r="AO414" s="3">
        <v>172.2</v>
      </c>
      <c r="AP414" s="3">
        <v>278.5</v>
      </c>
      <c r="AQ414" s="3">
        <v>382.2</v>
      </c>
      <c r="AR414" s="3">
        <v>206.4</v>
      </c>
      <c r="AS414" s="3">
        <v>853.7</v>
      </c>
      <c r="AT414" s="3">
        <v>621.5</v>
      </c>
      <c r="AU414" s="3">
        <v>385.6</v>
      </c>
      <c r="AV414" s="3">
        <v>221</v>
      </c>
      <c r="AW414" s="3">
        <v>434.2</v>
      </c>
      <c r="AX414" s="3">
        <v>415.2</v>
      </c>
      <c r="AY414" s="3">
        <v>532</v>
      </c>
      <c r="AZ414" s="3">
        <v>385.8</v>
      </c>
      <c r="BA414" s="3">
        <v>252.9</v>
      </c>
      <c r="BB414" s="3">
        <v>461.8</v>
      </c>
      <c r="BC414" s="3">
        <v>369.2</v>
      </c>
      <c r="BD414" s="3">
        <v>399.7</v>
      </c>
      <c r="BE414" s="3">
        <v>319</v>
      </c>
      <c r="BF414" s="3">
        <v>415.3</v>
      </c>
      <c r="BG414" s="3">
        <v>308.3</v>
      </c>
      <c r="BH414" s="3">
        <v>271.39999999999998</v>
      </c>
      <c r="BI414" s="3">
        <v>83</v>
      </c>
      <c r="BJ414" s="3">
        <v>215.2</v>
      </c>
      <c r="BK414" s="3">
        <v>209.7</v>
      </c>
      <c r="BL414" s="3">
        <v>257.89999999999998</v>
      </c>
      <c r="BM414" s="3">
        <v>488.8</v>
      </c>
      <c r="BN414" s="3">
        <v>120.8</v>
      </c>
      <c r="BO414" s="3">
        <v>450.5</v>
      </c>
      <c r="BP414" s="3">
        <v>519</v>
      </c>
      <c r="BQ414" s="3">
        <v>212.5</v>
      </c>
      <c r="BR414" s="3">
        <v>184.8</v>
      </c>
      <c r="BS414" s="3">
        <v>209.6</v>
      </c>
      <c r="BT414" s="3">
        <v>252.1</v>
      </c>
      <c r="BU414" s="3">
        <v>167.6</v>
      </c>
      <c r="BV414" s="3">
        <v>216.2</v>
      </c>
      <c r="BW414" s="3">
        <v>231.1</v>
      </c>
      <c r="BX414" s="3">
        <v>589.20000000000005</v>
      </c>
      <c r="BY414" s="3">
        <v>100.3</v>
      </c>
      <c r="BZ414" s="3">
        <v>479.4</v>
      </c>
      <c r="CA414" s="3">
        <v>371.4</v>
      </c>
      <c r="CB414" s="3">
        <v>882.5</v>
      </c>
      <c r="CC414" s="3">
        <v>443.9</v>
      </c>
      <c r="CD414" s="3">
        <v>584.20000000000005</v>
      </c>
      <c r="CE414" s="3">
        <v>390.5</v>
      </c>
      <c r="CF414" s="3">
        <v>6.9</v>
      </c>
      <c r="CG414" s="3">
        <v>129.1</v>
      </c>
      <c r="CH414" s="3">
        <v>99.6</v>
      </c>
      <c r="CI414" s="3">
        <v>499</v>
      </c>
      <c r="CJ414" s="3">
        <v>202.8</v>
      </c>
      <c r="CK414" s="3">
        <v>234.9</v>
      </c>
      <c r="CL414" s="3">
        <v>621.4</v>
      </c>
      <c r="CM414" s="3">
        <v>296.2</v>
      </c>
      <c r="CN414" s="3">
        <v>281.10000000000002</v>
      </c>
    </row>
    <row r="415" spans="1:92" x14ac:dyDescent="0.25">
      <c r="A415" s="4">
        <v>44348</v>
      </c>
      <c r="B415" s="3">
        <v>224.7</v>
      </c>
      <c r="C415" s="3">
        <v>207.9</v>
      </c>
      <c r="D415" s="3">
        <v>291.60000000000002</v>
      </c>
      <c r="E415" s="3">
        <v>205.1</v>
      </c>
      <c r="F415" s="3">
        <v>339.3</v>
      </c>
      <c r="G415" s="3">
        <v>371.9</v>
      </c>
      <c r="H415" s="3">
        <v>228</v>
      </c>
      <c r="I415" s="3">
        <v>201.6</v>
      </c>
      <c r="J415" s="3">
        <v>117.3</v>
      </c>
      <c r="K415" s="3">
        <v>191.4</v>
      </c>
      <c r="L415" s="3">
        <v>267.8</v>
      </c>
      <c r="M415" s="3">
        <v>256.5</v>
      </c>
      <c r="N415" s="3">
        <v>275.10000000000002</v>
      </c>
      <c r="O415" s="3">
        <v>374.7</v>
      </c>
      <c r="P415" s="3">
        <v>216.4</v>
      </c>
      <c r="Q415" s="3">
        <v>232.5</v>
      </c>
      <c r="R415" s="3">
        <v>204.1</v>
      </c>
      <c r="S415" s="3">
        <v>240</v>
      </c>
      <c r="T415" s="3">
        <v>199.3</v>
      </c>
      <c r="U415" s="3">
        <v>220.6</v>
      </c>
      <c r="V415" s="3">
        <v>170.7</v>
      </c>
      <c r="W415" s="3">
        <v>276.5</v>
      </c>
      <c r="X415" s="3">
        <v>188.9</v>
      </c>
      <c r="Y415" s="3">
        <v>299.89999999999998</v>
      </c>
      <c r="Z415" s="3">
        <v>228.3</v>
      </c>
      <c r="AA415" s="3">
        <v>181.3</v>
      </c>
      <c r="AB415" s="3">
        <v>230.6</v>
      </c>
      <c r="AC415" s="3">
        <v>176.4</v>
      </c>
      <c r="AD415" s="3">
        <v>152.80000000000001</v>
      </c>
      <c r="AE415" s="3">
        <v>259.89999999999998</v>
      </c>
      <c r="AF415" s="3">
        <v>228.3</v>
      </c>
      <c r="AG415" s="3">
        <v>216.9</v>
      </c>
      <c r="AH415" s="3">
        <v>290</v>
      </c>
      <c r="AI415" s="3">
        <v>196.9</v>
      </c>
      <c r="AJ415" s="3">
        <v>369.4</v>
      </c>
      <c r="AK415" s="3">
        <v>402.9</v>
      </c>
      <c r="AL415" s="3">
        <v>370.2</v>
      </c>
      <c r="AM415" s="3">
        <v>337.4</v>
      </c>
      <c r="AN415" s="3">
        <v>386.2</v>
      </c>
      <c r="AO415" s="3">
        <v>171.3</v>
      </c>
      <c r="AP415" s="3">
        <v>280.7</v>
      </c>
      <c r="AQ415" s="3">
        <v>383.2</v>
      </c>
      <c r="AR415" s="3">
        <v>208.9</v>
      </c>
      <c r="AS415" s="3">
        <v>855.7</v>
      </c>
      <c r="AT415" s="3">
        <v>624.6</v>
      </c>
      <c r="AU415" s="3">
        <v>386.2</v>
      </c>
      <c r="AV415" s="3">
        <v>221.5</v>
      </c>
      <c r="AW415" s="3">
        <v>438.2</v>
      </c>
      <c r="AX415" s="3">
        <v>415.2</v>
      </c>
      <c r="AY415" s="3">
        <v>532</v>
      </c>
      <c r="AZ415" s="3">
        <v>386.4</v>
      </c>
      <c r="BA415" s="3">
        <v>256.3</v>
      </c>
      <c r="BB415" s="3">
        <v>464.2</v>
      </c>
      <c r="BC415" s="3">
        <v>370.3</v>
      </c>
      <c r="BD415" s="3">
        <v>399.7</v>
      </c>
      <c r="BE415" s="3">
        <v>319</v>
      </c>
      <c r="BF415" s="3">
        <v>425.3</v>
      </c>
      <c r="BG415" s="3">
        <v>315.3</v>
      </c>
      <c r="BH415" s="3">
        <v>275.3</v>
      </c>
      <c r="BI415" s="3">
        <v>83.4</v>
      </c>
      <c r="BJ415" s="3">
        <v>218.1</v>
      </c>
      <c r="BK415" s="3">
        <v>212.3</v>
      </c>
      <c r="BL415" s="3">
        <v>256.8</v>
      </c>
      <c r="BM415" s="3">
        <v>488.8</v>
      </c>
      <c r="BN415" s="3">
        <v>122.2</v>
      </c>
      <c r="BO415" s="3">
        <v>453.1</v>
      </c>
      <c r="BP415" s="3">
        <v>520.6</v>
      </c>
      <c r="BQ415" s="3">
        <v>215.6</v>
      </c>
      <c r="BR415" s="3">
        <v>186.4</v>
      </c>
      <c r="BS415" s="3">
        <v>209.1</v>
      </c>
      <c r="BT415" s="3">
        <v>252</v>
      </c>
      <c r="BU415" s="3">
        <v>168.9</v>
      </c>
      <c r="BV415" s="3">
        <v>217.5</v>
      </c>
      <c r="BW415" s="3">
        <v>229.2</v>
      </c>
      <c r="BX415" s="3">
        <v>589.79999999999995</v>
      </c>
      <c r="BY415" s="3">
        <v>102.7</v>
      </c>
      <c r="BZ415" s="3">
        <v>480.8</v>
      </c>
      <c r="CA415" s="3">
        <v>379.7</v>
      </c>
      <c r="CB415" s="3">
        <v>900.1</v>
      </c>
      <c r="CC415" s="3">
        <v>452.5</v>
      </c>
      <c r="CD415" s="3">
        <v>577.4</v>
      </c>
      <c r="CE415" s="3">
        <v>405.3</v>
      </c>
      <c r="CF415" s="3">
        <v>6.9</v>
      </c>
      <c r="CG415" s="3">
        <v>134.80000000000001</v>
      </c>
      <c r="CH415" s="3">
        <v>98.4</v>
      </c>
      <c r="CI415" s="3">
        <v>512.5</v>
      </c>
      <c r="CJ415" s="3">
        <v>202</v>
      </c>
      <c r="CK415" s="3">
        <v>234.9</v>
      </c>
      <c r="CL415" s="3">
        <v>623.6</v>
      </c>
      <c r="CM415" s="3">
        <v>298.10000000000002</v>
      </c>
      <c r="CN415" s="3">
        <v>281.8</v>
      </c>
    </row>
    <row r="416" spans="1:92" x14ac:dyDescent="0.25">
      <c r="A416" s="4">
        <v>44378</v>
      </c>
      <c r="B416" s="3">
        <v>225.7</v>
      </c>
      <c r="C416" s="3">
        <v>208.7</v>
      </c>
      <c r="D416" s="3">
        <v>288.89999999999998</v>
      </c>
      <c r="E416" s="3">
        <v>206.1</v>
      </c>
      <c r="F416" s="3">
        <v>334</v>
      </c>
      <c r="G416" s="3">
        <v>366.1</v>
      </c>
      <c r="H416" s="3">
        <v>230.8</v>
      </c>
      <c r="I416" s="3">
        <v>200.1</v>
      </c>
      <c r="J416" s="3">
        <v>117.8</v>
      </c>
      <c r="K416" s="3">
        <v>191.3</v>
      </c>
      <c r="L416" s="3">
        <v>263.39999999999998</v>
      </c>
      <c r="M416" s="3">
        <v>260.60000000000002</v>
      </c>
      <c r="N416" s="3">
        <v>262.39999999999998</v>
      </c>
      <c r="O416" s="3">
        <v>372</v>
      </c>
      <c r="P416" s="3">
        <v>218.8</v>
      </c>
      <c r="Q416" s="3">
        <v>226.3</v>
      </c>
      <c r="R416" s="3">
        <v>203.5</v>
      </c>
      <c r="S416" s="3">
        <v>240.1</v>
      </c>
      <c r="T416" s="3">
        <v>196.3</v>
      </c>
      <c r="U416" s="3">
        <v>215.5</v>
      </c>
      <c r="V416" s="3">
        <v>179.9</v>
      </c>
      <c r="W416" s="3">
        <v>274.39999999999998</v>
      </c>
      <c r="X416" s="3">
        <v>185.8</v>
      </c>
      <c r="Y416" s="3">
        <v>298.89999999999998</v>
      </c>
      <c r="Z416" s="3">
        <v>227.9</v>
      </c>
      <c r="AA416" s="3">
        <v>178.8</v>
      </c>
      <c r="AB416" s="3">
        <v>231.1</v>
      </c>
      <c r="AC416" s="3">
        <v>176</v>
      </c>
      <c r="AD416" s="3">
        <v>152.30000000000001</v>
      </c>
      <c r="AE416" s="3">
        <v>260.60000000000002</v>
      </c>
      <c r="AF416" s="3">
        <v>227.1</v>
      </c>
      <c r="AG416" s="3">
        <v>215.2</v>
      </c>
      <c r="AH416" s="3">
        <v>291.3</v>
      </c>
      <c r="AI416" s="3">
        <v>197.8</v>
      </c>
      <c r="AJ416" s="3">
        <v>368.7</v>
      </c>
      <c r="AK416" s="3">
        <v>400.9</v>
      </c>
      <c r="AL416" s="3">
        <v>370.6</v>
      </c>
      <c r="AM416" s="3">
        <v>336.6</v>
      </c>
      <c r="AN416" s="3">
        <v>386.1</v>
      </c>
      <c r="AO416" s="3">
        <v>170.1</v>
      </c>
      <c r="AP416" s="3">
        <v>280.3</v>
      </c>
      <c r="AQ416" s="3">
        <v>389.5</v>
      </c>
      <c r="AR416" s="3">
        <v>205.5</v>
      </c>
      <c r="AS416" s="3">
        <v>858.7</v>
      </c>
      <c r="AT416" s="3">
        <v>625.9</v>
      </c>
      <c r="AU416" s="3">
        <v>387.2</v>
      </c>
      <c r="AV416" s="3">
        <v>222.4</v>
      </c>
      <c r="AW416" s="3">
        <v>446.6</v>
      </c>
      <c r="AX416" s="3">
        <v>415.2</v>
      </c>
      <c r="AY416" s="3">
        <v>532</v>
      </c>
      <c r="AZ416" s="3">
        <v>387.3</v>
      </c>
      <c r="BA416" s="3">
        <v>259.39999999999998</v>
      </c>
      <c r="BB416" s="3">
        <v>465.7</v>
      </c>
      <c r="BC416" s="3">
        <v>370.3</v>
      </c>
      <c r="BD416" s="3">
        <v>400.2</v>
      </c>
      <c r="BE416" s="3">
        <v>319</v>
      </c>
      <c r="BF416" s="3">
        <v>428</v>
      </c>
      <c r="BG416" s="3">
        <v>309.60000000000002</v>
      </c>
      <c r="BH416" s="3">
        <v>274.10000000000002</v>
      </c>
      <c r="BI416" s="3">
        <v>83.4</v>
      </c>
      <c r="BJ416" s="3">
        <v>218.4</v>
      </c>
      <c r="BK416" s="3">
        <v>209.3</v>
      </c>
      <c r="BL416" s="3">
        <v>258.10000000000002</v>
      </c>
      <c r="BM416" s="3">
        <v>488.8</v>
      </c>
      <c r="BN416" s="3">
        <v>120.1</v>
      </c>
      <c r="BO416" s="3">
        <v>454.1</v>
      </c>
      <c r="BP416" s="3">
        <v>522.9</v>
      </c>
      <c r="BQ416" s="3">
        <v>214.8</v>
      </c>
      <c r="BR416" s="3">
        <v>181.3</v>
      </c>
      <c r="BS416" s="3">
        <v>205.2</v>
      </c>
      <c r="BT416" s="3">
        <v>248.9</v>
      </c>
      <c r="BU416" s="3">
        <v>168</v>
      </c>
      <c r="BV416" s="3">
        <v>215.8</v>
      </c>
      <c r="BW416" s="3">
        <v>230.8</v>
      </c>
      <c r="BX416" s="3">
        <v>592.4</v>
      </c>
      <c r="BY416" s="3">
        <v>106.7</v>
      </c>
      <c r="BZ416" s="3">
        <v>486.7</v>
      </c>
      <c r="CA416" s="3">
        <v>387.4</v>
      </c>
      <c r="CB416" s="3">
        <v>900.7</v>
      </c>
      <c r="CC416" s="3">
        <v>446</v>
      </c>
      <c r="CD416" s="3">
        <v>582.29999999999995</v>
      </c>
      <c r="CE416" s="3">
        <v>431.4</v>
      </c>
      <c r="CF416" s="3">
        <v>6.9</v>
      </c>
      <c r="CG416" s="3">
        <v>128.19999999999999</v>
      </c>
      <c r="CH416" s="3">
        <v>98.5</v>
      </c>
      <c r="CI416" s="3">
        <v>508</v>
      </c>
      <c r="CJ416" s="3">
        <v>204.5</v>
      </c>
      <c r="CK416" s="3">
        <v>234.9</v>
      </c>
      <c r="CL416" s="3">
        <v>627.9</v>
      </c>
      <c r="CM416" s="3">
        <v>299.2</v>
      </c>
      <c r="CN416" s="3">
        <v>280.8</v>
      </c>
    </row>
    <row r="417" spans="1:92" x14ac:dyDescent="0.25">
      <c r="A417" s="4">
        <v>44409</v>
      </c>
      <c r="B417" s="3">
        <v>226</v>
      </c>
      <c r="C417" s="3">
        <v>209.6</v>
      </c>
      <c r="D417" s="3">
        <v>292.8</v>
      </c>
      <c r="E417" s="3">
        <v>207.6</v>
      </c>
      <c r="F417" s="3">
        <v>336.9</v>
      </c>
      <c r="G417" s="3">
        <v>369.3</v>
      </c>
      <c r="H417" s="3">
        <v>220.6</v>
      </c>
      <c r="I417" s="3">
        <v>200.7</v>
      </c>
      <c r="J417" s="3">
        <v>117.7</v>
      </c>
      <c r="K417" s="3">
        <v>193.4</v>
      </c>
      <c r="L417" s="3">
        <v>266.89999999999998</v>
      </c>
      <c r="M417" s="3">
        <v>258.7</v>
      </c>
      <c r="N417" s="3">
        <v>271.10000000000002</v>
      </c>
      <c r="O417" s="3">
        <v>370.5</v>
      </c>
      <c r="P417" s="3">
        <v>219.9</v>
      </c>
      <c r="Q417" s="3">
        <v>233.4</v>
      </c>
      <c r="R417" s="3">
        <v>204.3</v>
      </c>
      <c r="S417" s="3">
        <v>241.4</v>
      </c>
      <c r="T417" s="3">
        <v>202.5</v>
      </c>
      <c r="U417" s="3">
        <v>220.4</v>
      </c>
      <c r="V417" s="3">
        <v>179.7</v>
      </c>
      <c r="W417" s="3">
        <v>282.60000000000002</v>
      </c>
      <c r="X417" s="3">
        <v>188.3</v>
      </c>
      <c r="Y417" s="3">
        <v>304.10000000000002</v>
      </c>
      <c r="Z417" s="3">
        <v>231.8</v>
      </c>
      <c r="AA417" s="3">
        <v>176.2</v>
      </c>
      <c r="AB417" s="3">
        <v>237.4</v>
      </c>
      <c r="AC417" s="3">
        <v>175.3</v>
      </c>
      <c r="AD417" s="3">
        <v>151.19999999999999</v>
      </c>
      <c r="AE417" s="3">
        <v>262</v>
      </c>
      <c r="AF417" s="3">
        <v>227.4</v>
      </c>
      <c r="AG417" s="3">
        <v>214</v>
      </c>
      <c r="AH417" s="3">
        <v>299.2</v>
      </c>
      <c r="AI417" s="3">
        <v>200</v>
      </c>
      <c r="AJ417" s="3">
        <v>369.3</v>
      </c>
      <c r="AK417" s="3">
        <v>403.9</v>
      </c>
      <c r="AL417" s="3">
        <v>371.4</v>
      </c>
      <c r="AM417" s="3">
        <v>337.1</v>
      </c>
      <c r="AN417" s="3">
        <v>386.4</v>
      </c>
      <c r="AO417" s="3">
        <v>170.6</v>
      </c>
      <c r="AP417" s="3">
        <v>282.39999999999998</v>
      </c>
      <c r="AQ417" s="3">
        <v>391.3</v>
      </c>
      <c r="AR417" s="3">
        <v>207.6</v>
      </c>
      <c r="AS417" s="3">
        <v>859.2</v>
      </c>
      <c r="AT417" s="3">
        <v>626.4</v>
      </c>
      <c r="AU417" s="3">
        <v>387.7</v>
      </c>
      <c r="AV417" s="3">
        <v>220.8</v>
      </c>
      <c r="AW417" s="3">
        <v>444</v>
      </c>
      <c r="AX417" s="3">
        <v>415.2</v>
      </c>
      <c r="AY417" s="3">
        <v>532</v>
      </c>
      <c r="AZ417" s="3">
        <v>388.5</v>
      </c>
      <c r="BA417" s="3">
        <v>263.39999999999998</v>
      </c>
      <c r="BB417" s="3">
        <v>463.3</v>
      </c>
      <c r="BC417" s="3">
        <v>370</v>
      </c>
      <c r="BD417" s="3">
        <v>400.2</v>
      </c>
      <c r="BE417" s="3">
        <v>319</v>
      </c>
      <c r="BF417" s="3">
        <v>423.4</v>
      </c>
      <c r="BG417" s="3">
        <v>315</v>
      </c>
      <c r="BH417" s="3">
        <v>275.10000000000002</v>
      </c>
      <c r="BI417" s="3">
        <v>85.1</v>
      </c>
      <c r="BJ417" s="3">
        <v>219.5</v>
      </c>
      <c r="BK417" s="3">
        <v>210.9</v>
      </c>
      <c r="BL417" s="3">
        <v>260.8</v>
      </c>
      <c r="BM417" s="3">
        <v>488.8</v>
      </c>
      <c r="BN417" s="3">
        <v>119.8</v>
      </c>
      <c r="BO417" s="3">
        <v>455.7</v>
      </c>
      <c r="BP417" s="3">
        <v>520.29999999999995</v>
      </c>
      <c r="BQ417" s="3">
        <v>213.4</v>
      </c>
      <c r="BR417" s="3">
        <v>181.7</v>
      </c>
      <c r="BS417" s="3">
        <v>210.6</v>
      </c>
      <c r="BT417" s="3">
        <v>250.5</v>
      </c>
      <c r="BU417" s="3">
        <v>168.6</v>
      </c>
      <c r="BV417" s="3">
        <v>217.8</v>
      </c>
      <c r="BW417" s="3">
        <v>229.9</v>
      </c>
      <c r="BX417" s="3">
        <v>593.4</v>
      </c>
      <c r="BY417" s="3">
        <v>109.9</v>
      </c>
      <c r="BZ417" s="3">
        <v>484.2</v>
      </c>
      <c r="CA417" s="3">
        <v>393.6</v>
      </c>
      <c r="CB417" s="3">
        <v>929.9</v>
      </c>
      <c r="CC417" s="3">
        <v>447.7</v>
      </c>
      <c r="CD417" s="3">
        <v>561.70000000000005</v>
      </c>
      <c r="CE417" s="3">
        <v>461.5</v>
      </c>
      <c r="CF417" s="3">
        <v>6.9</v>
      </c>
      <c r="CG417" s="3">
        <v>132.69999999999999</v>
      </c>
      <c r="CH417" s="3">
        <v>100.5</v>
      </c>
      <c r="CI417" s="3">
        <v>515.20000000000005</v>
      </c>
      <c r="CJ417" s="3">
        <v>204.6</v>
      </c>
      <c r="CK417" s="3">
        <v>234.9</v>
      </c>
      <c r="CL417" s="3">
        <v>635.29999999999995</v>
      </c>
      <c r="CM417" s="3">
        <v>292.89999999999998</v>
      </c>
      <c r="CN417" s="3">
        <v>291.8</v>
      </c>
    </row>
    <row r="418" spans="1:92" x14ac:dyDescent="0.25">
      <c r="A418" s="4">
        <v>44440</v>
      </c>
      <c r="B418" s="3">
        <v>227</v>
      </c>
      <c r="C418" s="3">
        <v>206.3</v>
      </c>
      <c r="D418" s="3">
        <v>288</v>
      </c>
      <c r="E418" s="3">
        <v>208.7</v>
      </c>
      <c r="F418" s="3">
        <v>336</v>
      </c>
      <c r="G418" s="3">
        <v>368.3</v>
      </c>
      <c r="H418" s="3">
        <v>236.9</v>
      </c>
      <c r="I418" s="3">
        <v>200.6</v>
      </c>
      <c r="J418" s="3">
        <v>118.4</v>
      </c>
      <c r="K418" s="3">
        <v>189.8</v>
      </c>
      <c r="L418" s="3">
        <v>266.7</v>
      </c>
      <c r="M418" s="3">
        <v>263</v>
      </c>
      <c r="N418" s="3">
        <v>266.60000000000002</v>
      </c>
      <c r="O418" s="3">
        <v>376.1</v>
      </c>
      <c r="P418" s="3">
        <v>219.5</v>
      </c>
      <c r="Q418" s="3">
        <v>230.4</v>
      </c>
      <c r="R418" s="3">
        <v>206.2</v>
      </c>
      <c r="S418" s="3">
        <v>241.1</v>
      </c>
      <c r="T418" s="3">
        <v>198.7</v>
      </c>
      <c r="U418" s="3">
        <v>219.5</v>
      </c>
      <c r="V418" s="3">
        <v>171.4</v>
      </c>
      <c r="W418" s="3">
        <v>283.60000000000002</v>
      </c>
      <c r="X418" s="3">
        <v>188.7</v>
      </c>
      <c r="Y418" s="3">
        <v>303.3</v>
      </c>
      <c r="Z418" s="3">
        <v>230</v>
      </c>
      <c r="AA418" s="3">
        <v>175.8</v>
      </c>
      <c r="AB418" s="3">
        <v>235.2</v>
      </c>
      <c r="AC418" s="3">
        <v>175.9</v>
      </c>
      <c r="AD418" s="3">
        <v>152.1</v>
      </c>
      <c r="AE418" s="3">
        <v>261.3</v>
      </c>
      <c r="AF418" s="3">
        <v>230.1</v>
      </c>
      <c r="AG418" s="3">
        <v>218.5</v>
      </c>
      <c r="AH418" s="3">
        <v>292.2</v>
      </c>
      <c r="AI418" s="3">
        <v>199.4</v>
      </c>
      <c r="AJ418" s="3">
        <v>369.4</v>
      </c>
      <c r="AK418" s="3">
        <v>406.7</v>
      </c>
      <c r="AL418" s="3">
        <v>372.4</v>
      </c>
      <c r="AM418" s="3">
        <v>338.4</v>
      </c>
      <c r="AN418" s="3">
        <v>387.1</v>
      </c>
      <c r="AO418" s="3">
        <v>172.1</v>
      </c>
      <c r="AP418" s="3">
        <v>283.89999999999998</v>
      </c>
      <c r="AQ418" s="3">
        <v>393.1</v>
      </c>
      <c r="AR418" s="3">
        <v>208.8</v>
      </c>
      <c r="AS418" s="3">
        <v>858.1</v>
      </c>
      <c r="AT418" s="3">
        <v>626.29999999999995</v>
      </c>
      <c r="AU418" s="3">
        <v>388.4</v>
      </c>
      <c r="AV418" s="3">
        <v>222.2</v>
      </c>
      <c r="AW418" s="3">
        <v>455.7</v>
      </c>
      <c r="AX418" s="3">
        <v>415.2</v>
      </c>
      <c r="AY418" s="3">
        <v>532</v>
      </c>
      <c r="AZ418" s="3">
        <v>390.2</v>
      </c>
      <c r="BA418" s="3">
        <v>265.89999999999998</v>
      </c>
      <c r="BB418" s="3">
        <v>465.6</v>
      </c>
      <c r="BC418" s="3">
        <v>372.1</v>
      </c>
      <c r="BD418" s="3">
        <v>400.2</v>
      </c>
      <c r="BE418" s="3">
        <v>319</v>
      </c>
      <c r="BF418" s="3">
        <v>438.8</v>
      </c>
      <c r="BG418" s="3">
        <v>329.4</v>
      </c>
      <c r="BH418" s="3">
        <v>279.8</v>
      </c>
      <c r="BI418" s="3">
        <v>83.4</v>
      </c>
      <c r="BJ418" s="3">
        <v>215.9</v>
      </c>
      <c r="BK418" s="3">
        <v>210.8</v>
      </c>
      <c r="BL418" s="3">
        <v>257.3</v>
      </c>
      <c r="BM418" s="3">
        <v>488.8</v>
      </c>
      <c r="BN418" s="3">
        <v>121.4</v>
      </c>
      <c r="BO418" s="3">
        <v>456.6</v>
      </c>
      <c r="BP418" s="3">
        <v>527.9</v>
      </c>
      <c r="BQ418" s="3">
        <v>219</v>
      </c>
      <c r="BR418" s="3">
        <v>188.8</v>
      </c>
      <c r="BS418" s="3">
        <v>216</v>
      </c>
      <c r="BT418" s="3">
        <v>254.2</v>
      </c>
      <c r="BU418" s="3">
        <v>171</v>
      </c>
      <c r="BV418" s="3">
        <v>218.9</v>
      </c>
      <c r="BW418" s="3">
        <v>228.4</v>
      </c>
      <c r="BX418" s="3">
        <v>594.4</v>
      </c>
      <c r="BY418" s="3">
        <v>111.7</v>
      </c>
      <c r="BZ418" s="3">
        <v>484.2</v>
      </c>
      <c r="CA418" s="3">
        <v>393.5</v>
      </c>
      <c r="CB418" s="3">
        <v>932.1</v>
      </c>
      <c r="CC418" s="3">
        <v>442</v>
      </c>
      <c r="CD418" s="3">
        <v>556.9</v>
      </c>
      <c r="CE418" s="3">
        <v>389.6</v>
      </c>
      <c r="CF418" s="3">
        <v>7</v>
      </c>
      <c r="CG418" s="3">
        <v>135.1</v>
      </c>
      <c r="CH418" s="3">
        <v>101.1</v>
      </c>
      <c r="CI418" s="3">
        <v>519.70000000000005</v>
      </c>
      <c r="CJ418" s="3">
        <v>206.2</v>
      </c>
      <c r="CK418" s="3">
        <v>234.9</v>
      </c>
      <c r="CL418" s="3">
        <v>646</v>
      </c>
      <c r="CM418" s="3">
        <v>297.10000000000002</v>
      </c>
      <c r="CN418" s="3">
        <v>288.5</v>
      </c>
    </row>
    <row r="419" spans="1:92" x14ac:dyDescent="0.25">
      <c r="A419" s="4">
        <v>44470</v>
      </c>
      <c r="B419" s="3">
        <v>227.5</v>
      </c>
      <c r="C419" s="3">
        <v>208.6</v>
      </c>
      <c r="D419" s="3">
        <v>289.89999999999998</v>
      </c>
      <c r="E419" s="3">
        <v>210.7</v>
      </c>
      <c r="F419" s="3">
        <v>345.3</v>
      </c>
      <c r="G419" s="3">
        <v>378.5</v>
      </c>
      <c r="H419" s="3">
        <v>235.3</v>
      </c>
      <c r="I419" s="3">
        <v>201</v>
      </c>
      <c r="J419" s="3">
        <v>118.4</v>
      </c>
      <c r="K419" s="3">
        <v>192.7</v>
      </c>
      <c r="L419" s="3">
        <v>270.60000000000002</v>
      </c>
      <c r="M419" s="3">
        <v>263.5</v>
      </c>
      <c r="N419" s="3">
        <v>273.60000000000002</v>
      </c>
      <c r="O419" s="3">
        <v>380</v>
      </c>
      <c r="P419" s="3">
        <v>213.9</v>
      </c>
      <c r="Q419" s="3">
        <v>231.5</v>
      </c>
      <c r="R419" s="3">
        <v>207</v>
      </c>
      <c r="S419" s="3">
        <v>243.9</v>
      </c>
      <c r="T419" s="3">
        <v>203.7</v>
      </c>
      <c r="U419" s="3">
        <v>224</v>
      </c>
      <c r="V419" s="3">
        <v>179.4</v>
      </c>
      <c r="W419" s="3">
        <v>282.39999999999998</v>
      </c>
      <c r="X419" s="3">
        <v>192.6</v>
      </c>
      <c r="Y419" s="3">
        <v>297.8</v>
      </c>
      <c r="Z419" s="3">
        <v>232.3</v>
      </c>
      <c r="AA419" s="3">
        <v>177.6</v>
      </c>
      <c r="AB419" s="3">
        <v>237.5</v>
      </c>
      <c r="AC419" s="3">
        <v>178</v>
      </c>
      <c r="AD419" s="3">
        <v>154.30000000000001</v>
      </c>
      <c r="AE419" s="3">
        <v>261.89999999999998</v>
      </c>
      <c r="AF419" s="3">
        <v>233.3</v>
      </c>
      <c r="AG419" s="3">
        <v>221</v>
      </c>
      <c r="AH419" s="3">
        <v>299.39999999999998</v>
      </c>
      <c r="AI419" s="3">
        <v>198.6</v>
      </c>
      <c r="AJ419" s="3">
        <v>374.8</v>
      </c>
      <c r="AK419" s="3">
        <v>415.9</v>
      </c>
      <c r="AL419" s="3">
        <v>374.6</v>
      </c>
      <c r="AM419" s="3">
        <v>340.2</v>
      </c>
      <c r="AN419" s="3">
        <v>391</v>
      </c>
      <c r="AO419" s="3">
        <v>171.2</v>
      </c>
      <c r="AP419" s="3">
        <v>282.89999999999998</v>
      </c>
      <c r="AQ419" s="3">
        <v>396.7</v>
      </c>
      <c r="AR419" s="3">
        <v>205.8</v>
      </c>
      <c r="AS419" s="3">
        <v>858.2</v>
      </c>
      <c r="AT419" s="3">
        <v>627.5</v>
      </c>
      <c r="AU419" s="3">
        <v>389.9</v>
      </c>
      <c r="AV419" s="3">
        <v>222.3</v>
      </c>
      <c r="AW419" s="3">
        <v>460.3</v>
      </c>
      <c r="AX419" s="3">
        <v>415.2</v>
      </c>
      <c r="AY419" s="3">
        <v>532</v>
      </c>
      <c r="AZ419" s="3">
        <v>391.2</v>
      </c>
      <c r="BA419" s="3">
        <v>271</v>
      </c>
      <c r="BB419" s="3">
        <v>465.7</v>
      </c>
      <c r="BC419" s="3">
        <v>376.1</v>
      </c>
      <c r="BD419" s="3">
        <v>435</v>
      </c>
      <c r="BE419" s="3">
        <v>375.1</v>
      </c>
      <c r="BF419" s="3">
        <v>504.8</v>
      </c>
      <c r="BG419" s="3">
        <v>326.60000000000002</v>
      </c>
      <c r="BH419" s="3">
        <v>278.10000000000002</v>
      </c>
      <c r="BI419" s="3">
        <v>86.2</v>
      </c>
      <c r="BJ419" s="3">
        <v>220.9</v>
      </c>
      <c r="BK419" s="3">
        <v>210.5</v>
      </c>
      <c r="BL419" s="3">
        <v>261.2</v>
      </c>
      <c r="BM419" s="3">
        <v>488.8</v>
      </c>
      <c r="BN419" s="3">
        <v>121.3</v>
      </c>
      <c r="BO419" s="3">
        <v>458.5</v>
      </c>
      <c r="BP419" s="3">
        <v>529.4</v>
      </c>
      <c r="BQ419" s="3">
        <v>224.2</v>
      </c>
      <c r="BR419" s="3">
        <v>191.8</v>
      </c>
      <c r="BS419" s="3">
        <v>221.5</v>
      </c>
      <c r="BT419" s="3">
        <v>257.60000000000002</v>
      </c>
      <c r="BU419" s="3">
        <v>172.2</v>
      </c>
      <c r="BV419" s="3">
        <v>219.4</v>
      </c>
      <c r="BW419" s="3">
        <v>231.9</v>
      </c>
      <c r="BX419" s="3">
        <v>590.29999999999995</v>
      </c>
      <c r="BY419" s="3">
        <v>114.9</v>
      </c>
      <c r="BZ419" s="3">
        <v>485.9</v>
      </c>
      <c r="CA419" s="3">
        <v>401.6</v>
      </c>
      <c r="CB419" s="3">
        <v>921.3</v>
      </c>
      <c r="CC419" s="3">
        <v>445.7</v>
      </c>
      <c r="CD419" s="3">
        <v>554.70000000000005</v>
      </c>
      <c r="CE419" s="3">
        <v>404.6</v>
      </c>
      <c r="CF419" s="3">
        <v>7</v>
      </c>
      <c r="CG419" s="3">
        <v>132.5</v>
      </c>
      <c r="CH419" s="3">
        <v>100.6</v>
      </c>
      <c r="CI419" s="3">
        <v>516.70000000000005</v>
      </c>
      <c r="CJ419" s="3">
        <v>206.7</v>
      </c>
      <c r="CK419" s="3">
        <v>234.9</v>
      </c>
      <c r="CL419" s="3">
        <v>639.6</v>
      </c>
      <c r="CM419" s="3">
        <v>298.8</v>
      </c>
      <c r="CN419" s="3">
        <v>289</v>
      </c>
    </row>
    <row r="420" spans="1:92" x14ac:dyDescent="0.25">
      <c r="A420" s="4">
        <v>44501</v>
      </c>
      <c r="B420" s="3">
        <v>226.4</v>
      </c>
      <c r="C420" s="3">
        <v>212.4</v>
      </c>
      <c r="D420" s="3">
        <v>292.89999999999998</v>
      </c>
      <c r="E420" s="3">
        <v>214</v>
      </c>
      <c r="F420" s="3">
        <v>336.6</v>
      </c>
      <c r="G420" s="3">
        <v>368.9</v>
      </c>
      <c r="H420" s="3">
        <v>236.9</v>
      </c>
      <c r="I420" s="3">
        <v>200.8</v>
      </c>
      <c r="J420" s="3">
        <v>119.4</v>
      </c>
      <c r="K420" s="3">
        <v>193.1</v>
      </c>
      <c r="L420" s="3">
        <v>268.8</v>
      </c>
      <c r="M420" s="3">
        <v>262.10000000000002</v>
      </c>
      <c r="N420" s="3">
        <v>271.5</v>
      </c>
      <c r="O420" s="3">
        <v>383.7</v>
      </c>
      <c r="P420" s="3">
        <v>223.4</v>
      </c>
      <c r="Q420" s="3">
        <v>232.7</v>
      </c>
      <c r="R420" s="3">
        <v>209.7</v>
      </c>
      <c r="S420" s="3">
        <v>249.8</v>
      </c>
      <c r="T420" s="3">
        <v>204</v>
      </c>
      <c r="U420" s="3">
        <v>223.1</v>
      </c>
      <c r="V420" s="3">
        <v>178.5</v>
      </c>
      <c r="W420" s="3">
        <v>283.5</v>
      </c>
      <c r="X420" s="3">
        <v>195.2</v>
      </c>
      <c r="Y420" s="3">
        <v>302</v>
      </c>
      <c r="Z420" s="3">
        <v>233.5</v>
      </c>
      <c r="AA420" s="3">
        <v>175.8</v>
      </c>
      <c r="AB420" s="3">
        <v>239.9</v>
      </c>
      <c r="AC420" s="3">
        <v>178.8</v>
      </c>
      <c r="AD420" s="3">
        <v>155</v>
      </c>
      <c r="AE420" s="3">
        <v>263</v>
      </c>
      <c r="AF420" s="3">
        <v>239.7</v>
      </c>
      <c r="AG420" s="3">
        <v>228.8</v>
      </c>
      <c r="AH420" s="3">
        <v>298.39999999999998</v>
      </c>
      <c r="AI420" s="3">
        <v>201.9</v>
      </c>
      <c r="AJ420" s="3">
        <v>376.8</v>
      </c>
      <c r="AK420" s="3">
        <v>415.6</v>
      </c>
      <c r="AL420" s="3">
        <v>376.8</v>
      </c>
      <c r="AM420" s="3">
        <v>341.4</v>
      </c>
      <c r="AN420" s="3">
        <v>392.1</v>
      </c>
      <c r="AO420" s="3">
        <v>172</v>
      </c>
      <c r="AP420" s="3">
        <v>281.8</v>
      </c>
      <c r="AQ420" s="3">
        <v>386.4</v>
      </c>
      <c r="AR420" s="3">
        <v>209</v>
      </c>
      <c r="AS420" s="3">
        <v>892.9</v>
      </c>
      <c r="AT420" s="3">
        <v>657.6</v>
      </c>
      <c r="AU420" s="3">
        <v>390.7</v>
      </c>
      <c r="AV420" s="3">
        <v>222.2</v>
      </c>
      <c r="AW420" s="3">
        <v>466.2</v>
      </c>
      <c r="AX420" s="3">
        <v>415.2</v>
      </c>
      <c r="AY420" s="3">
        <v>532</v>
      </c>
      <c r="AZ420" s="3">
        <v>391.4</v>
      </c>
      <c r="BA420" s="3">
        <v>272</v>
      </c>
      <c r="BB420" s="3">
        <v>470.8</v>
      </c>
      <c r="BC420" s="3">
        <v>377.8</v>
      </c>
      <c r="BD420" s="3">
        <v>435</v>
      </c>
      <c r="BE420" s="3">
        <v>375.1</v>
      </c>
      <c r="BF420" s="3">
        <v>519.6</v>
      </c>
      <c r="BG420" s="3">
        <v>331.3</v>
      </c>
      <c r="BH420" s="3">
        <v>280.7</v>
      </c>
      <c r="BI420" s="3">
        <v>85.4</v>
      </c>
      <c r="BJ420" s="3">
        <v>225.2</v>
      </c>
      <c r="BK420" s="3">
        <v>213.3</v>
      </c>
      <c r="BL420" s="3">
        <v>262.2</v>
      </c>
      <c r="BM420" s="3">
        <v>488.8</v>
      </c>
      <c r="BN420" s="3">
        <v>121.4</v>
      </c>
      <c r="BO420" s="3">
        <v>459.9</v>
      </c>
      <c r="BP420" s="3">
        <v>531.29999999999995</v>
      </c>
      <c r="BQ420" s="3">
        <v>225</v>
      </c>
      <c r="BR420" s="3">
        <v>195</v>
      </c>
      <c r="BS420" s="3">
        <v>222.5</v>
      </c>
      <c r="BT420" s="3">
        <v>260.10000000000002</v>
      </c>
      <c r="BU420" s="3">
        <v>172.7</v>
      </c>
      <c r="BV420" s="3">
        <v>220.7</v>
      </c>
      <c r="BW420" s="3">
        <v>230.3</v>
      </c>
      <c r="BX420" s="3">
        <v>591.1</v>
      </c>
      <c r="BY420" s="3">
        <v>117.2</v>
      </c>
      <c r="BZ420" s="3">
        <v>489.7</v>
      </c>
      <c r="CA420" s="3">
        <v>424.4</v>
      </c>
      <c r="CB420" s="3">
        <v>910.3</v>
      </c>
      <c r="CC420" s="3">
        <v>449.7</v>
      </c>
      <c r="CD420" s="3">
        <v>560.6</v>
      </c>
      <c r="CE420" s="3">
        <v>388.5</v>
      </c>
      <c r="CF420" s="3">
        <v>6.9</v>
      </c>
      <c r="CG420" s="3">
        <v>132.19999999999999</v>
      </c>
      <c r="CH420" s="3">
        <v>102.2</v>
      </c>
      <c r="CI420" s="3">
        <v>512.5</v>
      </c>
      <c r="CJ420" s="3">
        <v>208.8</v>
      </c>
      <c r="CK420" s="3">
        <v>234.9</v>
      </c>
      <c r="CL420" s="3">
        <v>645.20000000000005</v>
      </c>
      <c r="CM420" s="3">
        <v>298.8</v>
      </c>
      <c r="CN420" s="3">
        <v>294</v>
      </c>
    </row>
    <row r="421" spans="1:92" x14ac:dyDescent="0.25">
      <c r="A421" s="4">
        <v>44531</v>
      </c>
      <c r="B421" s="3">
        <v>231</v>
      </c>
      <c r="C421" s="3">
        <v>216</v>
      </c>
      <c r="D421" s="3">
        <v>302.7</v>
      </c>
      <c r="E421" s="3">
        <v>214.5</v>
      </c>
      <c r="F421" s="3">
        <v>355.9</v>
      </c>
      <c r="G421" s="3">
        <v>390.1</v>
      </c>
      <c r="H421" s="3">
        <v>236.2</v>
      </c>
      <c r="I421" s="3">
        <v>201.5</v>
      </c>
      <c r="J421" s="3">
        <v>121</v>
      </c>
      <c r="K421" s="3">
        <v>198.4</v>
      </c>
      <c r="L421" s="3">
        <v>271</v>
      </c>
      <c r="M421" s="3">
        <v>267</v>
      </c>
      <c r="N421" s="3">
        <v>271</v>
      </c>
      <c r="O421" s="3">
        <v>390</v>
      </c>
      <c r="P421" s="3">
        <v>232.8</v>
      </c>
      <c r="Q421" s="3">
        <v>232.8</v>
      </c>
      <c r="R421" s="3">
        <v>211.7</v>
      </c>
      <c r="S421" s="3">
        <v>257.39999999999998</v>
      </c>
      <c r="T421" s="3">
        <v>207.4</v>
      </c>
      <c r="U421" s="3">
        <v>227</v>
      </c>
      <c r="V421" s="3">
        <v>179.7</v>
      </c>
      <c r="W421" s="3">
        <v>283.2</v>
      </c>
      <c r="X421" s="3">
        <v>197.2</v>
      </c>
      <c r="Y421" s="3">
        <v>299.3</v>
      </c>
      <c r="Z421" s="3">
        <v>238.4</v>
      </c>
      <c r="AA421" s="3">
        <v>177.9</v>
      </c>
      <c r="AB421" s="3">
        <v>245.5</v>
      </c>
      <c r="AC421" s="3">
        <v>181.4</v>
      </c>
      <c r="AD421" s="3">
        <v>155.5</v>
      </c>
      <c r="AE421" s="3">
        <v>276.5</v>
      </c>
      <c r="AF421" s="3">
        <v>241.7</v>
      </c>
      <c r="AG421" s="3">
        <v>231.8</v>
      </c>
      <c r="AH421" s="3">
        <v>295.5</v>
      </c>
      <c r="AI421" s="3">
        <v>207.4</v>
      </c>
      <c r="AJ421" s="3">
        <v>379</v>
      </c>
      <c r="AK421" s="3">
        <v>414.6</v>
      </c>
      <c r="AL421" s="3">
        <v>378.7</v>
      </c>
      <c r="AM421" s="3">
        <v>340.9</v>
      </c>
      <c r="AN421" s="3">
        <v>393.6</v>
      </c>
      <c r="AO421" s="3">
        <v>170</v>
      </c>
      <c r="AP421" s="3">
        <v>278.8</v>
      </c>
      <c r="AQ421" s="3">
        <v>388</v>
      </c>
      <c r="AR421" s="3">
        <v>204.1</v>
      </c>
      <c r="AS421" s="3">
        <v>893.3</v>
      </c>
      <c r="AT421" s="3">
        <v>671.3</v>
      </c>
      <c r="AU421" s="3">
        <v>391.6</v>
      </c>
      <c r="AV421" s="3">
        <v>222.2</v>
      </c>
      <c r="AW421" s="3">
        <v>468.7</v>
      </c>
      <c r="AX421" s="3">
        <v>415.2</v>
      </c>
      <c r="AY421" s="3">
        <v>532</v>
      </c>
      <c r="AZ421" s="3">
        <v>391.8</v>
      </c>
      <c r="BA421" s="3">
        <v>273.60000000000002</v>
      </c>
      <c r="BB421" s="3">
        <v>515.6</v>
      </c>
      <c r="BC421" s="3">
        <v>388.1</v>
      </c>
      <c r="BD421" s="3">
        <v>435</v>
      </c>
      <c r="BE421" s="3">
        <v>375.1</v>
      </c>
      <c r="BF421" s="3">
        <v>507</v>
      </c>
      <c r="BG421" s="3">
        <v>345.6</v>
      </c>
      <c r="BH421" s="3">
        <v>283.10000000000002</v>
      </c>
      <c r="BI421" s="3">
        <v>87.1</v>
      </c>
      <c r="BJ421" s="3">
        <v>227.5</v>
      </c>
      <c r="BK421" s="3">
        <v>214.5</v>
      </c>
      <c r="BL421" s="3">
        <v>264.39999999999998</v>
      </c>
      <c r="BM421" s="3">
        <v>488.8</v>
      </c>
      <c r="BN421" s="3">
        <v>119.7</v>
      </c>
      <c r="BO421" s="3">
        <v>460.7</v>
      </c>
      <c r="BP421" s="3">
        <v>548.9</v>
      </c>
      <c r="BQ421" s="3">
        <v>229</v>
      </c>
      <c r="BR421" s="3">
        <v>195.5</v>
      </c>
      <c r="BS421" s="3">
        <v>224.1</v>
      </c>
      <c r="BT421" s="3">
        <v>261.60000000000002</v>
      </c>
      <c r="BU421" s="3">
        <v>173.4</v>
      </c>
      <c r="BV421" s="3">
        <v>221.7</v>
      </c>
      <c r="BW421" s="3">
        <v>231.3</v>
      </c>
      <c r="BX421" s="3">
        <v>592.4</v>
      </c>
      <c r="BY421" s="3">
        <v>117.5</v>
      </c>
      <c r="BZ421" s="3">
        <v>491.1</v>
      </c>
      <c r="CA421" s="3">
        <v>427.9</v>
      </c>
      <c r="CB421" s="3">
        <v>930.4</v>
      </c>
      <c r="CC421" s="3">
        <v>451.3</v>
      </c>
      <c r="CD421" s="3">
        <v>593.70000000000005</v>
      </c>
      <c r="CE421" s="3">
        <v>484.5</v>
      </c>
      <c r="CF421" s="3">
        <v>6.9</v>
      </c>
      <c r="CG421" s="3">
        <v>132.9</v>
      </c>
      <c r="CH421" s="3">
        <v>102.6</v>
      </c>
      <c r="CI421" s="3">
        <v>513.4</v>
      </c>
      <c r="CJ421" s="3">
        <v>217.7</v>
      </c>
      <c r="CK421" s="3">
        <v>234.9</v>
      </c>
      <c r="CL421" s="3">
        <v>642.29999999999995</v>
      </c>
      <c r="CM421" s="3">
        <v>300.3</v>
      </c>
      <c r="CN421" s="3">
        <v>290.2</v>
      </c>
    </row>
    <row r="422" spans="1:92" x14ac:dyDescent="0.25">
      <c r="A422" s="4">
        <v>44562</v>
      </c>
      <c r="B422" s="3">
        <v>234.4</v>
      </c>
      <c r="C422" s="3">
        <v>212.2</v>
      </c>
      <c r="D422" s="3">
        <v>297.39999999999998</v>
      </c>
      <c r="E422" s="3">
        <v>215.9</v>
      </c>
      <c r="F422" s="3">
        <v>361.4</v>
      </c>
      <c r="G422" s="3">
        <v>396.1</v>
      </c>
      <c r="H422" s="3">
        <v>236.9</v>
      </c>
      <c r="I422" s="3">
        <v>201.8</v>
      </c>
      <c r="J422" s="3">
        <v>122.1</v>
      </c>
      <c r="K422" s="3">
        <v>198.3</v>
      </c>
      <c r="L422" s="3">
        <v>272.5</v>
      </c>
      <c r="M422" s="3">
        <v>265.5</v>
      </c>
      <c r="N422" s="3">
        <v>275.39999999999998</v>
      </c>
      <c r="O422" s="3">
        <v>388.7</v>
      </c>
      <c r="P422" s="3">
        <v>241.4</v>
      </c>
      <c r="Q422" s="3">
        <v>232.4</v>
      </c>
      <c r="R422" s="3">
        <v>213.4</v>
      </c>
      <c r="S422" s="3">
        <v>255.4</v>
      </c>
      <c r="T422" s="3">
        <v>202.8</v>
      </c>
      <c r="U422" s="3">
        <v>225.6</v>
      </c>
      <c r="V422" s="3">
        <v>185</v>
      </c>
      <c r="W422" s="3">
        <v>289.3</v>
      </c>
      <c r="X422" s="3">
        <v>202.7</v>
      </c>
      <c r="Y422" s="3">
        <v>306.89999999999998</v>
      </c>
      <c r="Z422" s="3">
        <v>240.8</v>
      </c>
      <c r="AA422" s="3">
        <v>179.4</v>
      </c>
      <c r="AB422" s="3">
        <v>248.1</v>
      </c>
      <c r="AC422" s="3">
        <v>183.1</v>
      </c>
      <c r="AD422" s="3">
        <v>156.9</v>
      </c>
      <c r="AE422" s="3">
        <v>279.5</v>
      </c>
      <c r="AF422" s="3">
        <v>243.7</v>
      </c>
      <c r="AG422" s="3">
        <v>232.2</v>
      </c>
      <c r="AH422" s="3">
        <v>305.8</v>
      </c>
      <c r="AI422" s="3">
        <v>208.3</v>
      </c>
      <c r="AJ422" s="3">
        <v>380</v>
      </c>
      <c r="AK422" s="3">
        <v>421.2</v>
      </c>
      <c r="AL422" s="3">
        <v>382.4</v>
      </c>
      <c r="AM422" s="3">
        <v>342.4</v>
      </c>
      <c r="AN422" s="3">
        <v>393.3</v>
      </c>
      <c r="AO422" s="3">
        <v>172.5</v>
      </c>
      <c r="AP422" s="3">
        <v>282.5</v>
      </c>
      <c r="AQ422" s="3">
        <v>387.5</v>
      </c>
      <c r="AR422" s="3">
        <v>209.5</v>
      </c>
      <c r="AS422" s="3">
        <v>895</v>
      </c>
      <c r="AT422" s="3">
        <v>678.3</v>
      </c>
      <c r="AU422" s="3">
        <v>393.1</v>
      </c>
      <c r="AV422" s="3">
        <v>222.8</v>
      </c>
      <c r="AW422" s="3">
        <v>473.9</v>
      </c>
      <c r="AX422" s="3">
        <v>415.2</v>
      </c>
      <c r="AY422" s="3">
        <v>532</v>
      </c>
      <c r="AZ422" s="3">
        <v>392.6</v>
      </c>
      <c r="BA422" s="3">
        <v>274.60000000000002</v>
      </c>
      <c r="BB422" s="3">
        <v>561.29999999999995</v>
      </c>
      <c r="BC422" s="3">
        <v>390.1</v>
      </c>
      <c r="BD422" s="3">
        <v>436.7</v>
      </c>
      <c r="BE422" s="3">
        <v>375.1</v>
      </c>
      <c r="BF422" s="3">
        <v>526</v>
      </c>
      <c r="BG422" s="3">
        <v>337</v>
      </c>
      <c r="BH422" s="3">
        <v>281.89999999999998</v>
      </c>
      <c r="BI422" s="3">
        <v>86.9</v>
      </c>
      <c r="BJ422" s="3">
        <v>234.7</v>
      </c>
      <c r="BK422" s="3">
        <v>215.6</v>
      </c>
      <c r="BL422" s="3">
        <v>264.5</v>
      </c>
      <c r="BM422" s="3">
        <v>488.8</v>
      </c>
      <c r="BN422" s="3">
        <v>120.1</v>
      </c>
      <c r="BO422" s="3">
        <v>465.2</v>
      </c>
      <c r="BP422" s="3">
        <v>564.9</v>
      </c>
      <c r="BQ422" s="3">
        <v>221.2</v>
      </c>
      <c r="BR422" s="3">
        <v>187</v>
      </c>
      <c r="BS422" s="3">
        <v>217.6</v>
      </c>
      <c r="BT422" s="3">
        <v>262</v>
      </c>
      <c r="BU422" s="3">
        <v>172.7</v>
      </c>
      <c r="BV422" s="3">
        <v>219.7</v>
      </c>
      <c r="BW422" s="3">
        <v>231.6</v>
      </c>
      <c r="BX422" s="3">
        <v>604.20000000000005</v>
      </c>
      <c r="BY422" s="3">
        <v>118</v>
      </c>
      <c r="BZ422" s="3">
        <v>498.5</v>
      </c>
      <c r="CA422" s="3">
        <v>424</v>
      </c>
      <c r="CB422" s="3">
        <v>978.4</v>
      </c>
      <c r="CC422" s="3">
        <v>444.7</v>
      </c>
      <c r="CD422" s="3">
        <v>559.4</v>
      </c>
      <c r="CE422" s="3">
        <v>386</v>
      </c>
      <c r="CF422" s="3">
        <v>6.8</v>
      </c>
      <c r="CG422" s="3">
        <v>128.5</v>
      </c>
      <c r="CH422" s="3">
        <v>102.5</v>
      </c>
      <c r="CI422" s="3">
        <v>519.79999999999995</v>
      </c>
      <c r="CJ422" s="3">
        <v>218.8</v>
      </c>
      <c r="CK422" s="3">
        <v>234.9</v>
      </c>
      <c r="CL422" s="3">
        <v>640.70000000000005</v>
      </c>
      <c r="CM422" s="3">
        <v>301</v>
      </c>
      <c r="CN422" s="3">
        <v>286.10000000000002</v>
      </c>
    </row>
    <row r="423" spans="1:92" x14ac:dyDescent="0.25">
      <c r="A423" s="4">
        <v>44593</v>
      </c>
      <c r="B423" s="3">
        <v>232.2</v>
      </c>
      <c r="C423" s="3">
        <v>218.8</v>
      </c>
      <c r="D423" s="3">
        <v>304.89999999999998</v>
      </c>
      <c r="E423" s="3">
        <v>218.1</v>
      </c>
      <c r="F423" s="3">
        <v>368.2</v>
      </c>
      <c r="G423" s="3">
        <v>403.6</v>
      </c>
      <c r="H423" s="3">
        <v>230.2</v>
      </c>
      <c r="I423" s="3">
        <v>203.3</v>
      </c>
      <c r="J423" s="3">
        <v>124</v>
      </c>
      <c r="K423" s="3">
        <v>198.6</v>
      </c>
      <c r="L423" s="3">
        <v>279.3</v>
      </c>
      <c r="M423" s="3">
        <v>273.10000000000002</v>
      </c>
      <c r="N423" s="3">
        <v>281.2</v>
      </c>
      <c r="O423" s="3">
        <v>392.6</v>
      </c>
      <c r="P423" s="3">
        <v>232</v>
      </c>
      <c r="Q423" s="3">
        <v>238.4</v>
      </c>
      <c r="R423" s="3">
        <v>214.7</v>
      </c>
      <c r="S423" s="3">
        <v>264.7</v>
      </c>
      <c r="T423" s="3">
        <v>210</v>
      </c>
      <c r="U423" s="3">
        <v>230.5</v>
      </c>
      <c r="V423" s="3">
        <v>185.5</v>
      </c>
      <c r="W423" s="3">
        <v>294.7</v>
      </c>
      <c r="X423" s="3">
        <v>205.1</v>
      </c>
      <c r="Y423" s="3">
        <v>301.5</v>
      </c>
      <c r="Z423" s="3">
        <v>243.3</v>
      </c>
      <c r="AA423" s="3">
        <v>180.5</v>
      </c>
      <c r="AB423" s="3">
        <v>251</v>
      </c>
      <c r="AC423" s="3">
        <v>182.8</v>
      </c>
      <c r="AD423" s="3">
        <v>156.19999999999999</v>
      </c>
      <c r="AE423" s="3">
        <v>281.89999999999998</v>
      </c>
      <c r="AF423" s="3">
        <v>244.9</v>
      </c>
      <c r="AG423" s="3">
        <v>233.2</v>
      </c>
      <c r="AH423" s="3">
        <v>307.89999999999998</v>
      </c>
      <c r="AI423" s="3">
        <v>212</v>
      </c>
      <c r="AJ423" s="3">
        <v>380.8</v>
      </c>
      <c r="AK423" s="3">
        <v>421.2</v>
      </c>
      <c r="AL423" s="3">
        <v>383.9</v>
      </c>
      <c r="AM423" s="3">
        <v>345.2</v>
      </c>
      <c r="AN423" s="3">
        <v>394.2</v>
      </c>
      <c r="AO423" s="3">
        <v>174.9</v>
      </c>
      <c r="AP423" s="3">
        <v>280.2</v>
      </c>
      <c r="AQ423" s="3">
        <v>388.4</v>
      </c>
      <c r="AR423" s="3">
        <v>206.7</v>
      </c>
      <c r="AS423" s="3">
        <v>898.6</v>
      </c>
      <c r="AT423" s="3">
        <v>683.3</v>
      </c>
      <c r="AU423" s="3">
        <v>393.8</v>
      </c>
      <c r="AV423" s="3">
        <v>226.7</v>
      </c>
      <c r="AW423" s="3">
        <v>475.8</v>
      </c>
      <c r="AX423" s="3">
        <v>415.2</v>
      </c>
      <c r="AY423" s="3">
        <v>532</v>
      </c>
      <c r="AZ423" s="3">
        <v>393.2</v>
      </c>
      <c r="BA423" s="3">
        <v>277.8</v>
      </c>
      <c r="BB423" s="3">
        <v>570.1</v>
      </c>
      <c r="BC423" s="3">
        <v>397.9</v>
      </c>
      <c r="BD423" s="3">
        <v>436.7</v>
      </c>
      <c r="BE423" s="3">
        <v>375.1</v>
      </c>
      <c r="BF423" s="3">
        <v>573.1</v>
      </c>
      <c r="BG423" s="3">
        <v>348</v>
      </c>
      <c r="BH423" s="3">
        <v>293.5</v>
      </c>
      <c r="BI423" s="3">
        <v>89.1</v>
      </c>
      <c r="BJ423" s="3">
        <v>240.5</v>
      </c>
      <c r="BK423" s="3">
        <v>219.5</v>
      </c>
      <c r="BL423" s="3">
        <v>268.7</v>
      </c>
      <c r="BM423" s="3">
        <v>488.8</v>
      </c>
      <c r="BN423" s="3">
        <v>120.2</v>
      </c>
      <c r="BO423" s="3">
        <v>467.5</v>
      </c>
      <c r="BP423" s="3">
        <v>565.79999999999995</v>
      </c>
      <c r="BQ423" s="3">
        <v>226.7</v>
      </c>
      <c r="BR423" s="3">
        <v>200.6</v>
      </c>
      <c r="BS423" s="3">
        <v>222.1</v>
      </c>
      <c r="BT423" s="3">
        <v>264.39999999999998</v>
      </c>
      <c r="BU423" s="3">
        <v>175</v>
      </c>
      <c r="BV423" s="3">
        <v>223.9</v>
      </c>
      <c r="BW423" s="3">
        <v>232.8</v>
      </c>
      <c r="BX423" s="3">
        <v>606.1</v>
      </c>
      <c r="BY423" s="3">
        <v>117.9</v>
      </c>
      <c r="BZ423" s="3">
        <v>504.6</v>
      </c>
      <c r="CA423" s="3">
        <v>430.5</v>
      </c>
      <c r="CB423" s="3">
        <v>967.5</v>
      </c>
      <c r="CC423" s="3">
        <v>454.4</v>
      </c>
      <c r="CD423" s="3">
        <v>569.9</v>
      </c>
      <c r="CE423" s="3">
        <v>400.7</v>
      </c>
      <c r="CF423" s="3">
        <v>6.7</v>
      </c>
      <c r="CG423" s="3">
        <v>139.4</v>
      </c>
      <c r="CH423" s="3">
        <v>106.8</v>
      </c>
      <c r="CI423" s="3">
        <v>546.9</v>
      </c>
      <c r="CJ423" s="3">
        <v>223.9</v>
      </c>
      <c r="CK423" s="3">
        <v>234.9</v>
      </c>
      <c r="CL423" s="3">
        <v>642</v>
      </c>
      <c r="CM423" s="3">
        <v>300.5</v>
      </c>
      <c r="CN423" s="3">
        <v>291.7</v>
      </c>
    </row>
    <row r="424" spans="1:92" x14ac:dyDescent="0.25">
      <c r="A424" s="4">
        <v>44621</v>
      </c>
      <c r="B424" s="3">
        <v>237.6</v>
      </c>
      <c r="C424" s="3">
        <v>219.1</v>
      </c>
      <c r="D424" s="3">
        <v>299.60000000000002</v>
      </c>
      <c r="E424" s="3">
        <v>220.6</v>
      </c>
      <c r="F424" s="3">
        <v>374.3</v>
      </c>
      <c r="G424" s="3">
        <v>410.2</v>
      </c>
      <c r="H424" s="3">
        <v>236.8</v>
      </c>
      <c r="I424" s="3">
        <v>203.5</v>
      </c>
      <c r="J424" s="3">
        <v>124.9</v>
      </c>
      <c r="K424" s="3">
        <v>199</v>
      </c>
      <c r="L424" s="3">
        <v>279.5</v>
      </c>
      <c r="M424" s="3">
        <v>277.3</v>
      </c>
      <c r="N424" s="3">
        <v>277.39999999999998</v>
      </c>
      <c r="O424" s="3">
        <v>412.5</v>
      </c>
      <c r="P424" s="3">
        <v>248.3</v>
      </c>
      <c r="Q424" s="3">
        <v>240.5</v>
      </c>
      <c r="R424" s="3">
        <v>215.4</v>
      </c>
      <c r="S424" s="3">
        <v>269.3</v>
      </c>
      <c r="T424" s="3">
        <v>208.4</v>
      </c>
      <c r="U424" s="3">
        <v>229.2</v>
      </c>
      <c r="V424" s="3">
        <v>185.5</v>
      </c>
      <c r="W424" s="3">
        <v>299.60000000000002</v>
      </c>
      <c r="X424" s="3">
        <v>206.2</v>
      </c>
      <c r="Y424" s="3">
        <v>300.3</v>
      </c>
      <c r="Z424" s="3">
        <v>239.9</v>
      </c>
      <c r="AA424" s="3">
        <v>177.9</v>
      </c>
      <c r="AB424" s="3">
        <v>247.5</v>
      </c>
      <c r="AC424" s="3">
        <v>182.3</v>
      </c>
      <c r="AD424" s="3">
        <v>155.5</v>
      </c>
      <c r="AE424" s="3">
        <v>282.89999999999998</v>
      </c>
      <c r="AF424" s="3">
        <v>241.7</v>
      </c>
      <c r="AG424" s="3">
        <v>228.6</v>
      </c>
      <c r="AH424" s="3">
        <v>312.2</v>
      </c>
      <c r="AI424" s="3">
        <v>211.1</v>
      </c>
      <c r="AJ424" s="3">
        <v>383.4</v>
      </c>
      <c r="AK424" s="3">
        <v>423</v>
      </c>
      <c r="AL424" s="3">
        <v>386.3</v>
      </c>
      <c r="AM424" s="3">
        <v>347.7</v>
      </c>
      <c r="AN424" s="3">
        <v>398.6</v>
      </c>
      <c r="AO424" s="3">
        <v>175.5</v>
      </c>
      <c r="AP424" s="3">
        <v>285</v>
      </c>
      <c r="AQ424" s="3">
        <v>398.3</v>
      </c>
      <c r="AR424" s="3">
        <v>209.4</v>
      </c>
      <c r="AS424" s="3">
        <v>908.7</v>
      </c>
      <c r="AT424" s="3">
        <v>697.8</v>
      </c>
      <c r="AU424" s="3">
        <v>394.4</v>
      </c>
      <c r="AV424" s="3">
        <v>230.1</v>
      </c>
      <c r="AW424" s="3">
        <v>479.9</v>
      </c>
      <c r="AX424" s="3">
        <v>415.2</v>
      </c>
      <c r="AY424" s="3">
        <v>532</v>
      </c>
      <c r="AZ424" s="3">
        <v>394.1</v>
      </c>
      <c r="BA424" s="3">
        <v>282.60000000000002</v>
      </c>
      <c r="BB424" s="3">
        <v>571.70000000000005</v>
      </c>
      <c r="BC424" s="3">
        <v>412</v>
      </c>
      <c r="BD424" s="3">
        <v>436.7</v>
      </c>
      <c r="BE424" s="3">
        <v>375.1</v>
      </c>
      <c r="BF424" s="3">
        <v>772.5</v>
      </c>
      <c r="BG424" s="3">
        <v>360.2</v>
      </c>
      <c r="BH424" s="3">
        <v>297</v>
      </c>
      <c r="BI424" s="3">
        <v>89.8</v>
      </c>
      <c r="BJ424" s="3">
        <v>243.2</v>
      </c>
      <c r="BK424" s="3">
        <v>220.8</v>
      </c>
      <c r="BL424" s="3">
        <v>270.3</v>
      </c>
      <c r="BM424" s="3">
        <v>488.8</v>
      </c>
      <c r="BN424" s="3">
        <v>120</v>
      </c>
      <c r="BO424" s="3">
        <v>468.9</v>
      </c>
      <c r="BP424" s="3">
        <v>566.6</v>
      </c>
      <c r="BQ424" s="3">
        <v>240.7</v>
      </c>
      <c r="BR424" s="3">
        <v>209.6</v>
      </c>
      <c r="BS424" s="3">
        <v>231.9</v>
      </c>
      <c r="BT424" s="3">
        <v>268.5</v>
      </c>
      <c r="BU424" s="3">
        <v>177.4</v>
      </c>
      <c r="BV424" s="3">
        <v>227.3</v>
      </c>
      <c r="BW424" s="3">
        <v>233.2</v>
      </c>
      <c r="BX424" s="3">
        <v>608.1</v>
      </c>
      <c r="BY424" s="3">
        <v>117.8</v>
      </c>
      <c r="BZ424" s="3">
        <v>506.8</v>
      </c>
      <c r="CA424" s="3">
        <v>473.7</v>
      </c>
      <c r="CB424" s="3">
        <v>980</v>
      </c>
      <c r="CC424" s="3">
        <v>471</v>
      </c>
      <c r="CD424" s="3">
        <v>569.5</v>
      </c>
      <c r="CE424" s="3">
        <v>404</v>
      </c>
      <c r="CF424" s="3">
        <v>6.7</v>
      </c>
      <c r="CG424" s="3">
        <v>141</v>
      </c>
      <c r="CH424" s="3">
        <v>106.9</v>
      </c>
      <c r="CI424" s="3">
        <v>536.1</v>
      </c>
      <c r="CJ424" s="3">
        <v>226.2</v>
      </c>
      <c r="CK424" s="3">
        <v>234.9</v>
      </c>
      <c r="CL424" s="3">
        <v>646.6</v>
      </c>
      <c r="CM424" s="3">
        <v>300.8</v>
      </c>
      <c r="CN424" s="3">
        <v>298.5</v>
      </c>
    </row>
    <row r="425" spans="1:92" x14ac:dyDescent="0.25">
      <c r="A425" s="4">
        <v>44652</v>
      </c>
      <c r="B425" s="3">
        <v>238.7</v>
      </c>
      <c r="C425" s="3">
        <v>220.3</v>
      </c>
      <c r="D425" s="3">
        <v>317.10000000000002</v>
      </c>
      <c r="E425" s="3">
        <v>222.1</v>
      </c>
      <c r="F425" s="3">
        <v>378.6</v>
      </c>
      <c r="G425" s="3">
        <v>415</v>
      </c>
      <c r="H425" s="3">
        <v>239</v>
      </c>
      <c r="I425" s="3">
        <v>205.2</v>
      </c>
      <c r="J425" s="3">
        <v>128.19999999999999</v>
      </c>
      <c r="K425" s="3">
        <v>204.7</v>
      </c>
      <c r="L425" s="3">
        <v>284.89999999999998</v>
      </c>
      <c r="M425" s="3">
        <v>277.60000000000002</v>
      </c>
      <c r="N425" s="3">
        <v>287.89999999999998</v>
      </c>
      <c r="O425" s="3">
        <v>407.7</v>
      </c>
      <c r="P425" s="3">
        <v>246.8</v>
      </c>
      <c r="Q425" s="3">
        <v>245.7</v>
      </c>
      <c r="R425" s="3">
        <v>212.1</v>
      </c>
      <c r="S425" s="3">
        <v>270.89999999999998</v>
      </c>
      <c r="T425" s="3">
        <v>213.7</v>
      </c>
      <c r="U425" s="3">
        <v>228.6</v>
      </c>
      <c r="V425" s="3">
        <v>189.5</v>
      </c>
      <c r="W425" s="3">
        <v>298.7</v>
      </c>
      <c r="X425" s="3">
        <v>210.7</v>
      </c>
      <c r="Y425" s="3">
        <v>305.39999999999998</v>
      </c>
      <c r="Z425" s="3">
        <v>245.4</v>
      </c>
      <c r="AA425" s="3">
        <v>178.9</v>
      </c>
      <c r="AB425" s="3">
        <v>254.2</v>
      </c>
      <c r="AC425" s="3">
        <v>183.3</v>
      </c>
      <c r="AD425" s="3">
        <v>157</v>
      </c>
      <c r="AE425" s="3">
        <v>280.3</v>
      </c>
      <c r="AF425" s="3">
        <v>241.4</v>
      </c>
      <c r="AG425" s="3">
        <v>228.2</v>
      </c>
      <c r="AH425" s="3">
        <v>312.5</v>
      </c>
      <c r="AI425" s="3">
        <v>215.5</v>
      </c>
      <c r="AJ425" s="3">
        <v>392.5</v>
      </c>
      <c r="AK425" s="3">
        <v>427.6</v>
      </c>
      <c r="AL425" s="3">
        <v>393.6</v>
      </c>
      <c r="AM425" s="3">
        <v>348.4</v>
      </c>
      <c r="AN425" s="3">
        <v>404.8</v>
      </c>
      <c r="AO425" s="3">
        <v>173.8</v>
      </c>
      <c r="AP425" s="3">
        <v>285.89999999999998</v>
      </c>
      <c r="AQ425" s="3">
        <v>404.7</v>
      </c>
      <c r="AR425" s="3">
        <v>208.5</v>
      </c>
      <c r="AS425" s="3">
        <v>915.6</v>
      </c>
      <c r="AT425" s="3">
        <v>707.5</v>
      </c>
      <c r="AU425" s="3">
        <v>397.2</v>
      </c>
      <c r="AV425" s="3">
        <v>234</v>
      </c>
      <c r="AW425" s="3">
        <v>483.6</v>
      </c>
      <c r="AX425" s="3">
        <v>429.4</v>
      </c>
      <c r="AY425" s="3">
        <v>552.29999999999995</v>
      </c>
      <c r="AZ425" s="3">
        <v>396.3</v>
      </c>
      <c r="BA425" s="3">
        <v>285</v>
      </c>
      <c r="BB425" s="3">
        <v>579</v>
      </c>
      <c r="BC425" s="3">
        <v>420.6</v>
      </c>
      <c r="BD425" s="3">
        <v>613.70000000000005</v>
      </c>
      <c r="BE425" s="3">
        <v>633.20000000000005</v>
      </c>
      <c r="BF425" s="3">
        <v>743.3</v>
      </c>
      <c r="BG425" s="3">
        <v>361.7</v>
      </c>
      <c r="BH425" s="3">
        <v>292.8</v>
      </c>
      <c r="BI425" s="3">
        <v>89.5</v>
      </c>
      <c r="BJ425" s="3">
        <v>243.4</v>
      </c>
      <c r="BK425" s="3">
        <v>227.8</v>
      </c>
      <c r="BL425" s="3">
        <v>271.10000000000002</v>
      </c>
      <c r="BM425" s="3">
        <v>515.5</v>
      </c>
      <c r="BN425" s="3">
        <v>124.2</v>
      </c>
      <c r="BO425" s="3">
        <v>472.3</v>
      </c>
      <c r="BP425" s="3">
        <v>572.6</v>
      </c>
      <c r="BQ425" s="3">
        <v>246.6</v>
      </c>
      <c r="BR425" s="3">
        <v>214</v>
      </c>
      <c r="BS425" s="3">
        <v>230.2</v>
      </c>
      <c r="BT425" s="3">
        <v>271</v>
      </c>
      <c r="BU425" s="3">
        <v>182.6</v>
      </c>
      <c r="BV425" s="3">
        <v>227.7</v>
      </c>
      <c r="BW425" s="3">
        <v>236.6</v>
      </c>
      <c r="BX425" s="3">
        <v>616.20000000000005</v>
      </c>
      <c r="BY425" s="3">
        <v>116.8</v>
      </c>
      <c r="BZ425" s="3">
        <v>505.3</v>
      </c>
      <c r="CA425" s="3">
        <v>484.4</v>
      </c>
      <c r="CB425" s="3">
        <v>1004.4</v>
      </c>
      <c r="CC425" s="3">
        <v>477.5</v>
      </c>
      <c r="CD425" s="3">
        <v>604.9</v>
      </c>
      <c r="CE425" s="3">
        <v>433.8</v>
      </c>
      <c r="CF425" s="3">
        <v>6.5</v>
      </c>
      <c r="CG425" s="3">
        <v>137.69999999999999</v>
      </c>
      <c r="CH425" s="3">
        <v>105.9</v>
      </c>
      <c r="CI425" s="3">
        <v>529.20000000000005</v>
      </c>
      <c r="CJ425" s="3">
        <v>224.7</v>
      </c>
      <c r="CK425" s="3">
        <v>237.3</v>
      </c>
      <c r="CL425" s="3">
        <v>660.8</v>
      </c>
      <c r="CM425" s="3">
        <v>303</v>
      </c>
      <c r="CN425" s="3">
        <v>300.39999999999998</v>
      </c>
    </row>
    <row r="426" spans="1:92" x14ac:dyDescent="0.25">
      <c r="A426" s="4">
        <v>44682</v>
      </c>
      <c r="B426" s="3">
        <v>242.3</v>
      </c>
      <c r="C426" s="3">
        <v>224.8</v>
      </c>
      <c r="D426" s="3">
        <v>319.8</v>
      </c>
      <c r="E426" s="3">
        <v>225.1</v>
      </c>
      <c r="F426" s="3">
        <v>378</v>
      </c>
      <c r="G426" s="3">
        <v>414.3</v>
      </c>
      <c r="H426" s="3">
        <v>244.3</v>
      </c>
      <c r="I426" s="3">
        <v>209.2</v>
      </c>
      <c r="J426" s="3">
        <v>131.80000000000001</v>
      </c>
      <c r="K426" s="3">
        <v>206.7</v>
      </c>
      <c r="L426" s="3">
        <v>283.10000000000002</v>
      </c>
      <c r="M426" s="3">
        <v>279.8</v>
      </c>
      <c r="N426" s="3">
        <v>282.10000000000002</v>
      </c>
      <c r="O426" s="3">
        <v>424.8</v>
      </c>
      <c r="P426" s="3">
        <v>255.9</v>
      </c>
      <c r="Q426" s="3">
        <v>246.1</v>
      </c>
      <c r="R426" s="3">
        <v>224.1</v>
      </c>
      <c r="S426" s="3">
        <v>278.39999999999998</v>
      </c>
      <c r="T426" s="3">
        <v>216.5</v>
      </c>
      <c r="U426" s="3">
        <v>232.8</v>
      </c>
      <c r="V426" s="3">
        <v>196.7</v>
      </c>
      <c r="W426" s="3">
        <v>305.10000000000002</v>
      </c>
      <c r="X426" s="3">
        <v>207.6</v>
      </c>
      <c r="Y426" s="3">
        <v>309.60000000000002</v>
      </c>
      <c r="Z426" s="3">
        <v>250.6</v>
      </c>
      <c r="AA426" s="3">
        <v>182.1</v>
      </c>
      <c r="AB426" s="3">
        <v>259.89999999999998</v>
      </c>
      <c r="AC426" s="3">
        <v>186.5</v>
      </c>
      <c r="AD426" s="3">
        <v>160.19999999999999</v>
      </c>
      <c r="AE426" s="3">
        <v>282.60000000000002</v>
      </c>
      <c r="AF426" s="3">
        <v>241.6</v>
      </c>
      <c r="AG426" s="3">
        <v>229.2</v>
      </c>
      <c r="AH426" s="3">
        <v>308.3</v>
      </c>
      <c r="AI426" s="3">
        <v>219.7</v>
      </c>
      <c r="AJ426" s="3">
        <v>396.2</v>
      </c>
      <c r="AK426" s="3">
        <v>431.4</v>
      </c>
      <c r="AL426" s="3">
        <v>399.1</v>
      </c>
      <c r="AM426" s="3">
        <v>349.8</v>
      </c>
      <c r="AN426" s="3">
        <v>405.8</v>
      </c>
      <c r="AO426" s="3">
        <v>174.7</v>
      </c>
      <c r="AP426" s="3">
        <v>287.8</v>
      </c>
      <c r="AQ426" s="3">
        <v>406.2</v>
      </c>
      <c r="AR426" s="3">
        <v>210.3</v>
      </c>
      <c r="AS426" s="3">
        <v>917.2</v>
      </c>
      <c r="AT426" s="3">
        <v>709.8</v>
      </c>
      <c r="AU426" s="3">
        <v>398.3</v>
      </c>
      <c r="AV426" s="3">
        <v>236.7</v>
      </c>
      <c r="AW426" s="3">
        <v>488.1</v>
      </c>
      <c r="AX426" s="3">
        <v>429.4</v>
      </c>
      <c r="AY426" s="3">
        <v>552.29999999999995</v>
      </c>
      <c r="AZ426" s="3">
        <v>396.7</v>
      </c>
      <c r="BA426" s="3">
        <v>287.8</v>
      </c>
      <c r="BB426" s="3">
        <v>582</v>
      </c>
      <c r="BC426" s="3">
        <v>431.9</v>
      </c>
      <c r="BD426" s="3">
        <v>613.70000000000005</v>
      </c>
      <c r="BE426" s="3">
        <v>633.20000000000005</v>
      </c>
      <c r="BF426" s="3">
        <v>797.4</v>
      </c>
      <c r="BG426" s="3">
        <v>365.9</v>
      </c>
      <c r="BH426" s="3">
        <v>297.10000000000002</v>
      </c>
      <c r="BI426" s="3">
        <v>89.8</v>
      </c>
      <c r="BJ426" s="3">
        <v>247.2</v>
      </c>
      <c r="BK426" s="3">
        <v>230.4</v>
      </c>
      <c r="BL426" s="3">
        <v>275</v>
      </c>
      <c r="BM426" s="3">
        <v>515.5</v>
      </c>
      <c r="BN426" s="3">
        <v>124.3</v>
      </c>
      <c r="BO426" s="3">
        <v>475.1</v>
      </c>
      <c r="BP426" s="3">
        <v>572.9</v>
      </c>
      <c r="BQ426" s="3">
        <v>249.8</v>
      </c>
      <c r="BR426" s="3">
        <v>217.9</v>
      </c>
      <c r="BS426" s="3">
        <v>232.7</v>
      </c>
      <c r="BT426" s="3">
        <v>272.7</v>
      </c>
      <c r="BU426" s="3">
        <v>182.8</v>
      </c>
      <c r="BV426" s="3">
        <v>230.2</v>
      </c>
      <c r="BW426" s="3">
        <v>236.4</v>
      </c>
      <c r="BX426" s="3">
        <v>618.29999999999995</v>
      </c>
      <c r="BY426" s="3">
        <v>116.4</v>
      </c>
      <c r="BZ426" s="3">
        <v>512.6</v>
      </c>
      <c r="CA426" s="3">
        <v>494.1</v>
      </c>
      <c r="CB426" s="3">
        <v>1027.4000000000001</v>
      </c>
      <c r="CC426" s="3">
        <v>464.9</v>
      </c>
      <c r="CD426" s="3">
        <v>584.29999999999995</v>
      </c>
      <c r="CE426" s="3">
        <v>442.9</v>
      </c>
      <c r="CF426" s="3">
        <v>6.5</v>
      </c>
      <c r="CG426" s="3">
        <v>140.6</v>
      </c>
      <c r="CH426" s="3">
        <v>105.5</v>
      </c>
      <c r="CI426" s="3">
        <v>533.6</v>
      </c>
      <c r="CJ426" s="3">
        <v>228.7</v>
      </c>
      <c r="CK426" s="3">
        <v>237.3</v>
      </c>
      <c r="CL426" s="3">
        <v>660.1</v>
      </c>
      <c r="CM426" s="3">
        <v>304.7</v>
      </c>
      <c r="CN426" s="3">
        <v>305.10000000000002</v>
      </c>
    </row>
    <row r="427" spans="1:92" x14ac:dyDescent="0.25">
      <c r="A427" s="4">
        <v>44713</v>
      </c>
      <c r="B427" s="3">
        <v>247</v>
      </c>
      <c r="C427" s="3">
        <v>223.4</v>
      </c>
      <c r="D427" s="3">
        <v>330.6</v>
      </c>
      <c r="E427" s="3">
        <v>226.7</v>
      </c>
      <c r="F427" s="3">
        <v>387</v>
      </c>
      <c r="G427" s="3">
        <v>424.2</v>
      </c>
      <c r="H427" s="3">
        <v>250.7</v>
      </c>
      <c r="I427" s="3">
        <v>219.3</v>
      </c>
      <c r="J427" s="3">
        <v>134.6</v>
      </c>
      <c r="K427" s="3">
        <v>211.7</v>
      </c>
      <c r="L427" s="3">
        <v>293.8</v>
      </c>
      <c r="M427" s="3">
        <v>287.39999999999998</v>
      </c>
      <c r="N427" s="3">
        <v>295.7</v>
      </c>
      <c r="O427" s="3">
        <v>454.7</v>
      </c>
      <c r="P427" s="3">
        <v>251.2</v>
      </c>
      <c r="Q427" s="3">
        <v>259.7</v>
      </c>
      <c r="R427" s="3">
        <v>225.8</v>
      </c>
      <c r="S427" s="3">
        <v>290.60000000000002</v>
      </c>
      <c r="T427" s="3">
        <v>218</v>
      </c>
      <c r="U427" s="3">
        <v>236.8</v>
      </c>
      <c r="V427" s="3">
        <v>193.6</v>
      </c>
      <c r="W427" s="3">
        <v>300.89999999999998</v>
      </c>
      <c r="X427" s="3">
        <v>209.8</v>
      </c>
      <c r="Y427" s="3">
        <v>303.89999999999998</v>
      </c>
      <c r="Z427" s="3">
        <v>252.2</v>
      </c>
      <c r="AA427" s="3">
        <v>188.2</v>
      </c>
      <c r="AB427" s="3">
        <v>259.7</v>
      </c>
      <c r="AC427" s="3">
        <v>189.9</v>
      </c>
      <c r="AD427" s="3">
        <v>162</v>
      </c>
      <c r="AE427" s="3">
        <v>294.10000000000002</v>
      </c>
      <c r="AF427" s="3">
        <v>243.3</v>
      </c>
      <c r="AG427" s="3">
        <v>231.2</v>
      </c>
      <c r="AH427" s="3">
        <v>308.39999999999998</v>
      </c>
      <c r="AI427" s="3">
        <v>223.8</v>
      </c>
      <c r="AJ427" s="3">
        <v>398.5</v>
      </c>
      <c r="AK427" s="3">
        <v>430.8</v>
      </c>
      <c r="AL427" s="3">
        <v>404.9</v>
      </c>
      <c r="AM427" s="3">
        <v>351.3</v>
      </c>
      <c r="AN427" s="3">
        <v>406</v>
      </c>
      <c r="AO427" s="3">
        <v>176</v>
      </c>
      <c r="AP427" s="3">
        <v>288</v>
      </c>
      <c r="AQ427" s="3">
        <v>408.1</v>
      </c>
      <c r="AR427" s="3">
        <v>210</v>
      </c>
      <c r="AS427" s="3">
        <v>917.2</v>
      </c>
      <c r="AT427" s="3">
        <v>711.8</v>
      </c>
      <c r="AU427" s="3">
        <v>399.3</v>
      </c>
      <c r="AV427" s="3">
        <v>242.2</v>
      </c>
      <c r="AW427" s="3">
        <v>490.7</v>
      </c>
      <c r="AX427" s="3">
        <v>429.4</v>
      </c>
      <c r="AY427" s="3">
        <v>552.29999999999995</v>
      </c>
      <c r="AZ427" s="3">
        <v>397.5</v>
      </c>
      <c r="BA427" s="3">
        <v>288.3</v>
      </c>
      <c r="BB427" s="3">
        <v>590.29999999999995</v>
      </c>
      <c r="BC427" s="3">
        <v>454.2</v>
      </c>
      <c r="BD427" s="3">
        <v>613.70000000000005</v>
      </c>
      <c r="BE427" s="3">
        <v>633.20000000000005</v>
      </c>
      <c r="BF427" s="3">
        <v>837.2</v>
      </c>
      <c r="BG427" s="3">
        <v>376.2</v>
      </c>
      <c r="BH427" s="3">
        <v>299.5</v>
      </c>
      <c r="BI427" s="3">
        <v>89.6</v>
      </c>
      <c r="BJ427" s="3">
        <v>248</v>
      </c>
      <c r="BK427" s="3">
        <v>231.4</v>
      </c>
      <c r="BL427" s="3">
        <v>276.39999999999998</v>
      </c>
      <c r="BM427" s="3">
        <v>515.5</v>
      </c>
      <c r="BN427" s="3">
        <v>125.6</v>
      </c>
      <c r="BO427" s="3">
        <v>478.1</v>
      </c>
      <c r="BP427" s="3">
        <v>572.70000000000005</v>
      </c>
      <c r="BQ427" s="3">
        <v>250</v>
      </c>
      <c r="BR427" s="3">
        <v>216.9</v>
      </c>
      <c r="BS427" s="3">
        <v>237.5</v>
      </c>
      <c r="BT427" s="3">
        <v>274.8</v>
      </c>
      <c r="BU427" s="3">
        <v>182.7</v>
      </c>
      <c r="BV427" s="3">
        <v>229.1</v>
      </c>
      <c r="BW427" s="3">
        <v>239.3</v>
      </c>
      <c r="BX427" s="3">
        <v>619.6</v>
      </c>
      <c r="BY427" s="3">
        <v>115</v>
      </c>
      <c r="BZ427" s="3">
        <v>515.70000000000005</v>
      </c>
      <c r="CA427" s="3">
        <v>536.9</v>
      </c>
      <c r="CB427" s="3">
        <v>1051.9000000000001</v>
      </c>
      <c r="CC427" s="3">
        <v>471.6</v>
      </c>
      <c r="CD427" s="3">
        <v>596.6</v>
      </c>
      <c r="CE427" s="3">
        <v>459.4</v>
      </c>
      <c r="CF427" s="3">
        <v>6.6</v>
      </c>
      <c r="CG427" s="3">
        <v>137.19999999999999</v>
      </c>
      <c r="CH427" s="3">
        <v>104.7</v>
      </c>
      <c r="CI427" s="3">
        <v>556.4</v>
      </c>
      <c r="CJ427" s="3">
        <v>230.5</v>
      </c>
      <c r="CK427" s="3">
        <v>237.3</v>
      </c>
      <c r="CL427" s="3">
        <v>664</v>
      </c>
      <c r="CM427" s="3">
        <v>306.89999999999998</v>
      </c>
      <c r="CN427" s="3">
        <v>315.8</v>
      </c>
    </row>
    <row r="428" spans="1:92" x14ac:dyDescent="0.25">
      <c r="A428" s="4">
        <v>44743</v>
      </c>
      <c r="B428" s="3">
        <v>251</v>
      </c>
      <c r="C428" s="3">
        <v>228.8</v>
      </c>
      <c r="D428" s="3">
        <v>335.1</v>
      </c>
      <c r="E428" s="3">
        <v>230.1</v>
      </c>
      <c r="F428" s="3">
        <v>389.8</v>
      </c>
      <c r="G428" s="3">
        <v>427.3</v>
      </c>
      <c r="H428" s="3">
        <v>261.7</v>
      </c>
      <c r="I428" s="3">
        <v>226</v>
      </c>
      <c r="J428" s="3">
        <v>136.69999999999999</v>
      </c>
      <c r="K428" s="3">
        <v>215.7</v>
      </c>
      <c r="L428" s="3">
        <v>298.60000000000002</v>
      </c>
      <c r="M428" s="3">
        <v>292.2</v>
      </c>
      <c r="N428" s="3">
        <v>300.5</v>
      </c>
      <c r="O428" s="3">
        <v>473.3</v>
      </c>
      <c r="P428" s="3">
        <v>269.7</v>
      </c>
      <c r="Q428" s="3">
        <v>264.8</v>
      </c>
      <c r="R428" s="3">
        <v>230.5</v>
      </c>
      <c r="S428" s="3">
        <v>305.60000000000002</v>
      </c>
      <c r="T428" s="3">
        <v>221.4</v>
      </c>
      <c r="U428" s="3">
        <v>239.1</v>
      </c>
      <c r="V428" s="3">
        <v>200.3</v>
      </c>
      <c r="W428" s="3">
        <v>305.7</v>
      </c>
      <c r="X428" s="3">
        <v>213.9</v>
      </c>
      <c r="Y428" s="3">
        <v>310</v>
      </c>
      <c r="Z428" s="3">
        <v>262.89999999999998</v>
      </c>
      <c r="AA428" s="3">
        <v>196</v>
      </c>
      <c r="AB428" s="3">
        <v>270.89999999999998</v>
      </c>
      <c r="AC428" s="3">
        <v>192.8</v>
      </c>
      <c r="AD428" s="3">
        <v>163.5</v>
      </c>
      <c r="AE428" s="3">
        <v>305.10000000000002</v>
      </c>
      <c r="AF428" s="3">
        <v>245.7</v>
      </c>
      <c r="AG428" s="3">
        <v>233.4</v>
      </c>
      <c r="AH428" s="3">
        <v>311.39999999999998</v>
      </c>
      <c r="AI428" s="3">
        <v>231.7</v>
      </c>
      <c r="AJ428" s="3">
        <v>400.9</v>
      </c>
      <c r="AK428" s="3">
        <v>429.6</v>
      </c>
      <c r="AL428" s="3">
        <v>408.7</v>
      </c>
      <c r="AM428" s="3">
        <v>351.4</v>
      </c>
      <c r="AN428" s="3">
        <v>406.7</v>
      </c>
      <c r="AO428" s="3">
        <v>175.9</v>
      </c>
      <c r="AP428" s="3">
        <v>289.2</v>
      </c>
      <c r="AQ428" s="3">
        <v>409.9</v>
      </c>
      <c r="AR428" s="3">
        <v>210.9</v>
      </c>
      <c r="AS428" s="3">
        <v>919</v>
      </c>
      <c r="AT428" s="3">
        <v>711.9</v>
      </c>
      <c r="AU428" s="3">
        <v>402.5</v>
      </c>
      <c r="AV428" s="3">
        <v>253.9</v>
      </c>
      <c r="AW428" s="3">
        <v>493.3</v>
      </c>
      <c r="AX428" s="3">
        <v>429.4</v>
      </c>
      <c r="AY428" s="3">
        <v>552.29999999999995</v>
      </c>
      <c r="AZ428" s="3">
        <v>397.7</v>
      </c>
      <c r="BA428" s="3">
        <v>289.8</v>
      </c>
      <c r="BB428" s="3">
        <v>598</v>
      </c>
      <c r="BC428" s="3">
        <v>472</v>
      </c>
      <c r="BD428" s="3">
        <v>616.5</v>
      </c>
      <c r="BE428" s="3">
        <v>633.20000000000005</v>
      </c>
      <c r="BF428" s="3">
        <v>804</v>
      </c>
      <c r="BG428" s="3">
        <v>364</v>
      </c>
      <c r="BH428" s="3">
        <v>297.39999999999998</v>
      </c>
      <c r="BI428" s="3">
        <v>89.4</v>
      </c>
      <c r="BJ428" s="3">
        <v>249.8</v>
      </c>
      <c r="BK428" s="3">
        <v>236</v>
      </c>
      <c r="BL428" s="3">
        <v>283.10000000000002</v>
      </c>
      <c r="BM428" s="3">
        <v>515.5</v>
      </c>
      <c r="BN428" s="3">
        <v>126</v>
      </c>
      <c r="BO428" s="3">
        <v>481.5</v>
      </c>
      <c r="BP428" s="3">
        <v>575.70000000000005</v>
      </c>
      <c r="BQ428" s="3">
        <v>248.7</v>
      </c>
      <c r="BR428" s="3">
        <v>213.2</v>
      </c>
      <c r="BS428" s="3">
        <v>233.5</v>
      </c>
      <c r="BT428" s="3">
        <v>274.3</v>
      </c>
      <c r="BU428" s="3">
        <v>182</v>
      </c>
      <c r="BV428" s="3">
        <v>228</v>
      </c>
      <c r="BW428" s="3">
        <v>239.8</v>
      </c>
      <c r="BX428" s="3">
        <v>620.29999999999995</v>
      </c>
      <c r="BY428" s="3">
        <v>115.8</v>
      </c>
      <c r="BZ428" s="3">
        <v>516.4</v>
      </c>
      <c r="CA428" s="3">
        <v>560.4</v>
      </c>
      <c r="CB428" s="3">
        <v>1092.9000000000001</v>
      </c>
      <c r="CC428" s="3">
        <v>482.6</v>
      </c>
      <c r="CD428" s="3">
        <v>602.70000000000005</v>
      </c>
      <c r="CE428" s="3">
        <v>516.4</v>
      </c>
      <c r="CF428" s="3">
        <v>6.5</v>
      </c>
      <c r="CG428" s="3">
        <v>133.9</v>
      </c>
      <c r="CH428" s="3">
        <v>105.8</v>
      </c>
      <c r="CI428" s="3">
        <v>545.6</v>
      </c>
      <c r="CJ428" s="3">
        <v>228.6</v>
      </c>
      <c r="CK428" s="3">
        <v>237.3</v>
      </c>
      <c r="CL428" s="3">
        <v>671.4</v>
      </c>
      <c r="CM428" s="3">
        <v>311.39999999999998</v>
      </c>
      <c r="CN428" s="3">
        <v>324.7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J35" sqref="J35"/>
    </sheetView>
  </sheetViews>
  <sheetFormatPr defaultColWidth="11" defaultRowHeight="15.75" x14ac:dyDescent="0.25"/>
  <sheetData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Front</vt:lpstr>
      <vt:lpstr>Weights Forecasts</vt:lpstr>
      <vt:lpstr>MoM Forecasts</vt:lpstr>
      <vt:lpstr>Unchained Indices</vt:lpstr>
      <vt:lpstr>Hist Weights</vt:lpstr>
      <vt:lpstr>Hist Data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joshb</cp:lastModifiedBy>
  <dcterms:created xsi:type="dcterms:W3CDTF">2015-01-25T11:31:25Z</dcterms:created>
  <dcterms:modified xsi:type="dcterms:W3CDTF">2022-09-14T20:00:05Z</dcterms:modified>
</cp:coreProperties>
</file>